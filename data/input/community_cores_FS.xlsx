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doherty\Desktop\Community_Carbon_Analysis_and_Mapping-workshop-mvp\data\input\"/>
    </mc:Choice>
  </mc:AlternateContent>
  <xr:revisionPtr revIDLastSave="0" documentId="13_ncr:9_{1B8FB43F-55B3-48FF-AB91-2A1311F69570}" xr6:coauthVersionLast="36" xr6:coauthVersionMax="36" xr10:uidLastSave="{00000000-0000-0000-0000-000000000000}"/>
  <bookViews>
    <workbookView xWindow="0" yWindow="0" windowWidth="14380" windowHeight="4150" firstSheet="1" activeTab="5" xr2:uid="{00000000-000D-0000-FFFF-FFFF00000000}"/>
  </bookViews>
  <sheets>
    <sheet name="0. Instructions" sheetId="1" r:id="rId1"/>
    <sheet name="1. Plot &amp; Site Log" sheetId="2" r:id="rId2"/>
    <sheet name="2. Core Log" sheetId="3" r:id="rId3"/>
    <sheet name="community_cores_FS" sheetId="4" r:id="rId4"/>
    <sheet name="4. Chronology" sheetId="5" r:id="rId5"/>
    <sheet name="5. Plot Summary" sheetId="6" r:id="rId6"/>
    <sheet name="6. Site Summary" sheetId="7" r:id="rId7"/>
    <sheet name="7. Settings" sheetId="8" r:id="rId8"/>
    <sheet name="R1. Reference" sheetId="9" r:id="rId9"/>
    <sheet name="8. Outputs" sheetId="10" r:id="rId10"/>
  </sheets>
  <definedNames>
    <definedName name="CARBON_FRACTION_OM">'7. Settings'!$B$5</definedName>
    <definedName name="CO2E_FACTOR">'7. Settings'!$B$7</definedName>
    <definedName name="LORCA_MAX">'7. Settings'!$B$18</definedName>
    <definedName name="LORCA_MIN">'7. Settings'!$B$17</definedName>
    <definedName name="OM_FACTOR_IS_LOCAL">'7. Settings'!$B$6</definedName>
    <definedName name="PEATLAND_MIN_DEPTH_CM">'7. Settings'!$B$9</definedName>
    <definedName name="PLOT_AREA_M2">'7. Settings'!$B$10</definedName>
    <definedName name="QC_BD_MAX">'7. Settings'!$B$14</definedName>
    <definedName name="QC_BD_MIN">'7. Settings'!$B$13</definedName>
    <definedName name="QC_CARBON_PCT_MAX">'7. Settings'!$B$15</definedName>
    <definedName name="QC_RECOVERY_MIN">'7. Settings'!$B$16</definedName>
    <definedName name="REFERENCE_DEPTH_CM">'7. Settings'!$B$8</definedName>
    <definedName name="TARGET_CONFIDENCE">'7. Settings'!$B$12</definedName>
    <definedName name="TARGET_MARGIN">'7. Settings'!$B$11</definedName>
  </definedNames>
  <calcPr calcId="191029"/>
</workbook>
</file>

<file path=xl/calcChain.xml><?xml version="1.0" encoding="utf-8"?>
<calcChain xmlns="http://schemas.openxmlformats.org/spreadsheetml/2006/main">
  <c r="G12" i="4" l="1"/>
  <c r="N12" i="4"/>
  <c r="N33" i="10" l="1"/>
  <c r="M33" i="10"/>
  <c r="L33" i="10"/>
  <c r="K33" i="10"/>
  <c r="N32" i="10"/>
  <c r="M32" i="10"/>
  <c r="L32" i="10"/>
  <c r="P32" i="10" s="1"/>
  <c r="K32" i="10"/>
  <c r="N31" i="10"/>
  <c r="M31" i="10"/>
  <c r="L31" i="10"/>
  <c r="K31" i="10"/>
  <c r="N30" i="10"/>
  <c r="M30" i="10"/>
  <c r="L30" i="10"/>
  <c r="K30" i="10"/>
  <c r="N29" i="10"/>
  <c r="M29" i="10"/>
  <c r="L29" i="10"/>
  <c r="P29" i="10" s="1"/>
  <c r="K29" i="10"/>
  <c r="N28" i="10"/>
  <c r="M28" i="10"/>
  <c r="L28" i="10"/>
  <c r="K28" i="10"/>
  <c r="N27" i="10"/>
  <c r="M27" i="10"/>
  <c r="L27" i="10"/>
  <c r="P27" i="10" s="1"/>
  <c r="K27" i="10"/>
  <c r="N26" i="10"/>
  <c r="M26" i="10"/>
  <c r="L26" i="10"/>
  <c r="P26" i="10" s="1"/>
  <c r="K26" i="10"/>
  <c r="N25" i="10"/>
  <c r="M25" i="10"/>
  <c r="L25" i="10"/>
  <c r="P25" i="10" s="1"/>
  <c r="K25" i="10"/>
  <c r="N24" i="10"/>
  <c r="M24" i="10"/>
  <c r="L24" i="10"/>
  <c r="K24" i="10"/>
  <c r="N23" i="10"/>
  <c r="M23" i="10"/>
  <c r="L23" i="10"/>
  <c r="P23" i="10" s="1"/>
  <c r="K23" i="10"/>
  <c r="N22" i="10"/>
  <c r="M22" i="10"/>
  <c r="L22" i="10"/>
  <c r="P22" i="10" s="1"/>
  <c r="K22" i="10"/>
  <c r="N21" i="10"/>
  <c r="M21" i="10"/>
  <c r="L21" i="10"/>
  <c r="P21" i="10" s="1"/>
  <c r="K21" i="10"/>
  <c r="N20" i="10"/>
  <c r="M20" i="10"/>
  <c r="L20" i="10"/>
  <c r="K20" i="10"/>
  <c r="N19" i="10"/>
  <c r="M19" i="10"/>
  <c r="L19" i="10"/>
  <c r="P19" i="10" s="1"/>
  <c r="K19" i="10"/>
  <c r="N18" i="10"/>
  <c r="M18" i="10"/>
  <c r="L18" i="10"/>
  <c r="P18" i="10" s="1"/>
  <c r="K18" i="10"/>
  <c r="N17" i="10"/>
  <c r="M17" i="10"/>
  <c r="L17" i="10"/>
  <c r="P17" i="10" s="1"/>
  <c r="K17" i="10"/>
  <c r="N16" i="10"/>
  <c r="M16" i="10"/>
  <c r="L16" i="10"/>
  <c r="K16" i="10"/>
  <c r="N15" i="10"/>
  <c r="M15" i="10"/>
  <c r="L15" i="10"/>
  <c r="P15" i="10" s="1"/>
  <c r="K15" i="10"/>
  <c r="N14" i="10"/>
  <c r="M14" i="10"/>
  <c r="L14" i="10"/>
  <c r="P14" i="10" s="1"/>
  <c r="K14" i="10"/>
  <c r="N13" i="10"/>
  <c r="M13" i="10"/>
  <c r="L13" i="10"/>
  <c r="K13" i="10"/>
  <c r="N12" i="10"/>
  <c r="M12" i="10"/>
  <c r="L12" i="10"/>
  <c r="P12" i="10" s="1"/>
  <c r="K12" i="10"/>
  <c r="N11" i="10"/>
  <c r="M11" i="10"/>
  <c r="L11" i="10"/>
  <c r="P11" i="10" s="1"/>
  <c r="K11" i="10"/>
  <c r="N10" i="10"/>
  <c r="M10" i="10"/>
  <c r="L10" i="10"/>
  <c r="P10" i="10" s="1"/>
  <c r="K10" i="10"/>
  <c r="N9" i="10"/>
  <c r="M9" i="10"/>
  <c r="L9" i="10"/>
  <c r="P9" i="10" s="1"/>
  <c r="K9" i="10"/>
  <c r="N8" i="10"/>
  <c r="M8" i="10"/>
  <c r="P8" i="10" s="1"/>
  <c r="L8" i="10"/>
  <c r="K8" i="10"/>
  <c r="A8" i="10"/>
  <c r="N7" i="10"/>
  <c r="M7" i="10"/>
  <c r="L7" i="10"/>
  <c r="P7" i="10" s="1"/>
  <c r="K7" i="10"/>
  <c r="A7" i="10"/>
  <c r="N6" i="10"/>
  <c r="M6" i="10"/>
  <c r="P6" i="10" s="1"/>
  <c r="L6" i="10"/>
  <c r="K6" i="10"/>
  <c r="A6" i="10"/>
  <c r="N5" i="10"/>
  <c r="M5" i="10"/>
  <c r="L5" i="10"/>
  <c r="K5" i="10"/>
  <c r="A5" i="10"/>
  <c r="B28" i="7"/>
  <c r="B22" i="7"/>
  <c r="N18" i="7"/>
  <c r="J18" i="7"/>
  <c r="C18" i="7"/>
  <c r="G18" i="7" s="1"/>
  <c r="N17" i="7"/>
  <c r="J17" i="7"/>
  <c r="C17" i="7"/>
  <c r="D17" i="7" s="1"/>
  <c r="L17" i="7" s="1"/>
  <c r="M17" i="7" s="1"/>
  <c r="N16" i="7"/>
  <c r="J16" i="7"/>
  <c r="C16" i="7"/>
  <c r="G16" i="7" s="1"/>
  <c r="N15" i="7"/>
  <c r="J15" i="7"/>
  <c r="C15" i="7"/>
  <c r="D15" i="7" s="1"/>
  <c r="L15" i="7" s="1"/>
  <c r="M15" i="7" s="1"/>
  <c r="N14" i="7"/>
  <c r="J14" i="7"/>
  <c r="C14" i="7"/>
  <c r="G14" i="7" s="1"/>
  <c r="N13" i="7"/>
  <c r="J13" i="7"/>
  <c r="C13" i="7"/>
  <c r="D13" i="7" s="1"/>
  <c r="L13" i="7" s="1"/>
  <c r="M13" i="7" s="1"/>
  <c r="J12" i="7"/>
  <c r="C12" i="7"/>
  <c r="G12" i="7" s="1"/>
  <c r="J11" i="7"/>
  <c r="C11" i="7"/>
  <c r="D11" i="7" s="1"/>
  <c r="L11" i="7" s="1"/>
  <c r="M11" i="7" s="1"/>
  <c r="J10" i="7"/>
  <c r="C10" i="7"/>
  <c r="G10" i="7" s="1"/>
  <c r="J9" i="7"/>
  <c r="C9" i="7"/>
  <c r="D9" i="7" s="1"/>
  <c r="L9" i="7" s="1"/>
  <c r="M9" i="7" s="1"/>
  <c r="J8" i="7"/>
  <c r="J7" i="7"/>
  <c r="J6" i="7"/>
  <c r="J5" i="7"/>
  <c r="A64" i="6" a="1"/>
  <c r="A64" i="6" s="1"/>
  <c r="A63" i="6" a="1"/>
  <c r="A63" i="6" s="1"/>
  <c r="A62" i="6" a="1"/>
  <c r="A62" i="6" s="1"/>
  <c r="A61" i="6" a="1"/>
  <c r="A61" i="6" s="1"/>
  <c r="A60" i="6" a="1"/>
  <c r="A60" i="6" s="1"/>
  <c r="A59" i="6" a="1"/>
  <c r="A59" i="6" s="1"/>
  <c r="H59" i="6" s="1"/>
  <c r="A58" i="6" a="1"/>
  <c r="A58" i="6" s="1"/>
  <c r="A57" i="6" a="1"/>
  <c r="A57" i="6" s="1"/>
  <c r="A56" i="6" a="1"/>
  <c r="A56" i="6" s="1"/>
  <c r="A55" i="6" a="1"/>
  <c r="A55" i="6" s="1"/>
  <c r="C55" i="6" s="1"/>
  <c r="A54" i="6" a="1"/>
  <c r="A54" i="6" s="1"/>
  <c r="A53" i="6" a="1"/>
  <c r="A53" i="6" s="1"/>
  <c r="A52" i="6" a="1"/>
  <c r="A52" i="6" s="1"/>
  <c r="A51" i="6" a="1"/>
  <c r="A51" i="6" s="1"/>
  <c r="A50" i="6" a="1"/>
  <c r="A50" i="6" s="1"/>
  <c r="A49" i="6" a="1"/>
  <c r="A49" i="6" s="1"/>
  <c r="A48" i="6" a="1"/>
  <c r="A48" i="6" s="1"/>
  <c r="G48" i="6" s="1"/>
  <c r="J48" i="6" s="1"/>
  <c r="A47" i="6" a="1"/>
  <c r="A47" i="6" s="1"/>
  <c r="A46" i="6" a="1"/>
  <c r="A46" i="6" s="1"/>
  <c r="A45" i="6" a="1"/>
  <c r="A45" i="6" s="1"/>
  <c r="A44" i="6" a="1"/>
  <c r="A44" i="6" s="1"/>
  <c r="H44" i="6" s="1"/>
  <c r="A43" i="6" a="1"/>
  <c r="A43" i="6" s="1"/>
  <c r="A42" i="6" a="1"/>
  <c r="A42" i="6" s="1"/>
  <c r="A41" i="6" a="1"/>
  <c r="A41" i="6" s="1"/>
  <c r="A40" i="6" a="1"/>
  <c r="A40" i="6" s="1"/>
  <c r="A39" i="6" a="1"/>
  <c r="A39" i="6" s="1"/>
  <c r="H39" i="6" s="1"/>
  <c r="A38" i="6" a="1"/>
  <c r="A38" i="6" s="1"/>
  <c r="A37" i="6" a="1"/>
  <c r="A37" i="6" s="1"/>
  <c r="A36" i="6" a="1"/>
  <c r="A36" i="6" s="1"/>
  <c r="H36" i="6" s="1"/>
  <c r="A35" i="6" a="1"/>
  <c r="A35" i="6" s="1"/>
  <c r="H35" i="6" s="1"/>
  <c r="A34" i="6" a="1"/>
  <c r="A34" i="6" s="1"/>
  <c r="A33" i="6" a="1"/>
  <c r="A33" i="6" s="1"/>
  <c r="A32" i="6" a="1"/>
  <c r="A32" i="6" s="1"/>
  <c r="A31" i="6" a="1"/>
  <c r="A31" i="6" s="1"/>
  <c r="A30" i="6" a="1"/>
  <c r="A30" i="6" s="1"/>
  <c r="H30" i="6" s="1"/>
  <c r="A29" i="6" a="1"/>
  <c r="A29" i="6" s="1"/>
  <c r="A28" i="6" a="1"/>
  <c r="A28" i="6" s="1"/>
  <c r="A27" i="6" a="1"/>
  <c r="A27" i="6" s="1"/>
  <c r="A26" i="6" a="1"/>
  <c r="A26" i="6" s="1"/>
  <c r="A25" i="6" a="1"/>
  <c r="A25" i="6" s="1"/>
  <c r="G25" i="6" s="1"/>
  <c r="J25" i="6" s="1"/>
  <c r="A24" i="6" a="1"/>
  <c r="A24" i="6" s="1"/>
  <c r="G24" i="6" s="1"/>
  <c r="J24" i="6" s="1"/>
  <c r="A23" i="6" a="1"/>
  <c r="A23" i="6" s="1"/>
  <c r="B23" i="6" s="1" a="1"/>
  <c r="B23" i="6" s="1"/>
  <c r="A22" i="6" a="1"/>
  <c r="A22" i="6" s="1"/>
  <c r="A21" i="6" a="1"/>
  <c r="A21" i="6" s="1"/>
  <c r="A20" i="6" a="1"/>
  <c r="A20" i="6" s="1"/>
  <c r="A19" i="6" a="1"/>
  <c r="A19" i="6" s="1"/>
  <c r="A18" i="6" a="1"/>
  <c r="A18" i="6" s="1"/>
  <c r="A17" i="6" a="1"/>
  <c r="A17" i="6" s="1"/>
  <c r="A16" i="6" a="1"/>
  <c r="A16" i="6" s="1"/>
  <c r="H16" i="6" s="1"/>
  <c r="A15" i="6" a="1"/>
  <c r="A15" i="6" s="1"/>
  <c r="H15" i="6" s="1"/>
  <c r="A14" i="6" a="1"/>
  <c r="A14" i="6" s="1"/>
  <c r="A13" i="6" a="1"/>
  <c r="A13" i="6" s="1"/>
  <c r="B13" i="6" s="1" a="1"/>
  <c r="B13" i="6" s="1"/>
  <c r="A239" i="5" a="1"/>
  <c r="A239" i="5" s="1"/>
  <c r="A238" i="5" a="1"/>
  <c r="A238" i="5" s="1"/>
  <c r="A237" i="5" a="1"/>
  <c r="A237" i="5" s="1"/>
  <c r="A236" i="5" a="1"/>
  <c r="A236" i="5" s="1"/>
  <c r="J236" i="5" s="1" a="1"/>
  <c r="J236" i="5" s="1"/>
  <c r="A235" i="5" a="1"/>
  <c r="A235" i="5" s="1"/>
  <c r="A234" i="5" a="1"/>
  <c r="A234" i="5" s="1"/>
  <c r="A233" i="5" a="1"/>
  <c r="A233" i="5" s="1"/>
  <c r="A232" i="5" a="1"/>
  <c r="A232" i="5" s="1"/>
  <c r="A231" i="5" a="1"/>
  <c r="A231" i="5" s="1"/>
  <c r="B231" i="5" s="1"/>
  <c r="A230" i="5" a="1"/>
  <c r="A230" i="5" s="1"/>
  <c r="A229" i="5" a="1"/>
  <c r="A229" i="5" s="1"/>
  <c r="A228" i="5" a="1"/>
  <c r="A228" i="5" s="1"/>
  <c r="A227" i="5" a="1"/>
  <c r="A227" i="5" s="1"/>
  <c r="J227" i="5" s="1" a="1"/>
  <c r="J227" i="5" s="1"/>
  <c r="A226" i="5" a="1"/>
  <c r="A226" i="5" s="1"/>
  <c r="C226" i="5" s="1" a="1"/>
  <c r="C226" i="5" s="1"/>
  <c r="A225" i="5" a="1"/>
  <c r="A225" i="5" s="1"/>
  <c r="A224" i="5" a="1"/>
  <c r="A224" i="5" s="1"/>
  <c r="A223" i="5" a="1"/>
  <c r="A223" i="5" s="1"/>
  <c r="A222" i="5" a="1"/>
  <c r="A222" i="5" s="1"/>
  <c r="A221" i="5" a="1"/>
  <c r="A221" i="5" s="1"/>
  <c r="A220" i="5" a="1"/>
  <c r="A220" i="5" s="1"/>
  <c r="A219" i="5" a="1"/>
  <c r="A219" i="5" s="1"/>
  <c r="J219" i="5" s="1" a="1"/>
  <c r="J219" i="5" s="1"/>
  <c r="A218" i="5" a="1"/>
  <c r="A218" i="5" s="1"/>
  <c r="J218" i="5" s="1" a="1"/>
  <c r="J218" i="5" s="1"/>
  <c r="A217" i="5" a="1"/>
  <c r="A217" i="5" s="1"/>
  <c r="B216" i="5"/>
  <c r="A216" i="5" a="1"/>
  <c r="A216" i="5" s="1"/>
  <c r="A215" i="5" a="1"/>
  <c r="A215" i="5" s="1"/>
  <c r="A214" i="5" a="1"/>
  <c r="A214" i="5" s="1"/>
  <c r="A213" i="5" a="1"/>
  <c r="A213" i="5" s="1"/>
  <c r="B213" i="5" s="1"/>
  <c r="A212" i="5" a="1"/>
  <c r="A212" i="5" s="1"/>
  <c r="A211" i="5" a="1"/>
  <c r="A211" i="5" s="1"/>
  <c r="A210" i="5" a="1"/>
  <c r="A210" i="5" s="1"/>
  <c r="K204" i="5"/>
  <c r="J204" i="5"/>
  <c r="I204" i="5"/>
  <c r="G204" i="5"/>
  <c r="F204" i="5"/>
  <c r="H204" i="5" s="1"/>
  <c r="K203" i="5"/>
  <c r="J203" i="5"/>
  <c r="I203" i="5"/>
  <c r="G203" i="5"/>
  <c r="F203" i="5"/>
  <c r="H203" i="5" s="1"/>
  <c r="K202" i="5"/>
  <c r="J202" i="5"/>
  <c r="I202" i="5"/>
  <c r="G202" i="5"/>
  <c r="F202" i="5"/>
  <c r="H202" i="5" s="1"/>
  <c r="K201" i="5"/>
  <c r="J201" i="5"/>
  <c r="I201" i="5"/>
  <c r="G201" i="5"/>
  <c r="F201" i="5"/>
  <c r="H201" i="5" s="1"/>
  <c r="K200" i="5"/>
  <c r="J200" i="5"/>
  <c r="I200" i="5"/>
  <c r="G200" i="5"/>
  <c r="F200" i="5"/>
  <c r="H200" i="5" s="1"/>
  <c r="K199" i="5"/>
  <c r="J199" i="5"/>
  <c r="I199" i="5"/>
  <c r="G199" i="5"/>
  <c r="F199" i="5"/>
  <c r="H199" i="5" s="1"/>
  <c r="K198" i="5"/>
  <c r="J198" i="5"/>
  <c r="I198" i="5"/>
  <c r="G198" i="5"/>
  <c r="F198" i="5"/>
  <c r="H198" i="5" s="1"/>
  <c r="K197" i="5"/>
  <c r="J197" i="5"/>
  <c r="I197" i="5"/>
  <c r="G197" i="5"/>
  <c r="F197" i="5"/>
  <c r="H197" i="5" s="1"/>
  <c r="K196" i="5"/>
  <c r="J196" i="5"/>
  <c r="I196" i="5"/>
  <c r="G196" i="5"/>
  <c r="F196" i="5"/>
  <c r="H196" i="5" s="1"/>
  <c r="K195" i="5"/>
  <c r="J195" i="5"/>
  <c r="I195" i="5"/>
  <c r="G195" i="5"/>
  <c r="F195" i="5"/>
  <c r="H195" i="5" s="1"/>
  <c r="K194" i="5"/>
  <c r="J194" i="5"/>
  <c r="I194" i="5"/>
  <c r="G194" i="5"/>
  <c r="F194" i="5"/>
  <c r="H194" i="5" s="1"/>
  <c r="K193" i="5"/>
  <c r="J193" i="5"/>
  <c r="I193" i="5"/>
  <c r="G193" i="5"/>
  <c r="F193" i="5"/>
  <c r="H193" i="5" s="1"/>
  <c r="K192" i="5"/>
  <c r="J192" i="5"/>
  <c r="I192" i="5"/>
  <c r="G192" i="5"/>
  <c r="F192" i="5"/>
  <c r="H192" i="5" s="1"/>
  <c r="K191" i="5"/>
  <c r="J191" i="5"/>
  <c r="I191" i="5"/>
  <c r="G191" i="5"/>
  <c r="F191" i="5"/>
  <c r="H191" i="5" s="1"/>
  <c r="K190" i="5"/>
  <c r="J190" i="5"/>
  <c r="I190" i="5"/>
  <c r="G190" i="5"/>
  <c r="F190" i="5"/>
  <c r="H190" i="5" s="1"/>
  <c r="K189" i="5"/>
  <c r="J189" i="5"/>
  <c r="I189" i="5"/>
  <c r="G189" i="5"/>
  <c r="F189" i="5"/>
  <c r="H189" i="5" s="1"/>
  <c r="K188" i="5"/>
  <c r="J188" i="5"/>
  <c r="I188" i="5"/>
  <c r="G188" i="5"/>
  <c r="F188" i="5"/>
  <c r="H188" i="5" s="1"/>
  <c r="K187" i="5"/>
  <c r="J187" i="5"/>
  <c r="I187" i="5"/>
  <c r="G187" i="5"/>
  <c r="F187" i="5"/>
  <c r="H187" i="5" s="1"/>
  <c r="K186" i="5"/>
  <c r="J186" i="5"/>
  <c r="I186" i="5"/>
  <c r="G186" i="5"/>
  <c r="F186" i="5"/>
  <c r="H186" i="5" s="1"/>
  <c r="K185" i="5"/>
  <c r="J185" i="5"/>
  <c r="I185" i="5"/>
  <c r="G185" i="5"/>
  <c r="F185" i="5"/>
  <c r="H185" i="5" s="1"/>
  <c r="K184" i="5"/>
  <c r="J184" i="5"/>
  <c r="I184" i="5"/>
  <c r="G184" i="5"/>
  <c r="F184" i="5"/>
  <c r="H184" i="5" s="1"/>
  <c r="K183" i="5"/>
  <c r="J183" i="5"/>
  <c r="I183" i="5"/>
  <c r="G183" i="5"/>
  <c r="F183" i="5"/>
  <c r="H183" i="5" s="1"/>
  <c r="K182" i="5"/>
  <c r="J182" i="5"/>
  <c r="I182" i="5"/>
  <c r="G182" i="5"/>
  <c r="F182" i="5"/>
  <c r="H182" i="5" s="1"/>
  <c r="K181" i="5"/>
  <c r="J181" i="5"/>
  <c r="I181" i="5"/>
  <c r="G181" i="5"/>
  <c r="F181" i="5"/>
  <c r="H181" i="5" s="1"/>
  <c r="K180" i="5"/>
  <c r="J180" i="5"/>
  <c r="I180" i="5"/>
  <c r="G180" i="5"/>
  <c r="F180" i="5"/>
  <c r="H180" i="5" s="1"/>
  <c r="K179" i="5"/>
  <c r="J179" i="5"/>
  <c r="I179" i="5"/>
  <c r="G179" i="5"/>
  <c r="F179" i="5"/>
  <c r="H179" i="5" s="1"/>
  <c r="K178" i="5"/>
  <c r="J178" i="5"/>
  <c r="I178" i="5"/>
  <c r="G178" i="5"/>
  <c r="F178" i="5"/>
  <c r="H178" i="5" s="1"/>
  <c r="K177" i="5"/>
  <c r="J177" i="5"/>
  <c r="I177" i="5"/>
  <c r="G177" i="5"/>
  <c r="F177" i="5"/>
  <c r="H177" i="5" s="1"/>
  <c r="K176" i="5"/>
  <c r="J176" i="5"/>
  <c r="I176" i="5"/>
  <c r="G176" i="5"/>
  <c r="F176" i="5"/>
  <c r="H176" i="5" s="1"/>
  <c r="K175" i="5"/>
  <c r="J175" i="5"/>
  <c r="I175" i="5"/>
  <c r="G175" i="5"/>
  <c r="F175" i="5"/>
  <c r="H175" i="5" s="1"/>
  <c r="K174" i="5"/>
  <c r="J174" i="5"/>
  <c r="I174" i="5"/>
  <c r="G174" i="5"/>
  <c r="F174" i="5"/>
  <c r="H174" i="5" s="1"/>
  <c r="K173" i="5"/>
  <c r="J173" i="5"/>
  <c r="I173" i="5"/>
  <c r="G173" i="5"/>
  <c r="F173" i="5"/>
  <c r="H173" i="5" s="1"/>
  <c r="K172" i="5"/>
  <c r="J172" i="5"/>
  <c r="I172" i="5"/>
  <c r="G172" i="5"/>
  <c r="F172" i="5"/>
  <c r="H172" i="5" s="1"/>
  <c r="K171" i="5"/>
  <c r="J171" i="5"/>
  <c r="I171" i="5"/>
  <c r="G171" i="5"/>
  <c r="F171" i="5"/>
  <c r="H171" i="5" s="1"/>
  <c r="K170" i="5"/>
  <c r="J170" i="5"/>
  <c r="I170" i="5"/>
  <c r="G170" i="5"/>
  <c r="F170" i="5"/>
  <c r="H170" i="5" s="1"/>
  <c r="K169" i="5"/>
  <c r="J169" i="5"/>
  <c r="I169" i="5"/>
  <c r="G169" i="5"/>
  <c r="F169" i="5"/>
  <c r="H169" i="5" s="1"/>
  <c r="K168" i="5"/>
  <c r="J168" i="5"/>
  <c r="I168" i="5"/>
  <c r="G168" i="5"/>
  <c r="F168" i="5"/>
  <c r="H168" i="5" s="1"/>
  <c r="K167" i="5"/>
  <c r="J167" i="5"/>
  <c r="I167" i="5"/>
  <c r="G167" i="5"/>
  <c r="F167" i="5"/>
  <c r="H167" i="5" s="1"/>
  <c r="K166" i="5"/>
  <c r="J166" i="5"/>
  <c r="I166" i="5"/>
  <c r="G166" i="5"/>
  <c r="F166" i="5"/>
  <c r="H166" i="5" s="1"/>
  <c r="K165" i="5"/>
  <c r="J165" i="5"/>
  <c r="I165" i="5"/>
  <c r="G165" i="5"/>
  <c r="F165" i="5"/>
  <c r="H165" i="5" s="1"/>
  <c r="K164" i="5"/>
  <c r="J164" i="5"/>
  <c r="I164" i="5"/>
  <c r="G164" i="5"/>
  <c r="F164" i="5"/>
  <c r="H164" i="5" s="1"/>
  <c r="K163" i="5"/>
  <c r="J163" i="5"/>
  <c r="I163" i="5"/>
  <c r="G163" i="5"/>
  <c r="F163" i="5"/>
  <c r="H163" i="5" s="1"/>
  <c r="K162" i="5"/>
  <c r="J162" i="5"/>
  <c r="I162" i="5"/>
  <c r="G162" i="5"/>
  <c r="F162" i="5"/>
  <c r="H162" i="5" s="1"/>
  <c r="K161" i="5"/>
  <c r="J161" i="5"/>
  <c r="I161" i="5"/>
  <c r="G161" i="5"/>
  <c r="F161" i="5"/>
  <c r="H161" i="5" s="1"/>
  <c r="K160" i="5"/>
  <c r="J160" i="5"/>
  <c r="I160" i="5"/>
  <c r="G160" i="5"/>
  <c r="F160" i="5"/>
  <c r="H160" i="5" s="1"/>
  <c r="K159" i="5"/>
  <c r="J159" i="5"/>
  <c r="I159" i="5"/>
  <c r="G159" i="5"/>
  <c r="F159" i="5"/>
  <c r="H159" i="5" s="1"/>
  <c r="K158" i="5"/>
  <c r="J158" i="5"/>
  <c r="I158" i="5"/>
  <c r="G158" i="5"/>
  <c r="F158" i="5"/>
  <c r="H158" i="5" s="1"/>
  <c r="K157" i="5"/>
  <c r="J157" i="5"/>
  <c r="I157" i="5"/>
  <c r="G157" i="5"/>
  <c r="F157" i="5"/>
  <c r="H157" i="5" s="1"/>
  <c r="K156" i="5"/>
  <c r="J156" i="5"/>
  <c r="I156" i="5"/>
  <c r="G156" i="5"/>
  <c r="F156" i="5"/>
  <c r="H156" i="5" s="1"/>
  <c r="K155" i="5"/>
  <c r="J155" i="5"/>
  <c r="I155" i="5"/>
  <c r="G155" i="5"/>
  <c r="F155" i="5"/>
  <c r="H155" i="5" s="1"/>
  <c r="K154" i="5"/>
  <c r="J154" i="5"/>
  <c r="I154" i="5"/>
  <c r="G154" i="5"/>
  <c r="F154" i="5"/>
  <c r="H154" i="5" s="1"/>
  <c r="K153" i="5"/>
  <c r="J153" i="5"/>
  <c r="I153" i="5"/>
  <c r="G153" i="5"/>
  <c r="F153" i="5"/>
  <c r="H153" i="5" s="1"/>
  <c r="K152" i="5"/>
  <c r="J152" i="5"/>
  <c r="I152" i="5"/>
  <c r="G152" i="5"/>
  <c r="F152" i="5"/>
  <c r="H152" i="5" s="1"/>
  <c r="K151" i="5"/>
  <c r="J151" i="5"/>
  <c r="I151" i="5"/>
  <c r="G151" i="5"/>
  <c r="F151" i="5"/>
  <c r="H151" i="5" s="1"/>
  <c r="K150" i="5"/>
  <c r="J150" i="5"/>
  <c r="I150" i="5"/>
  <c r="G150" i="5"/>
  <c r="F150" i="5"/>
  <c r="H150" i="5" s="1"/>
  <c r="K149" i="5"/>
  <c r="J149" i="5"/>
  <c r="I149" i="5"/>
  <c r="G149" i="5"/>
  <c r="F149" i="5"/>
  <c r="H149" i="5" s="1"/>
  <c r="K148" i="5"/>
  <c r="J148" i="5"/>
  <c r="I148" i="5"/>
  <c r="G148" i="5"/>
  <c r="F148" i="5"/>
  <c r="H148" i="5" s="1"/>
  <c r="K147" i="5"/>
  <c r="J147" i="5"/>
  <c r="I147" i="5"/>
  <c r="G147" i="5"/>
  <c r="F147" i="5"/>
  <c r="H147" i="5" s="1"/>
  <c r="K146" i="5"/>
  <c r="J146" i="5"/>
  <c r="I146" i="5"/>
  <c r="G146" i="5"/>
  <c r="F146" i="5"/>
  <c r="H146" i="5" s="1"/>
  <c r="K145" i="5"/>
  <c r="J145" i="5"/>
  <c r="I145" i="5"/>
  <c r="G145" i="5"/>
  <c r="F145" i="5"/>
  <c r="H145" i="5" s="1"/>
  <c r="K144" i="5"/>
  <c r="J144" i="5"/>
  <c r="I144" i="5"/>
  <c r="G144" i="5"/>
  <c r="F144" i="5"/>
  <c r="H144" i="5" s="1"/>
  <c r="K143" i="5"/>
  <c r="J143" i="5"/>
  <c r="I143" i="5"/>
  <c r="G143" i="5"/>
  <c r="F143" i="5"/>
  <c r="H143" i="5" s="1"/>
  <c r="K142" i="5"/>
  <c r="J142" i="5"/>
  <c r="I142" i="5"/>
  <c r="G142" i="5"/>
  <c r="F142" i="5"/>
  <c r="H142" i="5" s="1"/>
  <c r="K141" i="5"/>
  <c r="J141" i="5"/>
  <c r="I141" i="5"/>
  <c r="G141" i="5"/>
  <c r="F141" i="5"/>
  <c r="H141" i="5" s="1"/>
  <c r="K140" i="5"/>
  <c r="J140" i="5"/>
  <c r="I140" i="5"/>
  <c r="G140" i="5"/>
  <c r="F140" i="5"/>
  <c r="H140" i="5" s="1"/>
  <c r="K139" i="5"/>
  <c r="J139" i="5"/>
  <c r="I139" i="5"/>
  <c r="G139" i="5"/>
  <c r="F139" i="5"/>
  <c r="H139" i="5" s="1"/>
  <c r="K138" i="5"/>
  <c r="J138" i="5"/>
  <c r="I138" i="5"/>
  <c r="G138" i="5"/>
  <c r="F138" i="5"/>
  <c r="H138" i="5" s="1"/>
  <c r="K137" i="5"/>
  <c r="J137" i="5"/>
  <c r="I137" i="5"/>
  <c r="G137" i="5"/>
  <c r="F137" i="5"/>
  <c r="H137" i="5" s="1"/>
  <c r="K136" i="5"/>
  <c r="J136" i="5"/>
  <c r="I136" i="5"/>
  <c r="G136" i="5"/>
  <c r="F136" i="5"/>
  <c r="H136" i="5" s="1"/>
  <c r="K135" i="5"/>
  <c r="J135" i="5"/>
  <c r="I135" i="5"/>
  <c r="G135" i="5"/>
  <c r="F135" i="5"/>
  <c r="H135" i="5" s="1"/>
  <c r="K134" i="5"/>
  <c r="J134" i="5"/>
  <c r="I134" i="5"/>
  <c r="G134" i="5"/>
  <c r="F134" i="5"/>
  <c r="H134" i="5" s="1"/>
  <c r="K133" i="5"/>
  <c r="J133" i="5"/>
  <c r="I133" i="5"/>
  <c r="G133" i="5"/>
  <c r="F133" i="5"/>
  <c r="H133" i="5" s="1"/>
  <c r="K132" i="5"/>
  <c r="J132" i="5"/>
  <c r="I132" i="5"/>
  <c r="G132" i="5"/>
  <c r="F132" i="5"/>
  <c r="H132" i="5" s="1"/>
  <c r="K131" i="5"/>
  <c r="J131" i="5"/>
  <c r="I131" i="5"/>
  <c r="G131" i="5"/>
  <c r="F131" i="5"/>
  <c r="H131" i="5" s="1"/>
  <c r="K130" i="5"/>
  <c r="J130" i="5"/>
  <c r="I130" i="5"/>
  <c r="G130" i="5"/>
  <c r="F130" i="5"/>
  <c r="H130" i="5" s="1"/>
  <c r="K129" i="5"/>
  <c r="J129" i="5"/>
  <c r="I129" i="5"/>
  <c r="G129" i="5"/>
  <c r="F129" i="5"/>
  <c r="H129" i="5" s="1"/>
  <c r="K128" i="5"/>
  <c r="J128" i="5"/>
  <c r="I128" i="5"/>
  <c r="G128" i="5"/>
  <c r="F128" i="5"/>
  <c r="H128" i="5" s="1"/>
  <c r="K127" i="5"/>
  <c r="J127" i="5"/>
  <c r="I127" i="5"/>
  <c r="G127" i="5"/>
  <c r="F127" i="5"/>
  <c r="H127" i="5" s="1"/>
  <c r="K126" i="5"/>
  <c r="J126" i="5"/>
  <c r="I126" i="5"/>
  <c r="G126" i="5"/>
  <c r="F126" i="5"/>
  <c r="H126" i="5" s="1"/>
  <c r="K125" i="5"/>
  <c r="J125" i="5"/>
  <c r="I125" i="5"/>
  <c r="G125" i="5"/>
  <c r="F125" i="5"/>
  <c r="H125" i="5" s="1"/>
  <c r="K124" i="5"/>
  <c r="J124" i="5"/>
  <c r="I124" i="5"/>
  <c r="G124" i="5"/>
  <c r="F124" i="5"/>
  <c r="H124" i="5" s="1"/>
  <c r="K123" i="5"/>
  <c r="J123" i="5"/>
  <c r="I123" i="5"/>
  <c r="G123" i="5"/>
  <c r="F123" i="5"/>
  <c r="H123" i="5" s="1"/>
  <c r="K122" i="5"/>
  <c r="J122" i="5"/>
  <c r="I122" i="5"/>
  <c r="G122" i="5"/>
  <c r="F122" i="5"/>
  <c r="H122" i="5" s="1"/>
  <c r="K121" i="5"/>
  <c r="J121" i="5"/>
  <c r="I121" i="5"/>
  <c r="G121" i="5"/>
  <c r="F121" i="5"/>
  <c r="H121" i="5" s="1"/>
  <c r="K120" i="5"/>
  <c r="J120" i="5"/>
  <c r="I120" i="5"/>
  <c r="G120" i="5"/>
  <c r="F120" i="5"/>
  <c r="H120" i="5" s="1"/>
  <c r="K119" i="5"/>
  <c r="J119" i="5"/>
  <c r="I119" i="5"/>
  <c r="G119" i="5"/>
  <c r="F119" i="5"/>
  <c r="H119" i="5" s="1"/>
  <c r="K118" i="5"/>
  <c r="J118" i="5"/>
  <c r="I118" i="5"/>
  <c r="G118" i="5"/>
  <c r="F118" i="5"/>
  <c r="H118" i="5" s="1"/>
  <c r="K117" i="5"/>
  <c r="J117" i="5"/>
  <c r="I117" i="5"/>
  <c r="G117" i="5"/>
  <c r="F117" i="5"/>
  <c r="H117" i="5" s="1"/>
  <c r="K116" i="5"/>
  <c r="J116" i="5"/>
  <c r="I116" i="5"/>
  <c r="G116" i="5"/>
  <c r="F116" i="5"/>
  <c r="H116" i="5" s="1"/>
  <c r="K115" i="5"/>
  <c r="J115" i="5"/>
  <c r="I115" i="5"/>
  <c r="G115" i="5"/>
  <c r="F115" i="5"/>
  <c r="H115" i="5" s="1"/>
  <c r="K114" i="5"/>
  <c r="J114" i="5"/>
  <c r="I114" i="5"/>
  <c r="G114" i="5"/>
  <c r="F114" i="5"/>
  <c r="H114" i="5" s="1"/>
  <c r="K113" i="5"/>
  <c r="J113" i="5"/>
  <c r="I113" i="5"/>
  <c r="G113" i="5"/>
  <c r="F113" i="5"/>
  <c r="H113" i="5" s="1"/>
  <c r="K112" i="5"/>
  <c r="J112" i="5"/>
  <c r="I112" i="5"/>
  <c r="G112" i="5"/>
  <c r="F112" i="5"/>
  <c r="H112" i="5" s="1"/>
  <c r="K111" i="5"/>
  <c r="J111" i="5"/>
  <c r="I111" i="5"/>
  <c r="G111" i="5"/>
  <c r="F111" i="5"/>
  <c r="H111" i="5" s="1"/>
  <c r="K110" i="5"/>
  <c r="J110" i="5"/>
  <c r="I110" i="5"/>
  <c r="G110" i="5"/>
  <c r="F110" i="5"/>
  <c r="H110" i="5" s="1"/>
  <c r="K109" i="5"/>
  <c r="J109" i="5"/>
  <c r="I109" i="5"/>
  <c r="G109" i="5"/>
  <c r="F109" i="5"/>
  <c r="H109" i="5" s="1"/>
  <c r="K108" i="5"/>
  <c r="J108" i="5"/>
  <c r="I108" i="5"/>
  <c r="G108" i="5"/>
  <c r="F108" i="5"/>
  <c r="H108" i="5" s="1"/>
  <c r="K107" i="5"/>
  <c r="J107" i="5"/>
  <c r="I107" i="5"/>
  <c r="G107" i="5"/>
  <c r="F107" i="5"/>
  <c r="H107" i="5" s="1"/>
  <c r="K106" i="5"/>
  <c r="J106" i="5"/>
  <c r="I106" i="5"/>
  <c r="G106" i="5"/>
  <c r="F106" i="5"/>
  <c r="H106" i="5" s="1"/>
  <c r="K105" i="5"/>
  <c r="J105" i="5"/>
  <c r="I105" i="5"/>
  <c r="G105" i="5"/>
  <c r="F105" i="5"/>
  <c r="H105" i="5" s="1"/>
  <c r="K104" i="5"/>
  <c r="J104" i="5"/>
  <c r="I104" i="5"/>
  <c r="G104" i="5"/>
  <c r="F104" i="5"/>
  <c r="H104" i="5" s="1"/>
  <c r="K103" i="5"/>
  <c r="J103" i="5"/>
  <c r="I103" i="5"/>
  <c r="G103" i="5"/>
  <c r="F103" i="5"/>
  <c r="H103" i="5" s="1"/>
  <c r="K102" i="5"/>
  <c r="J102" i="5"/>
  <c r="I102" i="5"/>
  <c r="G102" i="5"/>
  <c r="F102" i="5"/>
  <c r="H102" i="5" s="1"/>
  <c r="K101" i="5"/>
  <c r="J101" i="5"/>
  <c r="I101" i="5"/>
  <c r="G101" i="5"/>
  <c r="F101" i="5"/>
  <c r="H101" i="5" s="1"/>
  <c r="K100" i="5"/>
  <c r="J100" i="5"/>
  <c r="I100" i="5"/>
  <c r="G100" i="5"/>
  <c r="F100" i="5"/>
  <c r="H100" i="5" s="1"/>
  <c r="K99" i="5"/>
  <c r="J99" i="5"/>
  <c r="I99" i="5"/>
  <c r="G99" i="5"/>
  <c r="F99" i="5"/>
  <c r="H99" i="5" s="1"/>
  <c r="K98" i="5"/>
  <c r="J98" i="5"/>
  <c r="I98" i="5"/>
  <c r="G98" i="5"/>
  <c r="F98" i="5"/>
  <c r="H98" i="5" s="1"/>
  <c r="K97" i="5"/>
  <c r="J97" i="5"/>
  <c r="I97" i="5"/>
  <c r="G97" i="5"/>
  <c r="F97" i="5"/>
  <c r="H97" i="5" s="1"/>
  <c r="K96" i="5"/>
  <c r="J96" i="5"/>
  <c r="I96" i="5"/>
  <c r="G96" i="5"/>
  <c r="F96" i="5"/>
  <c r="H96" i="5" s="1"/>
  <c r="K95" i="5"/>
  <c r="J95" i="5"/>
  <c r="I95" i="5"/>
  <c r="G95" i="5"/>
  <c r="F95" i="5"/>
  <c r="H95" i="5" s="1"/>
  <c r="K94" i="5"/>
  <c r="J94" i="5"/>
  <c r="I94" i="5"/>
  <c r="G94" i="5"/>
  <c r="F94" i="5"/>
  <c r="H94" i="5" s="1"/>
  <c r="K93" i="5"/>
  <c r="J93" i="5"/>
  <c r="I93" i="5"/>
  <c r="G93" i="5"/>
  <c r="F93" i="5"/>
  <c r="H93" i="5" s="1"/>
  <c r="K92" i="5"/>
  <c r="J92" i="5"/>
  <c r="I92" i="5"/>
  <c r="G92" i="5"/>
  <c r="F92" i="5"/>
  <c r="H92" i="5" s="1"/>
  <c r="K91" i="5"/>
  <c r="J91" i="5"/>
  <c r="I91" i="5"/>
  <c r="G91" i="5"/>
  <c r="F91" i="5"/>
  <c r="H91" i="5" s="1"/>
  <c r="K90" i="5"/>
  <c r="J90" i="5"/>
  <c r="I90" i="5"/>
  <c r="G90" i="5"/>
  <c r="F90" i="5"/>
  <c r="H90" i="5" s="1"/>
  <c r="K89" i="5"/>
  <c r="J89" i="5"/>
  <c r="I89" i="5"/>
  <c r="G89" i="5"/>
  <c r="F89" i="5"/>
  <c r="H89" i="5" s="1"/>
  <c r="K88" i="5"/>
  <c r="J88" i="5"/>
  <c r="I88" i="5"/>
  <c r="G88" i="5"/>
  <c r="F88" i="5"/>
  <c r="H88" i="5" s="1"/>
  <c r="K87" i="5"/>
  <c r="J87" i="5"/>
  <c r="I87" i="5"/>
  <c r="G87" i="5"/>
  <c r="F87" i="5"/>
  <c r="H87" i="5" s="1"/>
  <c r="K86" i="5"/>
  <c r="J86" i="5"/>
  <c r="I86" i="5"/>
  <c r="G86" i="5"/>
  <c r="F86" i="5"/>
  <c r="H86" i="5" s="1"/>
  <c r="K85" i="5"/>
  <c r="J85" i="5"/>
  <c r="I85" i="5"/>
  <c r="G85" i="5"/>
  <c r="F85" i="5"/>
  <c r="H85" i="5" s="1"/>
  <c r="K84" i="5"/>
  <c r="J84" i="5"/>
  <c r="I84" i="5"/>
  <c r="G84" i="5"/>
  <c r="F84" i="5"/>
  <c r="H84" i="5" s="1"/>
  <c r="K83" i="5"/>
  <c r="J83" i="5"/>
  <c r="I83" i="5"/>
  <c r="G83" i="5"/>
  <c r="F83" i="5"/>
  <c r="H83" i="5" s="1"/>
  <c r="K82" i="5"/>
  <c r="J82" i="5"/>
  <c r="I82" i="5"/>
  <c r="G82" i="5"/>
  <c r="F82" i="5"/>
  <c r="H82" i="5" s="1"/>
  <c r="K81" i="5"/>
  <c r="J81" i="5"/>
  <c r="I81" i="5"/>
  <c r="G81" i="5"/>
  <c r="F81" i="5"/>
  <c r="H81" i="5" s="1"/>
  <c r="K80" i="5"/>
  <c r="J80" i="5"/>
  <c r="I80" i="5"/>
  <c r="G80" i="5"/>
  <c r="F80" i="5"/>
  <c r="H80" i="5" s="1"/>
  <c r="K79" i="5"/>
  <c r="J79" i="5"/>
  <c r="I79" i="5"/>
  <c r="G79" i="5"/>
  <c r="F79" i="5"/>
  <c r="H79" i="5" s="1"/>
  <c r="K78" i="5"/>
  <c r="J78" i="5"/>
  <c r="I78" i="5"/>
  <c r="G78" i="5"/>
  <c r="F78" i="5"/>
  <c r="H78" i="5" s="1"/>
  <c r="K77" i="5"/>
  <c r="J77" i="5"/>
  <c r="I77" i="5"/>
  <c r="G77" i="5"/>
  <c r="F77" i="5"/>
  <c r="H77" i="5" s="1"/>
  <c r="K76" i="5"/>
  <c r="J76" i="5"/>
  <c r="I76" i="5"/>
  <c r="G76" i="5"/>
  <c r="F76" i="5"/>
  <c r="H76" i="5" s="1"/>
  <c r="K75" i="5"/>
  <c r="J75" i="5"/>
  <c r="I75" i="5"/>
  <c r="G75" i="5"/>
  <c r="F75" i="5"/>
  <c r="H75" i="5" s="1"/>
  <c r="K74" i="5"/>
  <c r="J74" i="5"/>
  <c r="I74" i="5"/>
  <c r="G74" i="5"/>
  <c r="F74" i="5"/>
  <c r="H74" i="5" s="1"/>
  <c r="K73" i="5"/>
  <c r="J73" i="5"/>
  <c r="I73" i="5"/>
  <c r="G73" i="5"/>
  <c r="F73" i="5"/>
  <c r="H73" i="5" s="1"/>
  <c r="K72" i="5"/>
  <c r="J72" i="5"/>
  <c r="I72" i="5"/>
  <c r="G72" i="5"/>
  <c r="F72" i="5"/>
  <c r="H72" i="5" s="1"/>
  <c r="K71" i="5"/>
  <c r="J71" i="5"/>
  <c r="I71" i="5"/>
  <c r="G71" i="5"/>
  <c r="F71" i="5"/>
  <c r="H71" i="5" s="1"/>
  <c r="K70" i="5"/>
  <c r="J70" i="5"/>
  <c r="I70" i="5"/>
  <c r="G70" i="5"/>
  <c r="F70" i="5"/>
  <c r="H70" i="5" s="1"/>
  <c r="K69" i="5"/>
  <c r="J69" i="5"/>
  <c r="I69" i="5"/>
  <c r="G69" i="5"/>
  <c r="F69" i="5"/>
  <c r="H69" i="5" s="1"/>
  <c r="K68" i="5"/>
  <c r="J68" i="5"/>
  <c r="I68" i="5"/>
  <c r="G68" i="5"/>
  <c r="F68" i="5"/>
  <c r="H68" i="5" s="1"/>
  <c r="K67" i="5"/>
  <c r="J67" i="5"/>
  <c r="I67" i="5"/>
  <c r="G67" i="5"/>
  <c r="F67" i="5"/>
  <c r="H67" i="5" s="1"/>
  <c r="K66" i="5"/>
  <c r="J66" i="5"/>
  <c r="I66" i="5"/>
  <c r="G66" i="5"/>
  <c r="F66" i="5"/>
  <c r="H66" i="5" s="1"/>
  <c r="K65" i="5"/>
  <c r="J65" i="5"/>
  <c r="I65" i="5"/>
  <c r="G65" i="5"/>
  <c r="F65" i="5"/>
  <c r="H65" i="5" s="1"/>
  <c r="K64" i="5"/>
  <c r="J64" i="5"/>
  <c r="I64" i="5"/>
  <c r="G64" i="5"/>
  <c r="F64" i="5"/>
  <c r="H64" i="5" s="1"/>
  <c r="K63" i="5"/>
  <c r="J63" i="5"/>
  <c r="I63" i="5"/>
  <c r="G63" i="5"/>
  <c r="F63" i="5"/>
  <c r="H63" i="5" s="1"/>
  <c r="K62" i="5"/>
  <c r="J62" i="5"/>
  <c r="I62" i="5"/>
  <c r="G62" i="5"/>
  <c r="F62" i="5"/>
  <c r="H62" i="5" s="1"/>
  <c r="K61" i="5"/>
  <c r="J61" i="5"/>
  <c r="I61" i="5"/>
  <c r="G61" i="5"/>
  <c r="F61" i="5"/>
  <c r="H61" i="5" s="1"/>
  <c r="K60" i="5"/>
  <c r="J60" i="5"/>
  <c r="I60" i="5"/>
  <c r="G60" i="5"/>
  <c r="F60" i="5"/>
  <c r="H60" i="5" s="1"/>
  <c r="K59" i="5"/>
  <c r="J59" i="5"/>
  <c r="I59" i="5"/>
  <c r="G59" i="5"/>
  <c r="F59" i="5"/>
  <c r="H59" i="5" s="1"/>
  <c r="K58" i="5"/>
  <c r="J58" i="5"/>
  <c r="I58" i="5"/>
  <c r="G58" i="5"/>
  <c r="F58" i="5"/>
  <c r="H58" i="5" s="1"/>
  <c r="K57" i="5"/>
  <c r="J57" i="5"/>
  <c r="I57" i="5"/>
  <c r="G57" i="5"/>
  <c r="F57" i="5"/>
  <c r="H57" i="5" s="1"/>
  <c r="K56" i="5"/>
  <c r="J56" i="5"/>
  <c r="I56" i="5"/>
  <c r="G56" i="5"/>
  <c r="F56" i="5"/>
  <c r="H56" i="5" s="1"/>
  <c r="K55" i="5"/>
  <c r="J55" i="5"/>
  <c r="I55" i="5"/>
  <c r="G55" i="5"/>
  <c r="F55" i="5"/>
  <c r="H55" i="5" s="1"/>
  <c r="K54" i="5"/>
  <c r="J54" i="5"/>
  <c r="I54" i="5"/>
  <c r="G54" i="5"/>
  <c r="F54" i="5"/>
  <c r="H54" i="5" s="1"/>
  <c r="K53" i="5"/>
  <c r="J53" i="5"/>
  <c r="I53" i="5"/>
  <c r="G53" i="5"/>
  <c r="F53" i="5"/>
  <c r="H53" i="5" s="1"/>
  <c r="K52" i="5"/>
  <c r="J52" i="5"/>
  <c r="I52" i="5"/>
  <c r="G52" i="5"/>
  <c r="F52" i="5"/>
  <c r="H52" i="5" s="1"/>
  <c r="K51" i="5"/>
  <c r="J51" i="5"/>
  <c r="I51" i="5"/>
  <c r="G51" i="5"/>
  <c r="F51" i="5"/>
  <c r="H51" i="5" s="1"/>
  <c r="K50" i="5"/>
  <c r="J50" i="5"/>
  <c r="I50" i="5"/>
  <c r="G50" i="5"/>
  <c r="F50" i="5"/>
  <c r="H50" i="5" s="1"/>
  <c r="K49" i="5"/>
  <c r="J49" i="5"/>
  <c r="I49" i="5"/>
  <c r="G49" i="5"/>
  <c r="F49" i="5"/>
  <c r="H49" i="5" s="1"/>
  <c r="K48" i="5"/>
  <c r="J48" i="5"/>
  <c r="I48" i="5"/>
  <c r="G48" i="5"/>
  <c r="F48" i="5"/>
  <c r="H48" i="5" s="1"/>
  <c r="K47" i="5"/>
  <c r="J47" i="5"/>
  <c r="I47" i="5"/>
  <c r="G47" i="5"/>
  <c r="F47" i="5"/>
  <c r="H47" i="5" s="1"/>
  <c r="K46" i="5"/>
  <c r="J46" i="5"/>
  <c r="I46" i="5"/>
  <c r="G46" i="5"/>
  <c r="F46" i="5"/>
  <c r="H46" i="5" s="1"/>
  <c r="K45" i="5"/>
  <c r="J45" i="5"/>
  <c r="I45" i="5"/>
  <c r="G45" i="5"/>
  <c r="F45" i="5"/>
  <c r="H45" i="5" s="1"/>
  <c r="K44" i="5"/>
  <c r="J44" i="5"/>
  <c r="I44" i="5"/>
  <c r="G44" i="5"/>
  <c r="F44" i="5"/>
  <c r="H44" i="5" s="1"/>
  <c r="K43" i="5"/>
  <c r="J43" i="5"/>
  <c r="I43" i="5"/>
  <c r="G43" i="5"/>
  <c r="F43" i="5"/>
  <c r="H43" i="5" s="1"/>
  <c r="K42" i="5"/>
  <c r="J42" i="5"/>
  <c r="I42" i="5"/>
  <c r="G42" i="5"/>
  <c r="F42" i="5"/>
  <c r="H42" i="5" s="1"/>
  <c r="K41" i="5"/>
  <c r="J41" i="5"/>
  <c r="I41" i="5"/>
  <c r="G41" i="5"/>
  <c r="F41" i="5"/>
  <c r="H41" i="5" s="1"/>
  <c r="K40" i="5"/>
  <c r="J40" i="5"/>
  <c r="I40" i="5"/>
  <c r="G40" i="5"/>
  <c r="F40" i="5"/>
  <c r="H40" i="5" s="1"/>
  <c r="K39" i="5"/>
  <c r="J39" i="5"/>
  <c r="I39" i="5"/>
  <c r="G39" i="5"/>
  <c r="F39" i="5"/>
  <c r="H39" i="5" s="1"/>
  <c r="K38" i="5"/>
  <c r="J38" i="5"/>
  <c r="I38" i="5"/>
  <c r="G38" i="5"/>
  <c r="F38" i="5"/>
  <c r="H38" i="5" s="1"/>
  <c r="K37" i="5"/>
  <c r="J37" i="5"/>
  <c r="I37" i="5"/>
  <c r="G37" i="5"/>
  <c r="F37" i="5"/>
  <c r="H37" i="5" s="1"/>
  <c r="K36" i="5"/>
  <c r="J36" i="5"/>
  <c r="I36" i="5"/>
  <c r="G36" i="5"/>
  <c r="F36" i="5"/>
  <c r="H36" i="5" s="1"/>
  <c r="K35" i="5"/>
  <c r="J35" i="5"/>
  <c r="I35" i="5"/>
  <c r="G35" i="5"/>
  <c r="F35" i="5"/>
  <c r="H35" i="5" s="1"/>
  <c r="K34" i="5"/>
  <c r="J34" i="5"/>
  <c r="I34" i="5"/>
  <c r="G34" i="5"/>
  <c r="F34" i="5"/>
  <c r="H34" i="5" s="1"/>
  <c r="K33" i="5"/>
  <c r="J33" i="5"/>
  <c r="I33" i="5"/>
  <c r="G33" i="5"/>
  <c r="F33" i="5"/>
  <c r="H33" i="5" s="1"/>
  <c r="K32" i="5"/>
  <c r="J32" i="5"/>
  <c r="I32" i="5"/>
  <c r="G32" i="5"/>
  <c r="F32" i="5"/>
  <c r="H32" i="5" s="1"/>
  <c r="K31" i="5"/>
  <c r="J31" i="5"/>
  <c r="I31" i="5"/>
  <c r="G31" i="5"/>
  <c r="F31" i="5"/>
  <c r="H31" i="5" s="1"/>
  <c r="K30" i="5"/>
  <c r="J30" i="5"/>
  <c r="I30" i="5"/>
  <c r="G30" i="5"/>
  <c r="F30" i="5"/>
  <c r="H30" i="5" s="1"/>
  <c r="K29" i="5"/>
  <c r="J29" i="5"/>
  <c r="I29" i="5"/>
  <c r="G29" i="5"/>
  <c r="F29" i="5"/>
  <c r="H29" i="5" s="1"/>
  <c r="K28" i="5"/>
  <c r="J28" i="5"/>
  <c r="I28" i="5"/>
  <c r="G28" i="5"/>
  <c r="F28" i="5"/>
  <c r="H28" i="5" s="1"/>
  <c r="K27" i="5"/>
  <c r="J27" i="5"/>
  <c r="I27" i="5"/>
  <c r="G27" i="5"/>
  <c r="F27" i="5"/>
  <c r="H27" i="5" s="1"/>
  <c r="K26" i="5"/>
  <c r="J26" i="5"/>
  <c r="I26" i="5"/>
  <c r="G26" i="5"/>
  <c r="F26" i="5"/>
  <c r="H26" i="5" s="1"/>
  <c r="K25" i="5"/>
  <c r="J25" i="5"/>
  <c r="I25" i="5"/>
  <c r="G25" i="5"/>
  <c r="F25" i="5"/>
  <c r="H25" i="5" s="1"/>
  <c r="K24" i="5"/>
  <c r="J24" i="5"/>
  <c r="I24" i="5"/>
  <c r="G24" i="5"/>
  <c r="F24" i="5"/>
  <c r="H24" i="5" s="1"/>
  <c r="K23" i="5"/>
  <c r="J23" i="5"/>
  <c r="I23" i="5"/>
  <c r="G23" i="5"/>
  <c r="F23" i="5"/>
  <c r="H23" i="5" s="1"/>
  <c r="K22" i="5"/>
  <c r="J22" i="5"/>
  <c r="I22" i="5"/>
  <c r="G22" i="5"/>
  <c r="F22" i="5"/>
  <c r="H22" i="5" s="1"/>
  <c r="K21" i="5"/>
  <c r="J21" i="5"/>
  <c r="I21" i="5"/>
  <c r="G21" i="5"/>
  <c r="F21" i="5"/>
  <c r="H21" i="5" s="1"/>
  <c r="K20" i="5"/>
  <c r="J20" i="5"/>
  <c r="I20" i="5"/>
  <c r="G20" i="5"/>
  <c r="F20" i="5"/>
  <c r="H20" i="5" s="1"/>
  <c r="K19" i="5"/>
  <c r="J19" i="5"/>
  <c r="I19" i="5"/>
  <c r="G19" i="5"/>
  <c r="F19" i="5"/>
  <c r="H19" i="5" s="1"/>
  <c r="K18" i="5"/>
  <c r="J18" i="5"/>
  <c r="I18" i="5"/>
  <c r="G18" i="5"/>
  <c r="F18" i="5"/>
  <c r="H18" i="5" s="1"/>
  <c r="K17" i="5"/>
  <c r="J17" i="5"/>
  <c r="I17" i="5"/>
  <c r="G17" i="5"/>
  <c r="F17" i="5"/>
  <c r="H17" i="5" s="1"/>
  <c r="K16" i="5"/>
  <c r="J16" i="5"/>
  <c r="I16" i="5"/>
  <c r="G16" i="5"/>
  <c r="F16" i="5"/>
  <c r="H16" i="5" s="1"/>
  <c r="K15" i="5"/>
  <c r="J15" i="5"/>
  <c r="I15" i="5"/>
  <c r="G15" i="5"/>
  <c r="F15" i="5"/>
  <c r="H15" i="5" s="1"/>
  <c r="K14" i="5"/>
  <c r="J14" i="5"/>
  <c r="I14" i="5"/>
  <c r="G14" i="5"/>
  <c r="F14" i="5"/>
  <c r="H14" i="5" s="1"/>
  <c r="K13" i="5"/>
  <c r="J13" i="5"/>
  <c r="I13" i="5"/>
  <c r="G13" i="5"/>
  <c r="F13" i="5"/>
  <c r="H13" i="5" s="1"/>
  <c r="K12" i="5"/>
  <c r="J12" i="5"/>
  <c r="I12" i="5"/>
  <c r="G12" i="5"/>
  <c r="F12" i="5"/>
  <c r="H12" i="5" s="1"/>
  <c r="K11" i="5"/>
  <c r="J11" i="5"/>
  <c r="I11" i="5"/>
  <c r="G11" i="5"/>
  <c r="F11" i="5"/>
  <c r="H11" i="5" s="1"/>
  <c r="K10" i="5"/>
  <c r="J10" i="5"/>
  <c r="I10" i="5"/>
  <c r="G10" i="5"/>
  <c r="F10" i="5"/>
  <c r="H10" i="5" s="1"/>
  <c r="K9" i="5"/>
  <c r="J9" i="5"/>
  <c r="I9" i="5"/>
  <c r="G9" i="5"/>
  <c r="F9" i="5"/>
  <c r="H9" i="5" s="1"/>
  <c r="K8" i="5"/>
  <c r="J8" i="5"/>
  <c r="I8" i="5"/>
  <c r="G8" i="5"/>
  <c r="F8" i="5"/>
  <c r="H8" i="5" s="1"/>
  <c r="K7" i="5"/>
  <c r="J7" i="5"/>
  <c r="I7" i="5"/>
  <c r="G7" i="5"/>
  <c r="F7" i="5"/>
  <c r="H7" i="5" s="1"/>
  <c r="K6" i="5"/>
  <c r="J6" i="5"/>
  <c r="I6" i="5"/>
  <c r="G6" i="5"/>
  <c r="F6" i="5"/>
  <c r="H6" i="5" s="1"/>
  <c r="K5" i="5"/>
  <c r="J5" i="5"/>
  <c r="I5" i="5"/>
  <c r="G5" i="5"/>
  <c r="F5" i="5"/>
  <c r="H5" i="5" s="1"/>
  <c r="T597" i="4"/>
  <c r="S597" i="4"/>
  <c r="O597" i="4"/>
  <c r="Q597" i="4" s="1"/>
  <c r="N597" i="4"/>
  <c r="P597" i="4" s="1"/>
  <c r="R597" i="4" s="1"/>
  <c r="G597" i="4"/>
  <c r="T596" i="4"/>
  <c r="S596" i="4"/>
  <c r="P596" i="4"/>
  <c r="R596" i="4" s="1"/>
  <c r="O596" i="4"/>
  <c r="N596" i="4"/>
  <c r="Q596" i="4" s="1"/>
  <c r="G596" i="4"/>
  <c r="T595" i="4"/>
  <c r="S595" i="4"/>
  <c r="O595" i="4"/>
  <c r="N595" i="4"/>
  <c r="G595" i="4"/>
  <c r="P595" i="4" s="1"/>
  <c r="R595" i="4" s="1"/>
  <c r="T594" i="4"/>
  <c r="S594" i="4"/>
  <c r="Q594" i="4"/>
  <c r="P594" i="4"/>
  <c r="R594" i="4" s="1"/>
  <c r="O594" i="4"/>
  <c r="N594" i="4"/>
  <c r="G594" i="4"/>
  <c r="T593" i="4"/>
  <c r="S593" i="4"/>
  <c r="O593" i="4"/>
  <c r="N593" i="4"/>
  <c r="Q593" i="4" s="1"/>
  <c r="G593" i="4"/>
  <c r="T592" i="4"/>
  <c r="S592" i="4"/>
  <c r="O592" i="4"/>
  <c r="N592" i="4"/>
  <c r="G592" i="4"/>
  <c r="T591" i="4"/>
  <c r="S591" i="4"/>
  <c r="O591" i="4"/>
  <c r="N591" i="4"/>
  <c r="Q591" i="4" s="1"/>
  <c r="G591" i="4"/>
  <c r="P591" i="4" s="1"/>
  <c r="R591" i="4" s="1"/>
  <c r="T590" i="4"/>
  <c r="S590" i="4"/>
  <c r="O590" i="4"/>
  <c r="N590" i="4"/>
  <c r="Q590" i="4" s="1"/>
  <c r="G590" i="4"/>
  <c r="T589" i="4"/>
  <c r="S589" i="4"/>
  <c r="O589" i="4"/>
  <c r="N589" i="4"/>
  <c r="Q589" i="4" s="1"/>
  <c r="G589" i="4"/>
  <c r="P589" i="4" s="1"/>
  <c r="R589" i="4" s="1"/>
  <c r="T588" i="4"/>
  <c r="S588" i="4"/>
  <c r="O588" i="4"/>
  <c r="N588" i="4"/>
  <c r="Q588" i="4" s="1"/>
  <c r="G588" i="4"/>
  <c r="T587" i="4"/>
  <c r="S587" i="4"/>
  <c r="O587" i="4"/>
  <c r="N587" i="4"/>
  <c r="Q587" i="4" s="1"/>
  <c r="G587" i="4"/>
  <c r="T586" i="4"/>
  <c r="S586" i="4"/>
  <c r="O586" i="4"/>
  <c r="N586" i="4"/>
  <c r="Q586" i="4" s="1"/>
  <c r="G586" i="4"/>
  <c r="T585" i="4"/>
  <c r="S585" i="4"/>
  <c r="O585" i="4"/>
  <c r="N585" i="4"/>
  <c r="Q585" i="4" s="1"/>
  <c r="G585" i="4"/>
  <c r="T584" i="4"/>
  <c r="S584" i="4"/>
  <c r="O584" i="4"/>
  <c r="N584" i="4"/>
  <c r="Q584" i="4" s="1"/>
  <c r="G584" i="4"/>
  <c r="T583" i="4"/>
  <c r="S583" i="4"/>
  <c r="O583" i="4"/>
  <c r="Q583" i="4" s="1"/>
  <c r="N583" i="4"/>
  <c r="G583" i="4"/>
  <c r="P583" i="4" s="1"/>
  <c r="R583" i="4" s="1"/>
  <c r="T582" i="4"/>
  <c r="S582" i="4"/>
  <c r="O582" i="4"/>
  <c r="N582" i="4"/>
  <c r="Q582" i="4" s="1"/>
  <c r="G582" i="4"/>
  <c r="T581" i="4"/>
  <c r="S581" i="4"/>
  <c r="O581" i="4"/>
  <c r="N581" i="4"/>
  <c r="Q581" i="4" s="1"/>
  <c r="G581" i="4"/>
  <c r="T580" i="4"/>
  <c r="S580" i="4"/>
  <c r="O580" i="4"/>
  <c r="N580" i="4"/>
  <c r="Q580" i="4" s="1"/>
  <c r="G580" i="4"/>
  <c r="P580" i="4" s="1"/>
  <c r="R580" i="4" s="1"/>
  <c r="T579" i="4"/>
  <c r="S579" i="4"/>
  <c r="O579" i="4"/>
  <c r="Q579" i="4" s="1"/>
  <c r="N579" i="4"/>
  <c r="G579" i="4"/>
  <c r="P579" i="4" s="1"/>
  <c r="R579" i="4" s="1"/>
  <c r="T578" i="4"/>
  <c r="S578" i="4"/>
  <c r="O578" i="4"/>
  <c r="N578" i="4"/>
  <c r="Q578" i="4" s="1"/>
  <c r="G578" i="4"/>
  <c r="T577" i="4"/>
  <c r="S577" i="4"/>
  <c r="O577" i="4"/>
  <c r="N577" i="4"/>
  <c r="Q577" i="4" s="1"/>
  <c r="G577" i="4"/>
  <c r="T576" i="4"/>
  <c r="S576" i="4"/>
  <c r="O576" i="4"/>
  <c r="N576" i="4"/>
  <c r="Q576" i="4" s="1"/>
  <c r="G576" i="4"/>
  <c r="P576" i="4" s="1"/>
  <c r="R576" i="4" s="1"/>
  <c r="T575" i="4"/>
  <c r="S575" i="4"/>
  <c r="O575" i="4"/>
  <c r="N575" i="4"/>
  <c r="G575" i="4"/>
  <c r="T574" i="4"/>
  <c r="S574" i="4"/>
  <c r="O574" i="4"/>
  <c r="N574" i="4"/>
  <c r="P574" i="4" s="1"/>
  <c r="R574" i="4" s="1"/>
  <c r="G574" i="4"/>
  <c r="T573" i="4"/>
  <c r="S573" i="4"/>
  <c r="O573" i="4"/>
  <c r="Q573" i="4" s="1"/>
  <c r="N573" i="4"/>
  <c r="P573" i="4" s="1"/>
  <c r="R573" i="4" s="1"/>
  <c r="G573" i="4"/>
  <c r="T572" i="4"/>
  <c r="S572" i="4"/>
  <c r="O572" i="4"/>
  <c r="N572" i="4"/>
  <c r="Q572" i="4" s="1"/>
  <c r="G572" i="4"/>
  <c r="T571" i="4"/>
  <c r="S571" i="4"/>
  <c r="O571" i="4"/>
  <c r="N571" i="4"/>
  <c r="Q571" i="4" s="1"/>
  <c r="G571" i="4"/>
  <c r="T570" i="4"/>
  <c r="S570" i="4"/>
  <c r="O570" i="4"/>
  <c r="N570" i="4"/>
  <c r="Q570" i="4" s="1"/>
  <c r="G570" i="4"/>
  <c r="P570" i="4" s="1"/>
  <c r="R570" i="4" s="1"/>
  <c r="T569" i="4"/>
  <c r="S569" i="4"/>
  <c r="O569" i="4"/>
  <c r="N569" i="4"/>
  <c r="G569" i="4"/>
  <c r="T568" i="4"/>
  <c r="S568" i="4"/>
  <c r="O568" i="4"/>
  <c r="N568" i="4"/>
  <c r="Q568" i="4" s="1"/>
  <c r="G568" i="4"/>
  <c r="T567" i="4"/>
  <c r="S567" i="4"/>
  <c r="O567" i="4"/>
  <c r="N567" i="4"/>
  <c r="Q567" i="4" s="1"/>
  <c r="G567" i="4"/>
  <c r="T566" i="4"/>
  <c r="S566" i="4"/>
  <c r="O566" i="4"/>
  <c r="N566" i="4"/>
  <c r="Q566" i="4" s="1"/>
  <c r="G566" i="4"/>
  <c r="T565" i="4"/>
  <c r="S565" i="4"/>
  <c r="O565" i="4"/>
  <c r="N565" i="4"/>
  <c r="G565" i="4"/>
  <c r="T564" i="4"/>
  <c r="S564" i="4"/>
  <c r="O564" i="4"/>
  <c r="N564" i="4"/>
  <c r="Q564" i="4" s="1"/>
  <c r="G564" i="4"/>
  <c r="T563" i="4"/>
  <c r="S563" i="4"/>
  <c r="O563" i="4"/>
  <c r="N563" i="4"/>
  <c r="Q563" i="4" s="1"/>
  <c r="G563" i="4"/>
  <c r="T562" i="4"/>
  <c r="S562" i="4"/>
  <c r="O562" i="4"/>
  <c r="N562" i="4"/>
  <c r="G562" i="4"/>
  <c r="T561" i="4"/>
  <c r="S561" i="4"/>
  <c r="O561" i="4"/>
  <c r="N561" i="4"/>
  <c r="Q561" i="4" s="1"/>
  <c r="G561" i="4"/>
  <c r="P561" i="4" s="1"/>
  <c r="R561" i="4" s="1"/>
  <c r="T560" i="4"/>
  <c r="S560" i="4"/>
  <c r="O560" i="4"/>
  <c r="N560" i="4"/>
  <c r="Q560" i="4" s="1"/>
  <c r="G560" i="4"/>
  <c r="T559" i="4"/>
  <c r="S559" i="4"/>
  <c r="O559" i="4"/>
  <c r="N559" i="4"/>
  <c r="Q559" i="4" s="1"/>
  <c r="G559" i="4"/>
  <c r="P559" i="4" s="1"/>
  <c r="R559" i="4" s="1"/>
  <c r="T558" i="4"/>
  <c r="S558" i="4"/>
  <c r="O558" i="4"/>
  <c r="N558" i="4"/>
  <c r="Q558" i="4" s="1"/>
  <c r="G558" i="4"/>
  <c r="T557" i="4"/>
  <c r="S557" i="4"/>
  <c r="O557" i="4"/>
  <c r="N557" i="4"/>
  <c r="Q557" i="4" s="1"/>
  <c r="G557" i="4"/>
  <c r="T556" i="4"/>
  <c r="S556" i="4"/>
  <c r="O556" i="4"/>
  <c r="N556" i="4"/>
  <c r="G556" i="4"/>
  <c r="T555" i="4"/>
  <c r="S555" i="4"/>
  <c r="O555" i="4"/>
  <c r="N555" i="4"/>
  <c r="Q555" i="4" s="1"/>
  <c r="G555" i="4"/>
  <c r="T554" i="4"/>
  <c r="S554" i="4"/>
  <c r="O554" i="4"/>
  <c r="N554" i="4"/>
  <c r="Q554" i="4" s="1"/>
  <c r="G554" i="4"/>
  <c r="T553" i="4"/>
  <c r="S553" i="4"/>
  <c r="O553" i="4"/>
  <c r="N553" i="4"/>
  <c r="Q553" i="4" s="1"/>
  <c r="G553" i="4"/>
  <c r="P553" i="4" s="1"/>
  <c r="R553" i="4" s="1"/>
  <c r="T552" i="4"/>
  <c r="S552" i="4"/>
  <c r="O552" i="4"/>
  <c r="N552" i="4"/>
  <c r="Q552" i="4" s="1"/>
  <c r="G552" i="4"/>
  <c r="P552" i="4" s="1"/>
  <c r="R552" i="4" s="1"/>
  <c r="T551" i="4"/>
  <c r="S551" i="4"/>
  <c r="O551" i="4"/>
  <c r="N551" i="4"/>
  <c r="G551" i="4"/>
  <c r="P551" i="4" s="1"/>
  <c r="R551" i="4" s="1"/>
  <c r="T550" i="4"/>
  <c r="S550" i="4"/>
  <c r="O550" i="4"/>
  <c r="N550" i="4"/>
  <c r="G550" i="4"/>
  <c r="T549" i="4"/>
  <c r="S549" i="4"/>
  <c r="O549" i="4"/>
  <c r="Q549" i="4" s="1"/>
  <c r="N549" i="4"/>
  <c r="P549" i="4" s="1"/>
  <c r="R549" i="4" s="1"/>
  <c r="G549" i="4"/>
  <c r="T548" i="4"/>
  <c r="S548" i="4"/>
  <c r="O548" i="4"/>
  <c r="N548" i="4"/>
  <c r="Q548" i="4" s="1"/>
  <c r="G548" i="4"/>
  <c r="T547" i="4"/>
  <c r="S547" i="4"/>
  <c r="O547" i="4"/>
  <c r="N547" i="4"/>
  <c r="P547" i="4" s="1"/>
  <c r="R547" i="4" s="1"/>
  <c r="G547" i="4"/>
  <c r="T546" i="4"/>
  <c r="S546" i="4"/>
  <c r="O546" i="4"/>
  <c r="N546" i="4"/>
  <c r="Q546" i="4" s="1"/>
  <c r="G546" i="4"/>
  <c r="T545" i="4"/>
  <c r="S545" i="4"/>
  <c r="O545" i="4"/>
  <c r="N545" i="4"/>
  <c r="G545" i="4"/>
  <c r="T544" i="4"/>
  <c r="S544" i="4"/>
  <c r="O544" i="4"/>
  <c r="N544" i="4"/>
  <c r="Q544" i="4" s="1"/>
  <c r="G544" i="4"/>
  <c r="T543" i="4"/>
  <c r="S543" i="4"/>
  <c r="O543" i="4"/>
  <c r="N543" i="4"/>
  <c r="G543" i="4"/>
  <c r="T542" i="4"/>
  <c r="S542" i="4"/>
  <c r="O542" i="4"/>
  <c r="N542" i="4"/>
  <c r="Q542" i="4" s="1"/>
  <c r="G542" i="4"/>
  <c r="T541" i="4"/>
  <c r="S541" i="4"/>
  <c r="O541" i="4"/>
  <c r="N541" i="4"/>
  <c r="G541" i="4"/>
  <c r="T540" i="4"/>
  <c r="S540" i="4"/>
  <c r="O540" i="4"/>
  <c r="Q540" i="4" s="1"/>
  <c r="N540" i="4"/>
  <c r="P540" i="4" s="1"/>
  <c r="R540" i="4" s="1"/>
  <c r="G540" i="4"/>
  <c r="T539" i="4"/>
  <c r="S539" i="4"/>
  <c r="O539" i="4"/>
  <c r="N539" i="4"/>
  <c r="G539" i="4"/>
  <c r="T538" i="4"/>
  <c r="S538" i="4"/>
  <c r="Q538" i="4"/>
  <c r="O538" i="4"/>
  <c r="N538" i="4"/>
  <c r="G538" i="4"/>
  <c r="T537" i="4"/>
  <c r="S537" i="4"/>
  <c r="O537" i="4"/>
  <c r="N537" i="4"/>
  <c r="Q537" i="4" s="1"/>
  <c r="G537" i="4"/>
  <c r="T536" i="4"/>
  <c r="S536" i="4"/>
  <c r="O536" i="4"/>
  <c r="N536" i="4"/>
  <c r="G536" i="4"/>
  <c r="T535" i="4"/>
  <c r="S535" i="4"/>
  <c r="O535" i="4"/>
  <c r="N535" i="4"/>
  <c r="Q535" i="4" s="1"/>
  <c r="G535" i="4"/>
  <c r="T534" i="4"/>
  <c r="S534" i="4"/>
  <c r="O534" i="4"/>
  <c r="N534" i="4"/>
  <c r="Q534" i="4" s="1"/>
  <c r="G534" i="4"/>
  <c r="T533" i="4"/>
  <c r="S533" i="4"/>
  <c r="O533" i="4"/>
  <c r="N533" i="4"/>
  <c r="Q533" i="4" s="1"/>
  <c r="G533" i="4"/>
  <c r="T532" i="4"/>
  <c r="S532" i="4"/>
  <c r="O532" i="4"/>
  <c r="N532" i="4"/>
  <c r="G532" i="4"/>
  <c r="T531" i="4"/>
  <c r="S531" i="4"/>
  <c r="O531" i="4"/>
  <c r="N531" i="4"/>
  <c r="Q531" i="4" s="1"/>
  <c r="G531" i="4"/>
  <c r="T530" i="4"/>
  <c r="S530" i="4"/>
  <c r="O530" i="4"/>
  <c r="N530" i="4"/>
  <c r="Q530" i="4" s="1"/>
  <c r="G530" i="4"/>
  <c r="T529" i="4"/>
  <c r="S529" i="4"/>
  <c r="O529" i="4"/>
  <c r="N529" i="4"/>
  <c r="Q529" i="4" s="1"/>
  <c r="G529" i="4"/>
  <c r="T528" i="4"/>
  <c r="S528" i="4"/>
  <c r="O528" i="4"/>
  <c r="N528" i="4"/>
  <c r="Q528" i="4" s="1"/>
  <c r="G528" i="4"/>
  <c r="T527" i="4"/>
  <c r="S527" i="4"/>
  <c r="O527" i="4"/>
  <c r="N527" i="4"/>
  <c r="G527" i="4"/>
  <c r="T526" i="4"/>
  <c r="S526" i="4"/>
  <c r="O526" i="4"/>
  <c r="N526" i="4"/>
  <c r="G526" i="4"/>
  <c r="T525" i="4"/>
  <c r="S525" i="4"/>
  <c r="O525" i="4"/>
  <c r="N525" i="4"/>
  <c r="G525" i="4"/>
  <c r="T524" i="4"/>
  <c r="S524" i="4"/>
  <c r="O524" i="4"/>
  <c r="N524" i="4"/>
  <c r="G524" i="4"/>
  <c r="T523" i="4"/>
  <c r="S523" i="4"/>
  <c r="O523" i="4"/>
  <c r="N523" i="4"/>
  <c r="Q523" i="4" s="1"/>
  <c r="G523" i="4"/>
  <c r="T522" i="4"/>
  <c r="S522" i="4"/>
  <c r="P522" i="4"/>
  <c r="R522" i="4" s="1"/>
  <c r="O522" i="4"/>
  <c r="N522" i="4"/>
  <c r="G522" i="4"/>
  <c r="T521" i="4"/>
  <c r="S521" i="4"/>
  <c r="O521" i="4"/>
  <c r="N521" i="4"/>
  <c r="Q521" i="4" s="1"/>
  <c r="G521" i="4"/>
  <c r="P521" i="4" s="1"/>
  <c r="R521" i="4" s="1"/>
  <c r="T520" i="4"/>
  <c r="S520" i="4"/>
  <c r="O520" i="4"/>
  <c r="N520" i="4"/>
  <c r="Q520" i="4" s="1"/>
  <c r="G520" i="4"/>
  <c r="T519" i="4"/>
  <c r="S519" i="4"/>
  <c r="O519" i="4"/>
  <c r="Q519" i="4" s="1"/>
  <c r="N519" i="4"/>
  <c r="P519" i="4" s="1"/>
  <c r="R519" i="4" s="1"/>
  <c r="G519" i="4"/>
  <c r="T518" i="4"/>
  <c r="S518" i="4"/>
  <c r="O518" i="4"/>
  <c r="N518" i="4"/>
  <c r="G518" i="4"/>
  <c r="T517" i="4"/>
  <c r="S517" i="4"/>
  <c r="O517" i="4"/>
  <c r="N517" i="4"/>
  <c r="Q517" i="4" s="1"/>
  <c r="G517" i="4"/>
  <c r="T516" i="4"/>
  <c r="S516" i="4"/>
  <c r="Q516" i="4"/>
  <c r="O516" i="4"/>
  <c r="N516" i="4"/>
  <c r="G516" i="4"/>
  <c r="T515" i="4"/>
  <c r="S515" i="4"/>
  <c r="O515" i="4"/>
  <c r="N515" i="4"/>
  <c r="G515" i="4"/>
  <c r="T514" i="4"/>
  <c r="S514" i="4"/>
  <c r="O514" i="4"/>
  <c r="N514" i="4"/>
  <c r="G514" i="4"/>
  <c r="T513" i="4"/>
  <c r="S513" i="4"/>
  <c r="Q513" i="4"/>
  <c r="O513" i="4"/>
  <c r="N513" i="4"/>
  <c r="G513" i="4"/>
  <c r="P513" i="4" s="1"/>
  <c r="R513" i="4" s="1"/>
  <c r="T512" i="4"/>
  <c r="S512" i="4"/>
  <c r="O512" i="4"/>
  <c r="N512" i="4"/>
  <c r="Q512" i="4" s="1"/>
  <c r="G512" i="4"/>
  <c r="T511" i="4"/>
  <c r="S511" i="4"/>
  <c r="O511" i="4"/>
  <c r="N511" i="4"/>
  <c r="G511" i="4"/>
  <c r="T510" i="4"/>
  <c r="S510" i="4"/>
  <c r="O510" i="4"/>
  <c r="N510" i="4"/>
  <c r="Q510" i="4" s="1"/>
  <c r="G510" i="4"/>
  <c r="T509" i="4"/>
  <c r="S509" i="4"/>
  <c r="O509" i="4"/>
  <c r="N509" i="4"/>
  <c r="Q509" i="4" s="1"/>
  <c r="G509" i="4"/>
  <c r="T508" i="4"/>
  <c r="S508" i="4"/>
  <c r="O508" i="4"/>
  <c r="N508" i="4"/>
  <c r="P508" i="4" s="1"/>
  <c r="R508" i="4" s="1"/>
  <c r="G508" i="4"/>
  <c r="T507" i="4"/>
  <c r="S507" i="4"/>
  <c r="O507" i="4"/>
  <c r="N507" i="4"/>
  <c r="Q507" i="4" s="1"/>
  <c r="G507" i="4"/>
  <c r="T506" i="4"/>
  <c r="S506" i="4"/>
  <c r="O506" i="4"/>
  <c r="N506" i="4"/>
  <c r="Q506" i="4" s="1"/>
  <c r="G506" i="4"/>
  <c r="T505" i="4"/>
  <c r="S505" i="4"/>
  <c r="Q505" i="4"/>
  <c r="O505" i="4"/>
  <c r="N505" i="4"/>
  <c r="G505" i="4"/>
  <c r="T504" i="4"/>
  <c r="S504" i="4"/>
  <c r="O504" i="4"/>
  <c r="N504" i="4"/>
  <c r="Q504" i="4" s="1"/>
  <c r="G504" i="4"/>
  <c r="T503" i="4"/>
  <c r="S503" i="4"/>
  <c r="O503" i="4"/>
  <c r="N503" i="4"/>
  <c r="G503" i="4"/>
  <c r="T502" i="4"/>
  <c r="S502" i="4"/>
  <c r="O502" i="4"/>
  <c r="N502" i="4"/>
  <c r="Q502" i="4" s="1"/>
  <c r="G502" i="4"/>
  <c r="T501" i="4"/>
  <c r="S501" i="4"/>
  <c r="O501" i="4"/>
  <c r="N501" i="4"/>
  <c r="G501" i="4"/>
  <c r="T500" i="4"/>
  <c r="S500" i="4"/>
  <c r="O500" i="4"/>
  <c r="N500" i="4"/>
  <c r="Q500" i="4" s="1"/>
  <c r="G500" i="4"/>
  <c r="T499" i="4"/>
  <c r="S499" i="4"/>
  <c r="Q499" i="4"/>
  <c r="O499" i="4"/>
  <c r="N499" i="4"/>
  <c r="G499" i="4"/>
  <c r="T498" i="4"/>
  <c r="S498" i="4"/>
  <c r="O498" i="4"/>
  <c r="N498" i="4"/>
  <c r="Q498" i="4" s="1"/>
  <c r="G498" i="4"/>
  <c r="P498" i="4" s="1"/>
  <c r="R498" i="4" s="1"/>
  <c r="T497" i="4"/>
  <c r="S497" i="4"/>
  <c r="O497" i="4"/>
  <c r="N497" i="4"/>
  <c r="P497" i="4" s="1"/>
  <c r="R497" i="4" s="1"/>
  <c r="G497" i="4"/>
  <c r="T496" i="4"/>
  <c r="S496" i="4"/>
  <c r="O496" i="4"/>
  <c r="Q496" i="4" s="1"/>
  <c r="N496" i="4"/>
  <c r="P496" i="4" s="1"/>
  <c r="R496" i="4" s="1"/>
  <c r="G496" i="4"/>
  <c r="T495" i="4"/>
  <c r="S495" i="4"/>
  <c r="O495" i="4"/>
  <c r="N495" i="4"/>
  <c r="Q495" i="4" s="1"/>
  <c r="G495" i="4"/>
  <c r="T494" i="4"/>
  <c r="S494" i="4"/>
  <c r="O494" i="4"/>
  <c r="N494" i="4"/>
  <c r="G494" i="4"/>
  <c r="T493" i="4"/>
  <c r="S493" i="4"/>
  <c r="O493" i="4"/>
  <c r="N493" i="4"/>
  <c r="G493" i="4"/>
  <c r="T492" i="4"/>
  <c r="S492" i="4"/>
  <c r="Q492" i="4"/>
  <c r="O492" i="4"/>
  <c r="N492" i="4"/>
  <c r="G492" i="4"/>
  <c r="T491" i="4"/>
  <c r="S491" i="4"/>
  <c r="O491" i="4"/>
  <c r="N491" i="4"/>
  <c r="G491" i="4"/>
  <c r="T490" i="4"/>
  <c r="S490" i="4"/>
  <c r="O490" i="4"/>
  <c r="N490" i="4"/>
  <c r="G490" i="4"/>
  <c r="T489" i="4"/>
  <c r="S489" i="4"/>
  <c r="O489" i="4"/>
  <c r="N489" i="4"/>
  <c r="Q489" i="4" s="1"/>
  <c r="G489" i="4"/>
  <c r="T488" i="4"/>
  <c r="S488" i="4"/>
  <c r="O488" i="4"/>
  <c r="N488" i="4"/>
  <c r="G488" i="4"/>
  <c r="P488" i="4" s="1"/>
  <c r="R488" i="4" s="1"/>
  <c r="T487" i="4"/>
  <c r="S487" i="4"/>
  <c r="O487" i="4"/>
  <c r="N487" i="4"/>
  <c r="G487" i="4"/>
  <c r="T486" i="4"/>
  <c r="S486" i="4"/>
  <c r="O486" i="4"/>
  <c r="N486" i="4"/>
  <c r="G486" i="4"/>
  <c r="T485" i="4"/>
  <c r="S485" i="4"/>
  <c r="O485" i="4"/>
  <c r="N485" i="4"/>
  <c r="G485" i="4"/>
  <c r="T484" i="4"/>
  <c r="S484" i="4"/>
  <c r="O484" i="4"/>
  <c r="N484" i="4"/>
  <c r="P484" i="4" s="1"/>
  <c r="R484" i="4" s="1"/>
  <c r="G484" i="4"/>
  <c r="T483" i="4"/>
  <c r="S483" i="4"/>
  <c r="O483" i="4"/>
  <c r="N483" i="4"/>
  <c r="G483" i="4"/>
  <c r="T482" i="4"/>
  <c r="S482" i="4"/>
  <c r="O482" i="4"/>
  <c r="N482" i="4"/>
  <c r="Q482" i="4" s="1"/>
  <c r="G482" i="4"/>
  <c r="T481" i="4"/>
  <c r="S481" i="4"/>
  <c r="O481" i="4"/>
  <c r="N481" i="4"/>
  <c r="Q481" i="4" s="1"/>
  <c r="G481" i="4"/>
  <c r="T480" i="4"/>
  <c r="S480" i="4"/>
  <c r="O480" i="4"/>
  <c r="Q480" i="4" s="1"/>
  <c r="N480" i="4"/>
  <c r="G480" i="4"/>
  <c r="P480" i="4" s="1"/>
  <c r="R480" i="4" s="1"/>
  <c r="T479" i="4"/>
  <c r="S479" i="4"/>
  <c r="O479" i="4"/>
  <c r="N479" i="4"/>
  <c r="Q479" i="4" s="1"/>
  <c r="G479" i="4"/>
  <c r="T478" i="4"/>
  <c r="S478" i="4"/>
  <c r="Q478" i="4"/>
  <c r="O478" i="4"/>
  <c r="N478" i="4"/>
  <c r="G478" i="4"/>
  <c r="T477" i="4"/>
  <c r="S477" i="4"/>
  <c r="O477" i="4"/>
  <c r="N477" i="4"/>
  <c r="G477" i="4"/>
  <c r="T476" i="4"/>
  <c r="S476" i="4"/>
  <c r="P476" i="4"/>
  <c r="R476" i="4" s="1"/>
  <c r="O476" i="4"/>
  <c r="N476" i="4"/>
  <c r="G476" i="4"/>
  <c r="T475" i="4"/>
  <c r="S475" i="4"/>
  <c r="O475" i="4"/>
  <c r="N475" i="4"/>
  <c r="G475" i="4"/>
  <c r="P475" i="4" s="1"/>
  <c r="R475" i="4" s="1"/>
  <c r="T474" i="4"/>
  <c r="S474" i="4"/>
  <c r="O474" i="4"/>
  <c r="Q474" i="4" s="1"/>
  <c r="N474" i="4"/>
  <c r="G474" i="4"/>
  <c r="T473" i="4"/>
  <c r="S473" i="4"/>
  <c r="O473" i="4"/>
  <c r="N473" i="4"/>
  <c r="G473" i="4"/>
  <c r="T472" i="4"/>
  <c r="S472" i="4"/>
  <c r="O472" i="4"/>
  <c r="N472" i="4"/>
  <c r="Q472" i="4" s="1"/>
  <c r="G472" i="4"/>
  <c r="T471" i="4"/>
  <c r="S471" i="4"/>
  <c r="O471" i="4"/>
  <c r="N471" i="4"/>
  <c r="Q471" i="4" s="1"/>
  <c r="G471" i="4"/>
  <c r="T470" i="4"/>
  <c r="S470" i="4"/>
  <c r="O470" i="4"/>
  <c r="N470" i="4"/>
  <c r="P470" i="4" s="1"/>
  <c r="R470" i="4" s="1"/>
  <c r="G470" i="4"/>
  <c r="T469" i="4"/>
  <c r="S469" i="4"/>
  <c r="O469" i="4"/>
  <c r="N469" i="4"/>
  <c r="G469" i="4"/>
  <c r="T468" i="4"/>
  <c r="S468" i="4"/>
  <c r="O468" i="4"/>
  <c r="N468" i="4"/>
  <c r="G468" i="4"/>
  <c r="T467" i="4"/>
  <c r="S467" i="4"/>
  <c r="O467" i="4"/>
  <c r="N467" i="4"/>
  <c r="G467" i="4"/>
  <c r="T466" i="4"/>
  <c r="S466" i="4"/>
  <c r="O466" i="4"/>
  <c r="N466" i="4"/>
  <c r="P466" i="4" s="1"/>
  <c r="R466" i="4" s="1"/>
  <c r="G466" i="4"/>
  <c r="T465" i="4"/>
  <c r="S465" i="4"/>
  <c r="Q465" i="4"/>
  <c r="O465" i="4"/>
  <c r="N465" i="4"/>
  <c r="P465" i="4" s="1"/>
  <c r="R465" i="4" s="1"/>
  <c r="G465" i="4"/>
  <c r="T464" i="4"/>
  <c r="S464" i="4"/>
  <c r="O464" i="4"/>
  <c r="N464" i="4"/>
  <c r="G464" i="4"/>
  <c r="P464" i="4" s="1"/>
  <c r="R464" i="4" s="1"/>
  <c r="T463" i="4"/>
  <c r="S463" i="4"/>
  <c r="O463" i="4"/>
  <c r="Q463" i="4" s="1"/>
  <c r="N463" i="4"/>
  <c r="P463" i="4" s="1"/>
  <c r="R463" i="4" s="1"/>
  <c r="G463" i="4"/>
  <c r="T462" i="4"/>
  <c r="S462" i="4"/>
  <c r="O462" i="4"/>
  <c r="N462" i="4"/>
  <c r="Q462" i="4" s="1"/>
  <c r="G462" i="4"/>
  <c r="T461" i="4"/>
  <c r="S461" i="4"/>
  <c r="P461" i="4"/>
  <c r="R461" i="4" s="1"/>
  <c r="O461" i="4"/>
  <c r="N461" i="4"/>
  <c r="Q461" i="4" s="1"/>
  <c r="G461" i="4"/>
  <c r="T460" i="4"/>
  <c r="S460" i="4"/>
  <c r="O460" i="4"/>
  <c r="N460" i="4"/>
  <c r="Q460" i="4" s="1"/>
  <c r="G460" i="4"/>
  <c r="T459" i="4"/>
  <c r="S459" i="4"/>
  <c r="O459" i="4"/>
  <c r="Q459" i="4" s="1"/>
  <c r="N459" i="4"/>
  <c r="G459" i="4"/>
  <c r="T458" i="4"/>
  <c r="S458" i="4"/>
  <c r="O458" i="4"/>
  <c r="N458" i="4"/>
  <c r="G458" i="4"/>
  <c r="T457" i="4"/>
  <c r="S457" i="4"/>
  <c r="O457" i="4"/>
  <c r="N457" i="4"/>
  <c r="Q457" i="4" s="1"/>
  <c r="G457" i="4"/>
  <c r="T456" i="4"/>
  <c r="S456" i="4"/>
  <c r="O456" i="4"/>
  <c r="N456" i="4"/>
  <c r="Q456" i="4" s="1"/>
  <c r="G456" i="4"/>
  <c r="T455" i="4"/>
  <c r="S455" i="4"/>
  <c r="O455" i="4"/>
  <c r="N455" i="4"/>
  <c r="Q455" i="4" s="1"/>
  <c r="G455" i="4"/>
  <c r="T454" i="4"/>
  <c r="S454" i="4"/>
  <c r="O454" i="4"/>
  <c r="N454" i="4"/>
  <c r="G454" i="4"/>
  <c r="T453" i="4"/>
  <c r="S453" i="4"/>
  <c r="O453" i="4"/>
  <c r="N453" i="4"/>
  <c r="G453" i="4"/>
  <c r="T452" i="4"/>
  <c r="S452" i="4"/>
  <c r="O452" i="4"/>
  <c r="N452" i="4"/>
  <c r="G452" i="4"/>
  <c r="T451" i="4"/>
  <c r="S451" i="4"/>
  <c r="O451" i="4"/>
  <c r="N451" i="4"/>
  <c r="Q451" i="4" s="1"/>
  <c r="G451" i="4"/>
  <c r="T450" i="4"/>
  <c r="S450" i="4"/>
  <c r="O450" i="4"/>
  <c r="N450" i="4"/>
  <c r="P450" i="4" s="1"/>
  <c r="R450" i="4" s="1"/>
  <c r="G450" i="4"/>
  <c r="T449" i="4"/>
  <c r="S449" i="4"/>
  <c r="O449" i="4"/>
  <c r="N449" i="4"/>
  <c r="Q449" i="4" s="1"/>
  <c r="G449" i="4"/>
  <c r="T448" i="4"/>
  <c r="S448" i="4"/>
  <c r="O448" i="4"/>
  <c r="N448" i="4"/>
  <c r="G448" i="4"/>
  <c r="T447" i="4"/>
  <c r="S447" i="4"/>
  <c r="Q447" i="4"/>
  <c r="O447" i="4"/>
  <c r="N447" i="4"/>
  <c r="G447" i="4"/>
  <c r="P447" i="4" s="1"/>
  <c r="R447" i="4" s="1"/>
  <c r="T446" i="4"/>
  <c r="S446" i="4"/>
  <c r="O446" i="4"/>
  <c r="N446" i="4"/>
  <c r="G446" i="4"/>
  <c r="T445" i="4"/>
  <c r="S445" i="4"/>
  <c r="O445" i="4"/>
  <c r="N445" i="4"/>
  <c r="Q445" i="4" s="1"/>
  <c r="G445" i="4"/>
  <c r="T444" i="4"/>
  <c r="S444" i="4"/>
  <c r="O444" i="4"/>
  <c r="N444" i="4"/>
  <c r="G444" i="4"/>
  <c r="T443" i="4"/>
  <c r="S443" i="4"/>
  <c r="O443" i="4"/>
  <c r="N443" i="4"/>
  <c r="Q443" i="4" s="1"/>
  <c r="G443" i="4"/>
  <c r="T442" i="4"/>
  <c r="S442" i="4"/>
  <c r="P442" i="4"/>
  <c r="R442" i="4" s="1"/>
  <c r="O442" i="4"/>
  <c r="Q442" i="4" s="1"/>
  <c r="N442" i="4"/>
  <c r="G442" i="4"/>
  <c r="T441" i="4"/>
  <c r="S441" i="4"/>
  <c r="Q441" i="4"/>
  <c r="O441" i="4"/>
  <c r="N441" i="4"/>
  <c r="G441" i="4"/>
  <c r="T440" i="4"/>
  <c r="S440" i="4"/>
  <c r="O440" i="4"/>
  <c r="N440" i="4"/>
  <c r="G440" i="4"/>
  <c r="T439" i="4"/>
  <c r="S439" i="4"/>
  <c r="O439" i="4"/>
  <c r="N439" i="4"/>
  <c r="G439" i="4"/>
  <c r="T438" i="4"/>
  <c r="S438" i="4"/>
  <c r="O438" i="4"/>
  <c r="N438" i="4"/>
  <c r="P438" i="4" s="1"/>
  <c r="R438" i="4" s="1"/>
  <c r="G438" i="4"/>
  <c r="T437" i="4"/>
  <c r="S437" i="4"/>
  <c r="O437" i="4"/>
  <c r="N437" i="4"/>
  <c r="G437" i="4"/>
  <c r="T436" i="4"/>
  <c r="S436" i="4"/>
  <c r="O436" i="4"/>
  <c r="N436" i="4"/>
  <c r="Q436" i="4" s="1"/>
  <c r="G436" i="4"/>
  <c r="T435" i="4"/>
  <c r="S435" i="4"/>
  <c r="O435" i="4"/>
  <c r="N435" i="4"/>
  <c r="G435" i="4"/>
  <c r="T434" i="4"/>
  <c r="S434" i="4"/>
  <c r="O434" i="4"/>
  <c r="N434" i="4"/>
  <c r="G434" i="4"/>
  <c r="T433" i="4"/>
  <c r="S433" i="4"/>
  <c r="P433" i="4"/>
  <c r="R433" i="4" s="1"/>
  <c r="O433" i="4"/>
  <c r="N433" i="4"/>
  <c r="Q433" i="4" s="1"/>
  <c r="G433" i="4"/>
  <c r="T432" i="4"/>
  <c r="S432" i="4"/>
  <c r="O432" i="4"/>
  <c r="N432" i="4"/>
  <c r="G432" i="4"/>
  <c r="P432" i="4" s="1"/>
  <c r="R432" i="4" s="1"/>
  <c r="T431" i="4"/>
  <c r="S431" i="4"/>
  <c r="O431" i="4"/>
  <c r="N431" i="4"/>
  <c r="G431" i="4"/>
  <c r="T430" i="4"/>
  <c r="S430" i="4"/>
  <c r="O430" i="4"/>
  <c r="N430" i="4"/>
  <c r="G430" i="4"/>
  <c r="T429" i="4"/>
  <c r="S429" i="4"/>
  <c r="O429" i="4"/>
  <c r="Q429" i="4" s="1"/>
  <c r="N429" i="4"/>
  <c r="G429" i="4"/>
  <c r="T428" i="4"/>
  <c r="S428" i="4"/>
  <c r="O428" i="4"/>
  <c r="N428" i="4"/>
  <c r="G428" i="4"/>
  <c r="P428" i="4" s="1"/>
  <c r="R428" i="4" s="1"/>
  <c r="T427" i="4"/>
  <c r="S427" i="4"/>
  <c r="P427" i="4"/>
  <c r="R427" i="4" s="1"/>
  <c r="O427" i="4"/>
  <c r="Q427" i="4" s="1"/>
  <c r="N427" i="4"/>
  <c r="G427" i="4"/>
  <c r="T426" i="4"/>
  <c r="S426" i="4"/>
  <c r="O426" i="4"/>
  <c r="N426" i="4"/>
  <c r="G426" i="4"/>
  <c r="T425" i="4"/>
  <c r="S425" i="4"/>
  <c r="O425" i="4"/>
  <c r="N425" i="4"/>
  <c r="P425" i="4" s="1"/>
  <c r="R425" i="4" s="1"/>
  <c r="G425" i="4"/>
  <c r="T424" i="4"/>
  <c r="S424" i="4"/>
  <c r="O424" i="4"/>
  <c r="N424" i="4"/>
  <c r="Q424" i="4" s="1"/>
  <c r="G424" i="4"/>
  <c r="P424" i="4" s="1"/>
  <c r="R424" i="4" s="1"/>
  <c r="T423" i="4"/>
  <c r="S423" i="4"/>
  <c r="O423" i="4"/>
  <c r="N423" i="4"/>
  <c r="G423" i="4"/>
  <c r="T422" i="4"/>
  <c r="S422" i="4"/>
  <c r="O422" i="4"/>
  <c r="N422" i="4"/>
  <c r="G422" i="4"/>
  <c r="T421" i="4"/>
  <c r="S421" i="4"/>
  <c r="O421" i="4"/>
  <c r="N421" i="4"/>
  <c r="Q421" i="4" s="1"/>
  <c r="G421" i="4"/>
  <c r="P421" i="4" s="1"/>
  <c r="R421" i="4" s="1"/>
  <c r="T420" i="4"/>
  <c r="S420" i="4"/>
  <c r="Q420" i="4"/>
  <c r="O420" i="4"/>
  <c r="N420" i="4"/>
  <c r="G420" i="4"/>
  <c r="T419" i="4"/>
  <c r="S419" i="4"/>
  <c r="O419" i="4"/>
  <c r="N419" i="4"/>
  <c r="G419" i="4"/>
  <c r="T418" i="4"/>
  <c r="S418" i="4"/>
  <c r="O418" i="4"/>
  <c r="N418" i="4"/>
  <c r="Q418" i="4" s="1"/>
  <c r="G418" i="4"/>
  <c r="T417" i="4"/>
  <c r="S417" i="4"/>
  <c r="O417" i="4"/>
  <c r="N417" i="4"/>
  <c r="Q417" i="4" s="1"/>
  <c r="G417" i="4"/>
  <c r="P417" i="4" s="1"/>
  <c r="R417" i="4" s="1"/>
  <c r="T416" i="4"/>
  <c r="S416" i="4"/>
  <c r="O416" i="4"/>
  <c r="N416" i="4"/>
  <c r="G416" i="4"/>
  <c r="T415" i="4"/>
  <c r="S415" i="4"/>
  <c r="O415" i="4"/>
  <c r="N415" i="4"/>
  <c r="P415" i="4" s="1"/>
  <c r="R415" i="4" s="1"/>
  <c r="G415" i="4"/>
  <c r="T414" i="4"/>
  <c r="S414" i="4"/>
  <c r="P414" i="4"/>
  <c r="R414" i="4" s="1"/>
  <c r="O414" i="4"/>
  <c r="N414" i="4"/>
  <c r="Q414" i="4" s="1"/>
  <c r="G414" i="4"/>
  <c r="T413" i="4"/>
  <c r="S413" i="4"/>
  <c r="O413" i="4"/>
  <c r="N413" i="4"/>
  <c r="G413" i="4"/>
  <c r="T412" i="4"/>
  <c r="S412" i="4"/>
  <c r="O412" i="4"/>
  <c r="N412" i="4"/>
  <c r="G412" i="4"/>
  <c r="T411" i="4"/>
  <c r="S411" i="4"/>
  <c r="O411" i="4"/>
  <c r="N411" i="4"/>
  <c r="G411" i="4"/>
  <c r="T410" i="4"/>
  <c r="S410" i="4"/>
  <c r="O410" i="4"/>
  <c r="N410" i="4"/>
  <c r="P410" i="4" s="1"/>
  <c r="R410" i="4" s="1"/>
  <c r="G410" i="4"/>
  <c r="T409" i="4"/>
  <c r="S409" i="4"/>
  <c r="O409" i="4"/>
  <c r="N409" i="4"/>
  <c r="P409" i="4" s="1"/>
  <c r="R409" i="4" s="1"/>
  <c r="G409" i="4"/>
  <c r="T408" i="4"/>
  <c r="S408" i="4"/>
  <c r="O408" i="4"/>
  <c r="N408" i="4"/>
  <c r="Q408" i="4" s="1"/>
  <c r="G408" i="4"/>
  <c r="T407" i="4"/>
  <c r="S407" i="4"/>
  <c r="O407" i="4"/>
  <c r="N407" i="4"/>
  <c r="G407" i="4"/>
  <c r="T406" i="4"/>
  <c r="S406" i="4"/>
  <c r="O406" i="4"/>
  <c r="N406" i="4"/>
  <c r="P406" i="4" s="1"/>
  <c r="R406" i="4" s="1"/>
  <c r="G406" i="4"/>
  <c r="T405" i="4"/>
  <c r="S405" i="4"/>
  <c r="O405" i="4"/>
  <c r="Q405" i="4" s="1"/>
  <c r="N405" i="4"/>
  <c r="P405" i="4" s="1"/>
  <c r="R405" i="4" s="1"/>
  <c r="G405" i="4"/>
  <c r="T404" i="4"/>
  <c r="S404" i="4"/>
  <c r="O404" i="4"/>
  <c r="N404" i="4"/>
  <c r="Q404" i="4" s="1"/>
  <c r="G404" i="4"/>
  <c r="T403" i="4"/>
  <c r="S403" i="4"/>
  <c r="O403" i="4"/>
  <c r="N403" i="4"/>
  <c r="G403" i="4"/>
  <c r="T402" i="4"/>
  <c r="S402" i="4"/>
  <c r="O402" i="4"/>
  <c r="N402" i="4"/>
  <c r="G402" i="4"/>
  <c r="T401" i="4"/>
  <c r="S401" i="4"/>
  <c r="O401" i="4"/>
  <c r="N401" i="4"/>
  <c r="P401" i="4" s="1"/>
  <c r="R401" i="4" s="1"/>
  <c r="G401" i="4"/>
  <c r="T400" i="4"/>
  <c r="S400" i="4"/>
  <c r="O400" i="4"/>
  <c r="N400" i="4"/>
  <c r="G400" i="4"/>
  <c r="T399" i="4"/>
  <c r="S399" i="4"/>
  <c r="O399" i="4"/>
  <c r="N399" i="4"/>
  <c r="G399" i="4"/>
  <c r="T398" i="4"/>
  <c r="S398" i="4"/>
  <c r="O398" i="4"/>
  <c r="N398" i="4"/>
  <c r="G398" i="4"/>
  <c r="P398" i="4" s="1"/>
  <c r="R398" i="4" s="1"/>
  <c r="T397" i="4"/>
  <c r="S397" i="4"/>
  <c r="O397" i="4"/>
  <c r="N397" i="4"/>
  <c r="G397" i="4"/>
  <c r="T396" i="4"/>
  <c r="S396" i="4"/>
  <c r="O396" i="4"/>
  <c r="N396" i="4"/>
  <c r="Q396" i="4" s="1"/>
  <c r="G396" i="4"/>
  <c r="T395" i="4"/>
  <c r="S395" i="4"/>
  <c r="O395" i="4"/>
  <c r="N395" i="4"/>
  <c r="G395" i="4"/>
  <c r="T394" i="4"/>
  <c r="S394" i="4"/>
  <c r="Q394" i="4"/>
  <c r="O394" i="4"/>
  <c r="N394" i="4"/>
  <c r="G394" i="4"/>
  <c r="P394" i="4" s="1"/>
  <c r="R394" i="4" s="1"/>
  <c r="T393" i="4"/>
  <c r="S393" i="4"/>
  <c r="O393" i="4"/>
  <c r="N393" i="4"/>
  <c r="G393" i="4"/>
  <c r="T392" i="4"/>
  <c r="S392" i="4"/>
  <c r="O392" i="4"/>
  <c r="N392" i="4"/>
  <c r="Q392" i="4" s="1"/>
  <c r="G392" i="4"/>
  <c r="T391" i="4"/>
  <c r="S391" i="4"/>
  <c r="P391" i="4"/>
  <c r="R391" i="4" s="1"/>
  <c r="O391" i="4"/>
  <c r="N391" i="4"/>
  <c r="Q391" i="4" s="1"/>
  <c r="G391" i="4"/>
  <c r="T390" i="4"/>
  <c r="S390" i="4"/>
  <c r="O390" i="4"/>
  <c r="N390" i="4"/>
  <c r="G390" i="4"/>
  <c r="T389" i="4"/>
  <c r="S389" i="4"/>
  <c r="O389" i="4"/>
  <c r="N389" i="4"/>
  <c r="G389" i="4"/>
  <c r="T388" i="4"/>
  <c r="S388" i="4"/>
  <c r="O388" i="4"/>
  <c r="N388" i="4"/>
  <c r="Q388" i="4" s="1"/>
  <c r="G388" i="4"/>
  <c r="T387" i="4"/>
  <c r="S387" i="4"/>
  <c r="P387" i="4"/>
  <c r="R387" i="4" s="1"/>
  <c r="O387" i="4"/>
  <c r="N387" i="4"/>
  <c r="Q387" i="4" s="1"/>
  <c r="G387" i="4"/>
  <c r="T386" i="4"/>
  <c r="S386" i="4"/>
  <c r="O386" i="4"/>
  <c r="N386" i="4"/>
  <c r="G386" i="4"/>
  <c r="T385" i="4"/>
  <c r="S385" i="4"/>
  <c r="O385" i="4"/>
  <c r="N385" i="4"/>
  <c r="Q385" i="4" s="1"/>
  <c r="G385" i="4"/>
  <c r="T384" i="4"/>
  <c r="S384" i="4"/>
  <c r="P384" i="4"/>
  <c r="R384" i="4" s="1"/>
  <c r="O384" i="4"/>
  <c r="N384" i="4"/>
  <c r="G384" i="4"/>
  <c r="T383" i="4"/>
  <c r="S383" i="4"/>
  <c r="O383" i="4"/>
  <c r="N383" i="4"/>
  <c r="Q383" i="4" s="1"/>
  <c r="G383" i="4"/>
  <c r="T382" i="4"/>
  <c r="S382" i="4"/>
  <c r="P382" i="4"/>
  <c r="R382" i="4" s="1"/>
  <c r="O382" i="4"/>
  <c r="N382" i="4"/>
  <c r="G382" i="4"/>
  <c r="T381" i="4"/>
  <c r="S381" i="4"/>
  <c r="O381" i="4"/>
  <c r="N381" i="4"/>
  <c r="G381" i="4"/>
  <c r="T380" i="4"/>
  <c r="S380" i="4"/>
  <c r="O380" i="4"/>
  <c r="N380" i="4"/>
  <c r="Q380" i="4" s="1"/>
  <c r="G380" i="4"/>
  <c r="T379" i="4"/>
  <c r="S379" i="4"/>
  <c r="O379" i="4"/>
  <c r="N379" i="4"/>
  <c r="P379" i="4" s="1"/>
  <c r="R379" i="4" s="1"/>
  <c r="G379" i="4"/>
  <c r="T378" i="4"/>
  <c r="S378" i="4"/>
  <c r="O378" i="4"/>
  <c r="N378" i="4"/>
  <c r="G378" i="4"/>
  <c r="T377" i="4"/>
  <c r="S377" i="4"/>
  <c r="O377" i="4"/>
  <c r="N377" i="4"/>
  <c r="G377" i="4"/>
  <c r="P377" i="4" s="1"/>
  <c r="R377" i="4" s="1"/>
  <c r="T376" i="4"/>
  <c r="S376" i="4"/>
  <c r="O376" i="4"/>
  <c r="N376" i="4"/>
  <c r="G376" i="4"/>
  <c r="T375" i="4"/>
  <c r="S375" i="4"/>
  <c r="O375" i="4"/>
  <c r="N375" i="4"/>
  <c r="Q375" i="4" s="1"/>
  <c r="G375" i="4"/>
  <c r="T374" i="4"/>
  <c r="S374" i="4"/>
  <c r="O374" i="4"/>
  <c r="N374" i="4"/>
  <c r="G374" i="4"/>
  <c r="T373" i="4"/>
  <c r="S373" i="4"/>
  <c r="O373" i="4"/>
  <c r="N373" i="4"/>
  <c r="G373" i="4"/>
  <c r="T372" i="4"/>
  <c r="S372" i="4"/>
  <c r="O372" i="4"/>
  <c r="N372" i="4"/>
  <c r="Q372" i="4" s="1"/>
  <c r="G372" i="4"/>
  <c r="T371" i="4"/>
  <c r="S371" i="4"/>
  <c r="O371" i="4"/>
  <c r="N371" i="4"/>
  <c r="G371" i="4"/>
  <c r="T370" i="4"/>
  <c r="S370" i="4"/>
  <c r="O370" i="4"/>
  <c r="N370" i="4"/>
  <c r="Q370" i="4" s="1"/>
  <c r="G370" i="4"/>
  <c r="T369" i="4"/>
  <c r="S369" i="4"/>
  <c r="P369" i="4"/>
  <c r="R369" i="4" s="1"/>
  <c r="O369" i="4"/>
  <c r="Q369" i="4" s="1"/>
  <c r="N369" i="4"/>
  <c r="G369" i="4"/>
  <c r="T368" i="4"/>
  <c r="S368" i="4"/>
  <c r="Q368" i="4"/>
  <c r="O368" i="4"/>
  <c r="N368" i="4"/>
  <c r="G368" i="4"/>
  <c r="T367" i="4"/>
  <c r="S367" i="4"/>
  <c r="P367" i="4"/>
  <c r="R367" i="4" s="1"/>
  <c r="O367" i="4"/>
  <c r="N367" i="4"/>
  <c r="G367" i="4"/>
  <c r="T366" i="4"/>
  <c r="S366" i="4"/>
  <c r="O366" i="4"/>
  <c r="N366" i="4"/>
  <c r="G366" i="4"/>
  <c r="T365" i="4"/>
  <c r="S365" i="4"/>
  <c r="P365" i="4"/>
  <c r="R365" i="4" s="1"/>
  <c r="O365" i="4"/>
  <c r="Q365" i="4" s="1"/>
  <c r="N365" i="4"/>
  <c r="G365" i="4"/>
  <c r="T364" i="4"/>
  <c r="S364" i="4"/>
  <c r="O364" i="4"/>
  <c r="N364" i="4"/>
  <c r="G364" i="4"/>
  <c r="P364" i="4" s="1"/>
  <c r="R364" i="4" s="1"/>
  <c r="T363" i="4"/>
  <c r="S363" i="4"/>
  <c r="O363" i="4"/>
  <c r="N363" i="4"/>
  <c r="G363" i="4"/>
  <c r="T362" i="4"/>
  <c r="S362" i="4"/>
  <c r="O362" i="4"/>
  <c r="Q362" i="4" s="1"/>
  <c r="N362" i="4"/>
  <c r="G362" i="4"/>
  <c r="P362" i="4" s="1"/>
  <c r="R362" i="4" s="1"/>
  <c r="T361" i="4"/>
  <c r="S361" i="4"/>
  <c r="O361" i="4"/>
  <c r="N361" i="4"/>
  <c r="Q361" i="4" s="1"/>
  <c r="G361" i="4"/>
  <c r="T360" i="4"/>
  <c r="S360" i="4"/>
  <c r="O360" i="4"/>
  <c r="N360" i="4"/>
  <c r="Q360" i="4" s="1"/>
  <c r="G360" i="4"/>
  <c r="T359" i="4"/>
  <c r="S359" i="4"/>
  <c r="O359" i="4"/>
  <c r="N359" i="4"/>
  <c r="P359" i="4" s="1"/>
  <c r="R359" i="4" s="1"/>
  <c r="G359" i="4"/>
  <c r="T358" i="4"/>
  <c r="S358" i="4"/>
  <c r="O358" i="4"/>
  <c r="N358" i="4"/>
  <c r="G358" i="4"/>
  <c r="T357" i="4"/>
  <c r="S357" i="4"/>
  <c r="O357" i="4"/>
  <c r="N357" i="4"/>
  <c r="Q357" i="4" s="1"/>
  <c r="G357" i="4"/>
  <c r="T356" i="4"/>
  <c r="S356" i="4"/>
  <c r="O356" i="4"/>
  <c r="N356" i="4"/>
  <c r="G356" i="4"/>
  <c r="T355" i="4"/>
  <c r="S355" i="4"/>
  <c r="O355" i="4"/>
  <c r="N355" i="4"/>
  <c r="Q355" i="4" s="1"/>
  <c r="G355" i="4"/>
  <c r="T354" i="4"/>
  <c r="S354" i="4"/>
  <c r="O354" i="4"/>
  <c r="N354" i="4"/>
  <c r="G354" i="4"/>
  <c r="T353" i="4"/>
  <c r="S353" i="4"/>
  <c r="O353" i="4"/>
  <c r="N353" i="4"/>
  <c r="G353" i="4"/>
  <c r="T352" i="4"/>
  <c r="S352" i="4"/>
  <c r="O352" i="4"/>
  <c r="N352" i="4"/>
  <c r="G352" i="4"/>
  <c r="T351" i="4"/>
  <c r="S351" i="4"/>
  <c r="O351" i="4"/>
  <c r="N351" i="4"/>
  <c r="G351" i="4"/>
  <c r="T350" i="4"/>
  <c r="S350" i="4"/>
  <c r="O350" i="4"/>
  <c r="Q350" i="4" s="1"/>
  <c r="N350" i="4"/>
  <c r="G350" i="4"/>
  <c r="P350" i="4" s="1"/>
  <c r="R350" i="4" s="1"/>
  <c r="T349" i="4"/>
  <c r="S349" i="4"/>
  <c r="O349" i="4"/>
  <c r="N349" i="4"/>
  <c r="G349" i="4"/>
  <c r="T348" i="4"/>
  <c r="S348" i="4"/>
  <c r="O348" i="4"/>
  <c r="N348" i="4"/>
  <c r="Q348" i="4" s="1"/>
  <c r="G348" i="4"/>
  <c r="T347" i="4"/>
  <c r="S347" i="4"/>
  <c r="O347" i="4"/>
  <c r="N347" i="4"/>
  <c r="Q347" i="4" s="1"/>
  <c r="G347" i="4"/>
  <c r="P347" i="4" s="1"/>
  <c r="R347" i="4" s="1"/>
  <c r="T346" i="4"/>
  <c r="S346" i="4"/>
  <c r="O346" i="4"/>
  <c r="N346" i="4"/>
  <c r="Q346" i="4" s="1"/>
  <c r="G346" i="4"/>
  <c r="T345" i="4"/>
  <c r="S345" i="4"/>
  <c r="O345" i="4"/>
  <c r="N345" i="4"/>
  <c r="Q345" i="4" s="1"/>
  <c r="G345" i="4"/>
  <c r="T344" i="4"/>
  <c r="S344" i="4"/>
  <c r="P344" i="4"/>
  <c r="R344" i="4" s="1"/>
  <c r="O344" i="4"/>
  <c r="Q344" i="4" s="1"/>
  <c r="N344" i="4"/>
  <c r="G344" i="4"/>
  <c r="T343" i="4"/>
  <c r="S343" i="4"/>
  <c r="O343" i="4"/>
  <c r="N343" i="4"/>
  <c r="P343" i="4" s="1"/>
  <c r="R343" i="4" s="1"/>
  <c r="G343" i="4"/>
  <c r="T342" i="4"/>
  <c r="S342" i="4"/>
  <c r="O342" i="4"/>
  <c r="N342" i="4"/>
  <c r="Q342" i="4" s="1"/>
  <c r="G342" i="4"/>
  <c r="T341" i="4"/>
  <c r="S341" i="4"/>
  <c r="O341" i="4"/>
  <c r="N341" i="4"/>
  <c r="Q341" i="4" s="1"/>
  <c r="G341" i="4"/>
  <c r="T340" i="4"/>
  <c r="S340" i="4"/>
  <c r="O340" i="4"/>
  <c r="N340" i="4"/>
  <c r="P340" i="4" s="1"/>
  <c r="R340" i="4" s="1"/>
  <c r="G340" i="4"/>
  <c r="T339" i="4"/>
  <c r="S339" i="4"/>
  <c r="O339" i="4"/>
  <c r="N339" i="4"/>
  <c r="Q339" i="4" s="1"/>
  <c r="G339" i="4"/>
  <c r="T338" i="4"/>
  <c r="S338" i="4"/>
  <c r="O338" i="4"/>
  <c r="N338" i="4"/>
  <c r="G338" i="4"/>
  <c r="T337" i="4"/>
  <c r="S337" i="4"/>
  <c r="O337" i="4"/>
  <c r="N337" i="4"/>
  <c r="G337" i="4"/>
  <c r="T336" i="4"/>
  <c r="S336" i="4"/>
  <c r="O336" i="4"/>
  <c r="N336" i="4"/>
  <c r="Q336" i="4" s="1"/>
  <c r="G336" i="4"/>
  <c r="T335" i="4"/>
  <c r="S335" i="4"/>
  <c r="O335" i="4"/>
  <c r="N335" i="4"/>
  <c r="Q335" i="4" s="1"/>
  <c r="G335" i="4"/>
  <c r="T334" i="4"/>
  <c r="S334" i="4"/>
  <c r="O334" i="4"/>
  <c r="N334" i="4"/>
  <c r="G334" i="4"/>
  <c r="T333" i="4"/>
  <c r="S333" i="4"/>
  <c r="O333" i="4"/>
  <c r="N333" i="4"/>
  <c r="G333" i="4"/>
  <c r="T332" i="4"/>
  <c r="S332" i="4"/>
  <c r="O332" i="4"/>
  <c r="N332" i="4"/>
  <c r="Q332" i="4" s="1"/>
  <c r="G332" i="4"/>
  <c r="T331" i="4"/>
  <c r="S331" i="4"/>
  <c r="O331" i="4"/>
  <c r="N331" i="4"/>
  <c r="G331" i="4"/>
  <c r="T330" i="4"/>
  <c r="S330" i="4"/>
  <c r="O330" i="4"/>
  <c r="N330" i="4"/>
  <c r="P330" i="4" s="1"/>
  <c r="R330" i="4" s="1"/>
  <c r="G330" i="4"/>
  <c r="T329" i="4"/>
  <c r="S329" i="4"/>
  <c r="O329" i="4"/>
  <c r="N329" i="4"/>
  <c r="G329" i="4"/>
  <c r="T328" i="4"/>
  <c r="S328" i="4"/>
  <c r="O328" i="4"/>
  <c r="N328" i="4"/>
  <c r="G328" i="4"/>
  <c r="P328" i="4" s="1"/>
  <c r="R328" i="4" s="1"/>
  <c r="T327" i="4"/>
  <c r="S327" i="4"/>
  <c r="O327" i="4"/>
  <c r="N327" i="4"/>
  <c r="G327" i="4"/>
  <c r="T326" i="4"/>
  <c r="S326" i="4"/>
  <c r="O326" i="4"/>
  <c r="N326" i="4"/>
  <c r="G326" i="4"/>
  <c r="T325" i="4"/>
  <c r="S325" i="4"/>
  <c r="P325" i="4"/>
  <c r="R325" i="4" s="1"/>
  <c r="O325" i="4"/>
  <c r="N325" i="4"/>
  <c r="G325" i="4"/>
  <c r="T324" i="4"/>
  <c r="S324" i="4"/>
  <c r="O324" i="4"/>
  <c r="N324" i="4"/>
  <c r="G324" i="4"/>
  <c r="T323" i="4"/>
  <c r="S323" i="4"/>
  <c r="O323" i="4"/>
  <c r="Q323" i="4" s="1"/>
  <c r="N323" i="4"/>
  <c r="G323" i="4"/>
  <c r="T322" i="4"/>
  <c r="S322" i="4"/>
  <c r="O322" i="4"/>
  <c r="N322" i="4"/>
  <c r="G322" i="4"/>
  <c r="P322" i="4" s="1"/>
  <c r="R322" i="4" s="1"/>
  <c r="T321" i="4"/>
  <c r="S321" i="4"/>
  <c r="Q321" i="4"/>
  <c r="O321" i="4"/>
  <c r="N321" i="4"/>
  <c r="G321" i="4"/>
  <c r="T320" i="4"/>
  <c r="S320" i="4"/>
  <c r="Q320" i="4"/>
  <c r="O320" i="4"/>
  <c r="N320" i="4"/>
  <c r="P320" i="4" s="1"/>
  <c r="R320" i="4" s="1"/>
  <c r="G320" i="4"/>
  <c r="T319" i="4"/>
  <c r="S319" i="4"/>
  <c r="O319" i="4"/>
  <c r="N319" i="4"/>
  <c r="G319" i="4"/>
  <c r="T318" i="4"/>
  <c r="S318" i="4"/>
  <c r="O318" i="4"/>
  <c r="N318" i="4"/>
  <c r="Q318" i="4" s="1"/>
  <c r="G318" i="4"/>
  <c r="T317" i="4"/>
  <c r="S317" i="4"/>
  <c r="O317" i="4"/>
  <c r="Q317" i="4" s="1"/>
  <c r="N317" i="4"/>
  <c r="P317" i="4" s="1"/>
  <c r="R317" i="4" s="1"/>
  <c r="G317" i="4"/>
  <c r="T316" i="4"/>
  <c r="S316" i="4"/>
  <c r="O316" i="4"/>
  <c r="N316" i="4"/>
  <c r="G316" i="4"/>
  <c r="T315" i="4"/>
  <c r="S315" i="4"/>
  <c r="O315" i="4"/>
  <c r="N315" i="4"/>
  <c r="P315" i="4" s="1"/>
  <c r="R315" i="4" s="1"/>
  <c r="G315" i="4"/>
  <c r="T314" i="4"/>
  <c r="S314" i="4"/>
  <c r="O314" i="4"/>
  <c r="N314" i="4"/>
  <c r="P314" i="4" s="1"/>
  <c r="R314" i="4" s="1"/>
  <c r="G314" i="4"/>
  <c r="T313" i="4"/>
  <c r="S313" i="4"/>
  <c r="O313" i="4"/>
  <c r="N313" i="4"/>
  <c r="Q313" i="4" s="1"/>
  <c r="G313" i="4"/>
  <c r="T312" i="4"/>
  <c r="S312" i="4"/>
  <c r="O312" i="4"/>
  <c r="N312" i="4"/>
  <c r="G312" i="4"/>
  <c r="T311" i="4"/>
  <c r="S311" i="4"/>
  <c r="O311" i="4"/>
  <c r="N311" i="4"/>
  <c r="G311" i="4"/>
  <c r="T310" i="4"/>
  <c r="S310" i="4"/>
  <c r="O310" i="4"/>
  <c r="N310" i="4"/>
  <c r="G310" i="4"/>
  <c r="P310" i="4" s="1"/>
  <c r="R310" i="4" s="1"/>
  <c r="T309" i="4"/>
  <c r="S309" i="4"/>
  <c r="O309" i="4"/>
  <c r="N309" i="4"/>
  <c r="G309" i="4"/>
  <c r="T308" i="4"/>
  <c r="S308" i="4"/>
  <c r="O308" i="4"/>
  <c r="N308" i="4"/>
  <c r="Q308" i="4" s="1"/>
  <c r="G308" i="4"/>
  <c r="T307" i="4"/>
  <c r="S307" i="4"/>
  <c r="O307" i="4"/>
  <c r="N307" i="4"/>
  <c r="P307" i="4" s="1"/>
  <c r="R307" i="4" s="1"/>
  <c r="G307" i="4"/>
  <c r="T306" i="4"/>
  <c r="S306" i="4"/>
  <c r="O306" i="4"/>
  <c r="N306" i="4"/>
  <c r="G306" i="4"/>
  <c r="T305" i="4"/>
  <c r="S305" i="4"/>
  <c r="O305" i="4"/>
  <c r="N305" i="4"/>
  <c r="G305" i="4"/>
  <c r="T304" i="4"/>
  <c r="S304" i="4"/>
  <c r="O304" i="4"/>
  <c r="N304" i="4"/>
  <c r="G304" i="4"/>
  <c r="T303" i="4"/>
  <c r="S303" i="4"/>
  <c r="O303" i="4"/>
  <c r="N303" i="4"/>
  <c r="Q303" i="4" s="1"/>
  <c r="G303" i="4"/>
  <c r="P303" i="4" s="1"/>
  <c r="R303" i="4" s="1"/>
  <c r="T302" i="4"/>
  <c r="S302" i="4"/>
  <c r="O302" i="4"/>
  <c r="N302" i="4"/>
  <c r="G302" i="4"/>
  <c r="T301" i="4"/>
  <c r="S301" i="4"/>
  <c r="O301" i="4"/>
  <c r="N301" i="4"/>
  <c r="G301" i="4"/>
  <c r="T300" i="4"/>
  <c r="S300" i="4"/>
  <c r="P300" i="4"/>
  <c r="R300" i="4" s="1"/>
  <c r="O300" i="4"/>
  <c r="Q300" i="4" s="1"/>
  <c r="N300" i="4"/>
  <c r="G300" i="4"/>
  <c r="T299" i="4"/>
  <c r="S299" i="4"/>
  <c r="O299" i="4"/>
  <c r="N299" i="4"/>
  <c r="G299" i="4"/>
  <c r="T298" i="4"/>
  <c r="S298" i="4"/>
  <c r="P298" i="4"/>
  <c r="R298" i="4" s="1"/>
  <c r="O298" i="4"/>
  <c r="N298" i="4"/>
  <c r="G298" i="4"/>
  <c r="T297" i="4"/>
  <c r="S297" i="4"/>
  <c r="O297" i="4"/>
  <c r="N297" i="4"/>
  <c r="G297" i="4"/>
  <c r="P297" i="4" s="1"/>
  <c r="R297" i="4" s="1"/>
  <c r="T296" i="4"/>
  <c r="S296" i="4"/>
  <c r="O296" i="4"/>
  <c r="Q296" i="4" s="1"/>
  <c r="N296" i="4"/>
  <c r="G296" i="4"/>
  <c r="T295" i="4"/>
  <c r="S295" i="4"/>
  <c r="O295" i="4"/>
  <c r="N295" i="4"/>
  <c r="P295" i="4" s="1"/>
  <c r="R295" i="4" s="1"/>
  <c r="G295" i="4"/>
  <c r="T294" i="4"/>
  <c r="S294" i="4"/>
  <c r="O294" i="4"/>
  <c r="N294" i="4"/>
  <c r="Q294" i="4" s="1"/>
  <c r="G294" i="4"/>
  <c r="T293" i="4"/>
  <c r="S293" i="4"/>
  <c r="O293" i="4"/>
  <c r="N293" i="4"/>
  <c r="Q293" i="4" s="1"/>
  <c r="G293" i="4"/>
  <c r="T292" i="4"/>
  <c r="S292" i="4"/>
  <c r="O292" i="4"/>
  <c r="N292" i="4"/>
  <c r="G292" i="4"/>
  <c r="T291" i="4"/>
  <c r="S291" i="4"/>
  <c r="O291" i="4"/>
  <c r="N291" i="4"/>
  <c r="G291" i="4"/>
  <c r="T290" i="4"/>
  <c r="S290" i="4"/>
  <c r="P290" i="4"/>
  <c r="R290" i="4" s="1"/>
  <c r="O290" i="4"/>
  <c r="Q290" i="4" s="1"/>
  <c r="N290" i="4"/>
  <c r="G290" i="4"/>
  <c r="T289" i="4"/>
  <c r="S289" i="4"/>
  <c r="O289" i="4"/>
  <c r="N289" i="4"/>
  <c r="G289" i="4"/>
  <c r="T288" i="4"/>
  <c r="S288" i="4"/>
  <c r="O288" i="4"/>
  <c r="N288" i="4"/>
  <c r="P288" i="4" s="1"/>
  <c r="R288" i="4" s="1"/>
  <c r="G288" i="4"/>
  <c r="T287" i="4"/>
  <c r="S287" i="4"/>
  <c r="O287" i="4"/>
  <c r="N287" i="4"/>
  <c r="G287" i="4"/>
  <c r="T286" i="4"/>
  <c r="S286" i="4"/>
  <c r="O286" i="4"/>
  <c r="N286" i="4"/>
  <c r="P286" i="4" s="1"/>
  <c r="R286" i="4" s="1"/>
  <c r="G286" i="4"/>
  <c r="T285" i="4"/>
  <c r="S285" i="4"/>
  <c r="O285" i="4"/>
  <c r="Q285" i="4" s="1"/>
  <c r="N285" i="4"/>
  <c r="P285" i="4" s="1"/>
  <c r="R285" i="4" s="1"/>
  <c r="G285" i="4"/>
  <c r="T284" i="4"/>
  <c r="S284" i="4"/>
  <c r="O284" i="4"/>
  <c r="N284" i="4"/>
  <c r="G284" i="4"/>
  <c r="T283" i="4"/>
  <c r="S283" i="4"/>
  <c r="O283" i="4"/>
  <c r="N283" i="4"/>
  <c r="G283" i="4"/>
  <c r="T282" i="4"/>
  <c r="S282" i="4"/>
  <c r="O282" i="4"/>
  <c r="N282" i="4"/>
  <c r="P282" i="4" s="1"/>
  <c r="R282" i="4" s="1"/>
  <c r="G282" i="4"/>
  <c r="T281" i="4"/>
  <c r="S281" i="4"/>
  <c r="O281" i="4"/>
  <c r="N281" i="4"/>
  <c r="G281" i="4"/>
  <c r="T280" i="4"/>
  <c r="S280" i="4"/>
  <c r="O280" i="4"/>
  <c r="N280" i="4"/>
  <c r="G280" i="4"/>
  <c r="T279" i="4"/>
  <c r="S279" i="4"/>
  <c r="O279" i="4"/>
  <c r="N279" i="4"/>
  <c r="G279" i="4"/>
  <c r="T278" i="4"/>
  <c r="S278" i="4"/>
  <c r="O278" i="4"/>
  <c r="N278" i="4"/>
  <c r="Q278" i="4" s="1"/>
  <c r="G278" i="4"/>
  <c r="T277" i="4"/>
  <c r="S277" i="4"/>
  <c r="O277" i="4"/>
  <c r="N277" i="4"/>
  <c r="G277" i="4"/>
  <c r="T276" i="4"/>
  <c r="S276" i="4"/>
  <c r="O276" i="4"/>
  <c r="N276" i="4"/>
  <c r="G276" i="4"/>
  <c r="T275" i="4"/>
  <c r="S275" i="4"/>
  <c r="P275" i="4"/>
  <c r="R275" i="4" s="1"/>
  <c r="O275" i="4"/>
  <c r="Q275" i="4" s="1"/>
  <c r="N275" i="4"/>
  <c r="G275" i="4"/>
  <c r="T274" i="4"/>
  <c r="S274" i="4"/>
  <c r="O274" i="4"/>
  <c r="N274" i="4"/>
  <c r="G274" i="4"/>
  <c r="T273" i="4"/>
  <c r="S273" i="4"/>
  <c r="P273" i="4"/>
  <c r="R273" i="4" s="1"/>
  <c r="O273" i="4"/>
  <c r="Q273" i="4" s="1"/>
  <c r="N273" i="4"/>
  <c r="G273" i="4"/>
  <c r="T272" i="4"/>
  <c r="S272" i="4"/>
  <c r="O272" i="4"/>
  <c r="Q272" i="4" s="1"/>
  <c r="N272" i="4"/>
  <c r="G272" i="4"/>
  <c r="P272" i="4" s="1"/>
  <c r="R272" i="4" s="1"/>
  <c r="T271" i="4"/>
  <c r="S271" i="4"/>
  <c r="P271" i="4"/>
  <c r="R271" i="4" s="1"/>
  <c r="O271" i="4"/>
  <c r="N271" i="4"/>
  <c r="G271" i="4"/>
  <c r="T270" i="4"/>
  <c r="S270" i="4"/>
  <c r="O270" i="4"/>
  <c r="Q270" i="4" s="1"/>
  <c r="N270" i="4"/>
  <c r="P270" i="4" s="1"/>
  <c r="R270" i="4" s="1"/>
  <c r="G270" i="4"/>
  <c r="T269" i="4"/>
  <c r="S269" i="4"/>
  <c r="O269" i="4"/>
  <c r="N269" i="4"/>
  <c r="G269" i="4"/>
  <c r="T268" i="4"/>
  <c r="S268" i="4"/>
  <c r="O268" i="4"/>
  <c r="N268" i="4"/>
  <c r="P268" i="4" s="1"/>
  <c r="R268" i="4" s="1"/>
  <c r="G268" i="4"/>
  <c r="T267" i="4"/>
  <c r="S267" i="4"/>
  <c r="Q267" i="4"/>
  <c r="O267" i="4"/>
  <c r="N267" i="4"/>
  <c r="P267" i="4" s="1"/>
  <c r="R267" i="4" s="1"/>
  <c r="G267" i="4"/>
  <c r="T266" i="4"/>
  <c r="S266" i="4"/>
  <c r="O266" i="4"/>
  <c r="N266" i="4"/>
  <c r="G266" i="4"/>
  <c r="T265" i="4"/>
  <c r="S265" i="4"/>
  <c r="P265" i="4"/>
  <c r="R265" i="4" s="1"/>
  <c r="O265" i="4"/>
  <c r="N265" i="4"/>
  <c r="Q265" i="4" s="1"/>
  <c r="G265" i="4"/>
  <c r="T264" i="4"/>
  <c r="S264" i="4"/>
  <c r="O264" i="4"/>
  <c r="N264" i="4"/>
  <c r="Q264" i="4" s="1"/>
  <c r="G264" i="4"/>
  <c r="T263" i="4"/>
  <c r="S263" i="4"/>
  <c r="Q263" i="4"/>
  <c r="O263" i="4"/>
  <c r="N263" i="4"/>
  <c r="G263" i="4"/>
  <c r="T262" i="4"/>
  <c r="S262" i="4"/>
  <c r="O262" i="4"/>
  <c r="N262" i="4"/>
  <c r="G262" i="4"/>
  <c r="T261" i="4"/>
  <c r="S261" i="4"/>
  <c r="P261" i="4"/>
  <c r="R261" i="4" s="1"/>
  <c r="O261" i="4"/>
  <c r="Q261" i="4" s="1"/>
  <c r="N261" i="4"/>
  <c r="G261" i="4"/>
  <c r="T260" i="4"/>
  <c r="S260" i="4"/>
  <c r="O260" i="4"/>
  <c r="N260" i="4"/>
  <c r="Q260" i="4" s="1"/>
  <c r="G260" i="4"/>
  <c r="T259" i="4"/>
  <c r="S259" i="4"/>
  <c r="O259" i="4"/>
  <c r="N259" i="4"/>
  <c r="G259" i="4"/>
  <c r="T258" i="4"/>
  <c r="S258" i="4"/>
  <c r="O258" i="4"/>
  <c r="N258" i="4"/>
  <c r="G258" i="4"/>
  <c r="T257" i="4"/>
  <c r="S257" i="4"/>
  <c r="O257" i="4"/>
  <c r="N257" i="4"/>
  <c r="P257" i="4" s="1"/>
  <c r="R257" i="4" s="1"/>
  <c r="G257" i="4"/>
  <c r="T256" i="4"/>
  <c r="S256" i="4"/>
  <c r="O256" i="4"/>
  <c r="N256" i="4"/>
  <c r="G256" i="4"/>
  <c r="T255" i="4"/>
  <c r="S255" i="4"/>
  <c r="O255" i="4"/>
  <c r="N255" i="4"/>
  <c r="G255" i="4"/>
  <c r="T254" i="4"/>
  <c r="S254" i="4"/>
  <c r="O254" i="4"/>
  <c r="N254" i="4"/>
  <c r="G254" i="4"/>
  <c r="T253" i="4"/>
  <c r="S253" i="4"/>
  <c r="O253" i="4"/>
  <c r="N253" i="4"/>
  <c r="Q253" i="4" s="1"/>
  <c r="G253" i="4"/>
  <c r="T252" i="4"/>
  <c r="S252" i="4"/>
  <c r="O252" i="4"/>
  <c r="N252" i="4"/>
  <c r="G252" i="4"/>
  <c r="T251" i="4"/>
  <c r="S251" i="4"/>
  <c r="O251" i="4"/>
  <c r="N251" i="4"/>
  <c r="G251" i="4"/>
  <c r="T250" i="4"/>
  <c r="S250" i="4"/>
  <c r="O250" i="4"/>
  <c r="N250" i="4"/>
  <c r="P250" i="4" s="1"/>
  <c r="R250" i="4" s="1"/>
  <c r="G250" i="4"/>
  <c r="T249" i="4"/>
  <c r="S249" i="4"/>
  <c r="O249" i="4"/>
  <c r="N249" i="4"/>
  <c r="G249" i="4"/>
  <c r="T248" i="4"/>
  <c r="S248" i="4"/>
  <c r="P248" i="4"/>
  <c r="R248" i="4" s="1"/>
  <c r="O248" i="4"/>
  <c r="N248" i="4"/>
  <c r="Q248" i="4" s="1"/>
  <c r="G248" i="4"/>
  <c r="T247" i="4"/>
  <c r="S247" i="4"/>
  <c r="O247" i="4"/>
  <c r="N247" i="4"/>
  <c r="G247" i="4"/>
  <c r="T246" i="4"/>
  <c r="S246" i="4"/>
  <c r="O246" i="4"/>
  <c r="N246" i="4"/>
  <c r="Q246" i="4" s="1"/>
  <c r="G246" i="4"/>
  <c r="T245" i="4"/>
  <c r="S245" i="4"/>
  <c r="O245" i="4"/>
  <c r="N245" i="4"/>
  <c r="Q245" i="4" s="1"/>
  <c r="G245" i="4"/>
  <c r="T244" i="4"/>
  <c r="S244" i="4"/>
  <c r="O244" i="4"/>
  <c r="N244" i="4"/>
  <c r="G244" i="4"/>
  <c r="T243" i="4"/>
  <c r="S243" i="4"/>
  <c r="O243" i="4"/>
  <c r="N243" i="4"/>
  <c r="Q243" i="4" s="1"/>
  <c r="G243" i="4"/>
  <c r="T242" i="4"/>
  <c r="S242" i="4"/>
  <c r="O242" i="4"/>
  <c r="Q242" i="4" s="1"/>
  <c r="N242" i="4"/>
  <c r="G242" i="4"/>
  <c r="T241" i="4"/>
  <c r="S241" i="4"/>
  <c r="O241" i="4"/>
  <c r="N241" i="4"/>
  <c r="Q241" i="4" s="1"/>
  <c r="G241" i="4"/>
  <c r="T240" i="4"/>
  <c r="S240" i="4"/>
  <c r="O240" i="4"/>
  <c r="N240" i="4"/>
  <c r="G240" i="4"/>
  <c r="T239" i="4"/>
  <c r="S239" i="4"/>
  <c r="O239" i="4"/>
  <c r="N239" i="4"/>
  <c r="Q239" i="4" s="1"/>
  <c r="G239" i="4"/>
  <c r="T238" i="4"/>
  <c r="S238" i="4"/>
  <c r="O238" i="4"/>
  <c r="N238" i="4"/>
  <c r="P238" i="4" s="1"/>
  <c r="R238" i="4" s="1"/>
  <c r="G238" i="4"/>
  <c r="T237" i="4"/>
  <c r="S237" i="4"/>
  <c r="O237" i="4"/>
  <c r="N237" i="4"/>
  <c r="G237" i="4"/>
  <c r="T236" i="4"/>
  <c r="S236" i="4"/>
  <c r="O236" i="4"/>
  <c r="N236" i="4"/>
  <c r="P236" i="4" s="1"/>
  <c r="R236" i="4" s="1"/>
  <c r="G236" i="4"/>
  <c r="T235" i="4"/>
  <c r="S235" i="4"/>
  <c r="O235" i="4"/>
  <c r="N235" i="4"/>
  <c r="P235" i="4" s="1"/>
  <c r="R235" i="4" s="1"/>
  <c r="G235" i="4"/>
  <c r="T234" i="4"/>
  <c r="S234" i="4"/>
  <c r="O234" i="4"/>
  <c r="N234" i="4"/>
  <c r="G234" i="4"/>
  <c r="T233" i="4"/>
  <c r="S233" i="4"/>
  <c r="O233" i="4"/>
  <c r="N233" i="4"/>
  <c r="Q233" i="4" s="1"/>
  <c r="G233" i="4"/>
  <c r="P233" i="4" s="1"/>
  <c r="R233" i="4" s="1"/>
  <c r="T232" i="4"/>
  <c r="S232" i="4"/>
  <c r="O232" i="4"/>
  <c r="N232" i="4"/>
  <c r="G232" i="4"/>
  <c r="T231" i="4"/>
  <c r="S231" i="4"/>
  <c r="O231" i="4"/>
  <c r="N231" i="4"/>
  <c r="Q231" i="4" s="1"/>
  <c r="G231" i="4"/>
  <c r="T230" i="4"/>
  <c r="S230" i="4"/>
  <c r="O230" i="4"/>
  <c r="N230" i="4"/>
  <c r="G230" i="4"/>
  <c r="T229" i="4"/>
  <c r="S229" i="4"/>
  <c r="O229" i="4"/>
  <c r="N229" i="4"/>
  <c r="G229" i="4"/>
  <c r="T228" i="4"/>
  <c r="S228" i="4"/>
  <c r="P228" i="4"/>
  <c r="R228" i="4" s="1"/>
  <c r="O228" i="4"/>
  <c r="Q228" i="4" s="1"/>
  <c r="N228" i="4"/>
  <c r="G228" i="4"/>
  <c r="T227" i="4"/>
  <c r="S227" i="4"/>
  <c r="O227" i="4"/>
  <c r="N227" i="4"/>
  <c r="G227" i="4"/>
  <c r="T226" i="4"/>
  <c r="S226" i="4"/>
  <c r="O226" i="4"/>
  <c r="N226" i="4"/>
  <c r="Q226" i="4" s="1"/>
  <c r="G226" i="4"/>
  <c r="T225" i="4"/>
  <c r="S225" i="4"/>
  <c r="O225" i="4"/>
  <c r="Q225" i="4" s="1"/>
  <c r="N225" i="4"/>
  <c r="G225" i="4"/>
  <c r="P225" i="4" s="1"/>
  <c r="R225" i="4" s="1"/>
  <c r="T224" i="4"/>
  <c r="S224" i="4"/>
  <c r="O224" i="4"/>
  <c r="N224" i="4"/>
  <c r="P224" i="4" s="1"/>
  <c r="R224" i="4" s="1"/>
  <c r="G224" i="4"/>
  <c r="T223" i="4"/>
  <c r="S223" i="4"/>
  <c r="O223" i="4"/>
  <c r="N223" i="4"/>
  <c r="G223" i="4"/>
  <c r="P223" i="4" s="1"/>
  <c r="R223" i="4" s="1"/>
  <c r="T222" i="4"/>
  <c r="S222" i="4"/>
  <c r="O222" i="4"/>
  <c r="N222" i="4"/>
  <c r="G222" i="4"/>
  <c r="T221" i="4"/>
  <c r="S221" i="4"/>
  <c r="O221" i="4"/>
  <c r="N221" i="4"/>
  <c r="G221" i="4"/>
  <c r="T220" i="4"/>
  <c r="S220" i="4"/>
  <c r="O220" i="4"/>
  <c r="N220" i="4"/>
  <c r="G220" i="4"/>
  <c r="T219" i="4"/>
  <c r="S219" i="4"/>
  <c r="O219" i="4"/>
  <c r="N219" i="4"/>
  <c r="G219" i="4"/>
  <c r="T218" i="4"/>
  <c r="S218" i="4"/>
  <c r="O218" i="4"/>
  <c r="N218" i="4"/>
  <c r="Q218" i="4" s="1"/>
  <c r="G218" i="4"/>
  <c r="T217" i="4"/>
  <c r="S217" i="4"/>
  <c r="P217" i="4"/>
  <c r="R217" i="4" s="1"/>
  <c r="O217" i="4"/>
  <c r="N217" i="4"/>
  <c r="G217" i="4"/>
  <c r="T216" i="4"/>
  <c r="S216" i="4"/>
  <c r="O216" i="4"/>
  <c r="N216" i="4"/>
  <c r="Q216" i="4" s="1"/>
  <c r="G216" i="4"/>
  <c r="P216" i="4" s="1"/>
  <c r="R216" i="4" s="1"/>
  <c r="T215" i="4"/>
  <c r="S215" i="4"/>
  <c r="P215" i="4"/>
  <c r="R215" i="4" s="1"/>
  <c r="O215" i="4"/>
  <c r="N215" i="4"/>
  <c r="G215" i="4"/>
  <c r="T214" i="4"/>
  <c r="S214" i="4"/>
  <c r="O214" i="4"/>
  <c r="N214" i="4"/>
  <c r="Q214" i="4" s="1"/>
  <c r="G214" i="4"/>
  <c r="T213" i="4"/>
  <c r="S213" i="4"/>
  <c r="Q213" i="4"/>
  <c r="P213" i="4"/>
  <c r="R213" i="4" s="1"/>
  <c r="O213" i="4"/>
  <c r="N213" i="4"/>
  <c r="G213" i="4"/>
  <c r="T212" i="4"/>
  <c r="S212" i="4"/>
  <c r="O212" i="4"/>
  <c r="N212" i="4"/>
  <c r="G212" i="4"/>
  <c r="T211" i="4"/>
  <c r="S211" i="4"/>
  <c r="O211" i="4"/>
  <c r="N211" i="4"/>
  <c r="Q211" i="4" s="1"/>
  <c r="G211" i="4"/>
  <c r="T210" i="4"/>
  <c r="S210" i="4"/>
  <c r="O210" i="4"/>
  <c r="N210" i="4"/>
  <c r="G210" i="4"/>
  <c r="P210" i="4" s="1"/>
  <c r="R210" i="4" s="1"/>
  <c r="T209" i="4"/>
  <c r="S209" i="4"/>
  <c r="O209" i="4"/>
  <c r="N209" i="4"/>
  <c r="G209" i="4"/>
  <c r="T208" i="4"/>
  <c r="S208" i="4"/>
  <c r="O208" i="4"/>
  <c r="N208" i="4"/>
  <c r="P208" i="4" s="1"/>
  <c r="R208" i="4" s="1"/>
  <c r="G208" i="4"/>
  <c r="T207" i="4"/>
  <c r="S207" i="4"/>
  <c r="O207" i="4"/>
  <c r="N207" i="4"/>
  <c r="G207" i="4"/>
  <c r="T206" i="4"/>
  <c r="S206" i="4"/>
  <c r="O206" i="4"/>
  <c r="N206" i="4"/>
  <c r="Q206" i="4" s="1"/>
  <c r="G206" i="4"/>
  <c r="P206" i="4" s="1"/>
  <c r="R206" i="4" s="1"/>
  <c r="T205" i="4"/>
  <c r="S205" i="4"/>
  <c r="O205" i="4"/>
  <c r="N205" i="4"/>
  <c r="G205" i="4"/>
  <c r="T204" i="4"/>
  <c r="S204" i="4"/>
  <c r="O204" i="4"/>
  <c r="N204" i="4"/>
  <c r="P204" i="4" s="1"/>
  <c r="R204" i="4" s="1"/>
  <c r="G204" i="4"/>
  <c r="T203" i="4"/>
  <c r="S203" i="4"/>
  <c r="Q203" i="4"/>
  <c r="O203" i="4"/>
  <c r="N203" i="4"/>
  <c r="P203" i="4" s="1"/>
  <c r="R203" i="4" s="1"/>
  <c r="G203" i="4"/>
  <c r="T202" i="4"/>
  <c r="S202" i="4"/>
  <c r="O202" i="4"/>
  <c r="N202" i="4"/>
  <c r="Q202" i="4" s="1"/>
  <c r="G202" i="4"/>
  <c r="T201" i="4"/>
  <c r="S201" i="4"/>
  <c r="O201" i="4"/>
  <c r="N201" i="4"/>
  <c r="Q201" i="4" s="1"/>
  <c r="G201" i="4"/>
  <c r="T200" i="4"/>
  <c r="S200" i="4"/>
  <c r="O200" i="4"/>
  <c r="Q200" i="4" s="1"/>
  <c r="N200" i="4"/>
  <c r="P200" i="4" s="1"/>
  <c r="R200" i="4" s="1"/>
  <c r="G200" i="4"/>
  <c r="T199" i="4"/>
  <c r="S199" i="4"/>
  <c r="O199" i="4"/>
  <c r="N199" i="4"/>
  <c r="G199" i="4"/>
  <c r="T198" i="4"/>
  <c r="S198" i="4"/>
  <c r="P198" i="4"/>
  <c r="R198" i="4" s="1"/>
  <c r="O198" i="4"/>
  <c r="N198" i="4"/>
  <c r="Q198" i="4" s="1"/>
  <c r="G198" i="4"/>
  <c r="T197" i="4"/>
  <c r="S197" i="4"/>
  <c r="O197" i="4"/>
  <c r="N197" i="4"/>
  <c r="Q197" i="4" s="1"/>
  <c r="G197" i="4"/>
  <c r="T196" i="4"/>
  <c r="S196" i="4"/>
  <c r="O196" i="4"/>
  <c r="N196" i="4"/>
  <c r="Q196" i="4" s="1"/>
  <c r="G196" i="4"/>
  <c r="T195" i="4"/>
  <c r="S195" i="4"/>
  <c r="P195" i="4"/>
  <c r="R195" i="4" s="1"/>
  <c r="O195" i="4"/>
  <c r="N195" i="4"/>
  <c r="Q195" i="4" s="1"/>
  <c r="G195" i="4"/>
  <c r="T194" i="4"/>
  <c r="S194" i="4"/>
  <c r="O194" i="4"/>
  <c r="N194" i="4"/>
  <c r="G194" i="4"/>
  <c r="T193" i="4"/>
  <c r="S193" i="4"/>
  <c r="O193" i="4"/>
  <c r="N193" i="4"/>
  <c r="P193" i="4" s="1"/>
  <c r="R193" i="4" s="1"/>
  <c r="G193" i="4"/>
  <c r="T192" i="4"/>
  <c r="S192" i="4"/>
  <c r="O192" i="4"/>
  <c r="N192" i="4"/>
  <c r="G192" i="4"/>
  <c r="T191" i="4"/>
  <c r="S191" i="4"/>
  <c r="O191" i="4"/>
  <c r="N191" i="4"/>
  <c r="Q191" i="4" s="1"/>
  <c r="G191" i="4"/>
  <c r="T190" i="4"/>
  <c r="S190" i="4"/>
  <c r="O190" i="4"/>
  <c r="N190" i="4"/>
  <c r="G190" i="4"/>
  <c r="T189" i="4"/>
  <c r="S189" i="4"/>
  <c r="O189" i="4"/>
  <c r="N189" i="4"/>
  <c r="Q189" i="4" s="1"/>
  <c r="G189" i="4"/>
  <c r="T188" i="4"/>
  <c r="S188" i="4"/>
  <c r="O188" i="4"/>
  <c r="N188" i="4"/>
  <c r="Q188" i="4" s="1"/>
  <c r="G188" i="4"/>
  <c r="T187" i="4"/>
  <c r="S187" i="4"/>
  <c r="O187" i="4"/>
  <c r="N187" i="4"/>
  <c r="G187" i="4"/>
  <c r="T186" i="4"/>
  <c r="S186" i="4"/>
  <c r="O186" i="4"/>
  <c r="N186" i="4"/>
  <c r="Q186" i="4" s="1"/>
  <c r="G186" i="4"/>
  <c r="T185" i="4"/>
  <c r="S185" i="4"/>
  <c r="O185" i="4"/>
  <c r="N185" i="4"/>
  <c r="G185" i="4"/>
  <c r="P185" i="4" s="1"/>
  <c r="R185" i="4" s="1"/>
  <c r="T184" i="4"/>
  <c r="S184" i="4"/>
  <c r="O184" i="4"/>
  <c r="N184" i="4"/>
  <c r="G184" i="4"/>
  <c r="P184" i="4" s="1"/>
  <c r="R184" i="4" s="1"/>
  <c r="T183" i="4"/>
  <c r="S183" i="4"/>
  <c r="O183" i="4"/>
  <c r="N183" i="4"/>
  <c r="G183" i="4"/>
  <c r="T182" i="4"/>
  <c r="S182" i="4"/>
  <c r="O182" i="4"/>
  <c r="N182" i="4"/>
  <c r="G182" i="4"/>
  <c r="T181" i="4"/>
  <c r="S181" i="4"/>
  <c r="P181" i="4"/>
  <c r="R181" i="4" s="1"/>
  <c r="O181" i="4"/>
  <c r="N181" i="4"/>
  <c r="Q181" i="4" s="1"/>
  <c r="G181" i="4"/>
  <c r="T180" i="4"/>
  <c r="S180" i="4"/>
  <c r="O180" i="4"/>
  <c r="N180" i="4"/>
  <c r="P180" i="4" s="1"/>
  <c r="R180" i="4" s="1"/>
  <c r="G180" i="4"/>
  <c r="T179" i="4"/>
  <c r="S179" i="4"/>
  <c r="Q179" i="4"/>
  <c r="O179" i="4"/>
  <c r="N179" i="4"/>
  <c r="G179" i="4"/>
  <c r="T178" i="4"/>
  <c r="S178" i="4"/>
  <c r="P178" i="4"/>
  <c r="R178" i="4" s="1"/>
  <c r="O178" i="4"/>
  <c r="N178" i="4"/>
  <c r="Q178" i="4" s="1"/>
  <c r="G178" i="4"/>
  <c r="T177" i="4"/>
  <c r="S177" i="4"/>
  <c r="O177" i="4"/>
  <c r="N177" i="4"/>
  <c r="G177" i="4"/>
  <c r="T176" i="4"/>
  <c r="S176" i="4"/>
  <c r="O176" i="4"/>
  <c r="N176" i="4"/>
  <c r="Q176" i="4" s="1"/>
  <c r="G176" i="4"/>
  <c r="T175" i="4"/>
  <c r="S175" i="4"/>
  <c r="Q175" i="4"/>
  <c r="O175" i="4"/>
  <c r="N175" i="4"/>
  <c r="P175" i="4" s="1"/>
  <c r="R175" i="4" s="1"/>
  <c r="G175" i="4"/>
  <c r="T174" i="4"/>
  <c r="S174" i="4"/>
  <c r="Q174" i="4"/>
  <c r="O174" i="4"/>
  <c r="N174" i="4"/>
  <c r="G174" i="4"/>
  <c r="T173" i="4"/>
  <c r="S173" i="4"/>
  <c r="O173" i="4"/>
  <c r="Q173" i="4" s="1"/>
  <c r="N173" i="4"/>
  <c r="G173" i="4"/>
  <c r="T172" i="4"/>
  <c r="S172" i="4"/>
  <c r="O172" i="4"/>
  <c r="N172" i="4"/>
  <c r="Q172" i="4" s="1"/>
  <c r="G172" i="4"/>
  <c r="T171" i="4"/>
  <c r="S171" i="4"/>
  <c r="O171" i="4"/>
  <c r="N171" i="4"/>
  <c r="G171" i="4"/>
  <c r="T170" i="4"/>
  <c r="S170" i="4"/>
  <c r="O170" i="4"/>
  <c r="N170" i="4"/>
  <c r="G170" i="4"/>
  <c r="T169" i="4"/>
  <c r="S169" i="4"/>
  <c r="P169" i="4"/>
  <c r="R169" i="4" s="1"/>
  <c r="O169" i="4"/>
  <c r="N169" i="4"/>
  <c r="Q169" i="4" s="1"/>
  <c r="G169" i="4"/>
  <c r="T168" i="4"/>
  <c r="S168" i="4"/>
  <c r="O168" i="4"/>
  <c r="N168" i="4"/>
  <c r="P168" i="4" s="1"/>
  <c r="R168" i="4" s="1"/>
  <c r="G168" i="4"/>
  <c r="T167" i="4"/>
  <c r="S167" i="4"/>
  <c r="O167" i="4"/>
  <c r="Q167" i="4" s="1"/>
  <c r="N167" i="4"/>
  <c r="G167" i="4"/>
  <c r="T166" i="4"/>
  <c r="S166" i="4"/>
  <c r="P166" i="4"/>
  <c r="R166" i="4" s="1"/>
  <c r="O166" i="4"/>
  <c r="Q166" i="4" s="1"/>
  <c r="N166" i="4"/>
  <c r="G166" i="4"/>
  <c r="T165" i="4"/>
  <c r="S165" i="4"/>
  <c r="O165" i="4"/>
  <c r="N165" i="4"/>
  <c r="G165" i="4"/>
  <c r="T164" i="4"/>
  <c r="S164" i="4"/>
  <c r="O164" i="4"/>
  <c r="N164" i="4"/>
  <c r="P164" i="4" s="1"/>
  <c r="R164" i="4" s="1"/>
  <c r="G164" i="4"/>
  <c r="T163" i="4"/>
  <c r="S163" i="4"/>
  <c r="O163" i="4"/>
  <c r="N163" i="4"/>
  <c r="Q163" i="4" s="1"/>
  <c r="G163" i="4"/>
  <c r="T162" i="4"/>
  <c r="S162" i="4"/>
  <c r="O162" i="4"/>
  <c r="N162" i="4"/>
  <c r="P162" i="4" s="1"/>
  <c r="R162" i="4" s="1"/>
  <c r="G162" i="4"/>
  <c r="T161" i="4"/>
  <c r="S161" i="4"/>
  <c r="O161" i="4"/>
  <c r="Q161" i="4" s="1"/>
  <c r="N161" i="4"/>
  <c r="G161" i="4"/>
  <c r="T160" i="4"/>
  <c r="S160" i="4"/>
  <c r="P160" i="4"/>
  <c r="R160" i="4" s="1"/>
  <c r="O160" i="4"/>
  <c r="Q160" i="4" s="1"/>
  <c r="N160" i="4"/>
  <c r="G160" i="4"/>
  <c r="T159" i="4"/>
  <c r="S159" i="4"/>
  <c r="O159" i="4"/>
  <c r="N159" i="4"/>
  <c r="G159" i="4"/>
  <c r="T158" i="4"/>
  <c r="S158" i="4"/>
  <c r="Q158" i="4"/>
  <c r="O158" i="4"/>
  <c r="N158" i="4"/>
  <c r="G158" i="4"/>
  <c r="T157" i="4"/>
  <c r="S157" i="4"/>
  <c r="O157" i="4"/>
  <c r="N157" i="4"/>
  <c r="Q157" i="4" s="1"/>
  <c r="G157" i="4"/>
  <c r="P157" i="4" s="1"/>
  <c r="R157" i="4" s="1"/>
  <c r="T156" i="4"/>
  <c r="S156" i="4"/>
  <c r="O156" i="4"/>
  <c r="N156" i="4"/>
  <c r="P156" i="4" s="1"/>
  <c r="R156" i="4" s="1"/>
  <c r="G156" i="4"/>
  <c r="T155" i="4"/>
  <c r="S155" i="4"/>
  <c r="Q155" i="4"/>
  <c r="O155" i="4"/>
  <c r="N155" i="4"/>
  <c r="G155" i="4"/>
  <c r="T154" i="4"/>
  <c r="S154" i="4"/>
  <c r="O154" i="4"/>
  <c r="N154" i="4"/>
  <c r="Q154" i="4" s="1"/>
  <c r="G154" i="4"/>
  <c r="P154" i="4" s="1"/>
  <c r="R154" i="4" s="1"/>
  <c r="T153" i="4"/>
  <c r="S153" i="4"/>
  <c r="O153" i="4"/>
  <c r="N153" i="4"/>
  <c r="G153" i="4"/>
  <c r="T152" i="4"/>
  <c r="S152" i="4"/>
  <c r="O152" i="4"/>
  <c r="N152" i="4"/>
  <c r="Q152" i="4" s="1"/>
  <c r="G152" i="4"/>
  <c r="T151" i="4"/>
  <c r="S151" i="4"/>
  <c r="Q151" i="4"/>
  <c r="O151" i="4"/>
  <c r="N151" i="4"/>
  <c r="P151" i="4" s="1"/>
  <c r="R151" i="4" s="1"/>
  <c r="G151" i="4"/>
  <c r="T150" i="4"/>
  <c r="S150" i="4"/>
  <c r="O150" i="4"/>
  <c r="Q150" i="4" s="1"/>
  <c r="N150" i="4"/>
  <c r="G150" i="4"/>
  <c r="T149" i="4"/>
  <c r="S149" i="4"/>
  <c r="O149" i="4"/>
  <c r="N149" i="4"/>
  <c r="G149" i="4"/>
  <c r="T148" i="4"/>
  <c r="S148" i="4"/>
  <c r="O148" i="4"/>
  <c r="Q148" i="4" s="1"/>
  <c r="N148" i="4"/>
  <c r="G148" i="4"/>
  <c r="P148" i="4" s="1"/>
  <c r="R148" i="4" s="1"/>
  <c r="T147" i="4"/>
  <c r="S147" i="4"/>
  <c r="O147" i="4"/>
  <c r="N147" i="4"/>
  <c r="G147" i="4"/>
  <c r="T146" i="4"/>
  <c r="S146" i="4"/>
  <c r="Q146" i="4"/>
  <c r="O146" i="4"/>
  <c r="N146" i="4"/>
  <c r="P146" i="4" s="1"/>
  <c r="R146" i="4" s="1"/>
  <c r="G146" i="4"/>
  <c r="T145" i="4"/>
  <c r="S145" i="4"/>
  <c r="O145" i="4"/>
  <c r="N145" i="4"/>
  <c r="Q145" i="4" s="1"/>
  <c r="G145" i="4"/>
  <c r="T144" i="4"/>
  <c r="S144" i="4"/>
  <c r="O144" i="4"/>
  <c r="N144" i="4"/>
  <c r="P144" i="4" s="1"/>
  <c r="R144" i="4" s="1"/>
  <c r="G144" i="4"/>
  <c r="T143" i="4"/>
  <c r="S143" i="4"/>
  <c r="O143" i="4"/>
  <c r="Q143" i="4" s="1"/>
  <c r="N143" i="4"/>
  <c r="G143" i="4"/>
  <c r="T142" i="4"/>
  <c r="S142" i="4"/>
  <c r="O142" i="4"/>
  <c r="N142" i="4"/>
  <c r="Q142" i="4" s="1"/>
  <c r="G142" i="4"/>
  <c r="T141" i="4"/>
  <c r="S141" i="4"/>
  <c r="O141" i="4"/>
  <c r="N141" i="4"/>
  <c r="P141" i="4" s="1"/>
  <c r="R141" i="4" s="1"/>
  <c r="G141" i="4"/>
  <c r="T140" i="4"/>
  <c r="S140" i="4"/>
  <c r="O140" i="4"/>
  <c r="N140" i="4"/>
  <c r="P140" i="4" s="1"/>
  <c r="R140" i="4" s="1"/>
  <c r="G140" i="4"/>
  <c r="T139" i="4"/>
  <c r="S139" i="4"/>
  <c r="Q139" i="4"/>
  <c r="P139" i="4"/>
  <c r="R139" i="4" s="1"/>
  <c r="O139" i="4"/>
  <c r="N139" i="4"/>
  <c r="G139" i="4"/>
  <c r="T138" i="4"/>
  <c r="S138" i="4"/>
  <c r="O138" i="4"/>
  <c r="N138" i="4"/>
  <c r="G138" i="4"/>
  <c r="T137" i="4"/>
  <c r="S137" i="4"/>
  <c r="O137" i="4"/>
  <c r="Q137" i="4" s="1"/>
  <c r="N137" i="4"/>
  <c r="G137" i="4"/>
  <c r="T136" i="4"/>
  <c r="S136" i="4"/>
  <c r="O136" i="4"/>
  <c r="Q136" i="4" s="1"/>
  <c r="N136" i="4"/>
  <c r="P136" i="4" s="1"/>
  <c r="R136" i="4" s="1"/>
  <c r="G136" i="4"/>
  <c r="T135" i="4"/>
  <c r="S135" i="4"/>
  <c r="R135" i="4"/>
  <c r="O135" i="4"/>
  <c r="N135" i="4"/>
  <c r="P135" i="4" s="1"/>
  <c r="G135" i="4"/>
  <c r="T134" i="4"/>
  <c r="S134" i="4"/>
  <c r="O134" i="4"/>
  <c r="Q134" i="4" s="1"/>
  <c r="N134" i="4"/>
  <c r="G134" i="4"/>
  <c r="T133" i="4"/>
  <c r="S133" i="4"/>
  <c r="O133" i="4"/>
  <c r="N133" i="4"/>
  <c r="Q133" i="4" s="1"/>
  <c r="G133" i="4"/>
  <c r="T132" i="4"/>
  <c r="S132" i="4"/>
  <c r="O132" i="4"/>
  <c r="N132" i="4"/>
  <c r="G132" i="4"/>
  <c r="T131" i="4"/>
  <c r="S131" i="4"/>
  <c r="O131" i="4"/>
  <c r="Q131" i="4" s="1"/>
  <c r="N131" i="4"/>
  <c r="G131" i="4"/>
  <c r="T130" i="4"/>
  <c r="S130" i="4"/>
  <c r="O130" i="4"/>
  <c r="N130" i="4"/>
  <c r="Q130" i="4" s="1"/>
  <c r="G130" i="4"/>
  <c r="T129" i="4"/>
  <c r="S129" i="4"/>
  <c r="O129" i="4"/>
  <c r="N129" i="4"/>
  <c r="G129" i="4"/>
  <c r="T128" i="4"/>
  <c r="S128" i="4"/>
  <c r="O128" i="4"/>
  <c r="N128" i="4"/>
  <c r="Q128" i="4" s="1"/>
  <c r="G128" i="4"/>
  <c r="T127" i="4"/>
  <c r="S127" i="4"/>
  <c r="P127" i="4"/>
  <c r="R127" i="4" s="1"/>
  <c r="O127" i="4"/>
  <c r="N127" i="4"/>
  <c r="Q127" i="4" s="1"/>
  <c r="G127" i="4"/>
  <c r="T126" i="4"/>
  <c r="S126" i="4"/>
  <c r="O126" i="4"/>
  <c r="N126" i="4"/>
  <c r="Q126" i="4" s="1"/>
  <c r="G126" i="4"/>
  <c r="T125" i="4"/>
  <c r="S125" i="4"/>
  <c r="O125" i="4"/>
  <c r="Q125" i="4" s="1"/>
  <c r="N125" i="4"/>
  <c r="G125" i="4"/>
  <c r="T124" i="4"/>
  <c r="S124" i="4"/>
  <c r="P124" i="4"/>
  <c r="R124" i="4" s="1"/>
  <c r="O124" i="4"/>
  <c r="Q124" i="4" s="1"/>
  <c r="N124" i="4"/>
  <c r="G124" i="4"/>
  <c r="T123" i="4"/>
  <c r="S123" i="4"/>
  <c r="O123" i="4"/>
  <c r="N123" i="4"/>
  <c r="G123" i="4"/>
  <c r="T122" i="4"/>
  <c r="S122" i="4"/>
  <c r="O122" i="4"/>
  <c r="N122" i="4"/>
  <c r="P122" i="4" s="1"/>
  <c r="R122" i="4" s="1"/>
  <c r="G122" i="4"/>
  <c r="T121" i="4"/>
  <c r="S121" i="4"/>
  <c r="O121" i="4"/>
  <c r="N121" i="4"/>
  <c r="Q121" i="4" s="1"/>
  <c r="G121" i="4"/>
  <c r="T120" i="4"/>
  <c r="S120" i="4"/>
  <c r="Q120" i="4"/>
  <c r="O120" i="4"/>
  <c r="N120" i="4"/>
  <c r="G120" i="4"/>
  <c r="T119" i="4"/>
  <c r="S119" i="4"/>
  <c r="O119" i="4"/>
  <c r="N119" i="4"/>
  <c r="Q119" i="4" s="1"/>
  <c r="G119" i="4"/>
  <c r="T118" i="4"/>
  <c r="S118" i="4"/>
  <c r="Q118" i="4"/>
  <c r="O118" i="4"/>
  <c r="N118" i="4"/>
  <c r="P118" i="4" s="1"/>
  <c r="R118" i="4" s="1"/>
  <c r="G118" i="4"/>
  <c r="T117" i="4"/>
  <c r="S117" i="4"/>
  <c r="O117" i="4"/>
  <c r="N117" i="4"/>
  <c r="G117" i="4"/>
  <c r="T116" i="4"/>
  <c r="S116" i="4"/>
  <c r="Q116" i="4"/>
  <c r="O116" i="4"/>
  <c r="N116" i="4"/>
  <c r="G116" i="4"/>
  <c r="T115" i="4"/>
  <c r="S115" i="4"/>
  <c r="O115" i="4"/>
  <c r="N115" i="4"/>
  <c r="Q115" i="4" s="1"/>
  <c r="G115" i="4"/>
  <c r="P115" i="4" s="1"/>
  <c r="R115" i="4" s="1"/>
  <c r="T114" i="4"/>
  <c r="S114" i="4"/>
  <c r="O114" i="4"/>
  <c r="N114" i="4"/>
  <c r="G114" i="4"/>
  <c r="T113" i="4"/>
  <c r="S113" i="4"/>
  <c r="O113" i="4"/>
  <c r="N113" i="4"/>
  <c r="Q113" i="4" s="1"/>
  <c r="G113" i="4"/>
  <c r="T112" i="4"/>
  <c r="S112" i="4"/>
  <c r="Q112" i="4"/>
  <c r="O112" i="4"/>
  <c r="N112" i="4"/>
  <c r="P112" i="4" s="1"/>
  <c r="R112" i="4" s="1"/>
  <c r="G112" i="4"/>
  <c r="T111" i="4"/>
  <c r="S111" i="4"/>
  <c r="O111" i="4"/>
  <c r="N111" i="4"/>
  <c r="G111" i="4"/>
  <c r="T110" i="4"/>
  <c r="S110" i="4"/>
  <c r="O110" i="4"/>
  <c r="N110" i="4"/>
  <c r="G110" i="4"/>
  <c r="T109" i="4"/>
  <c r="S109" i="4"/>
  <c r="O109" i="4"/>
  <c r="N109" i="4"/>
  <c r="Q109" i="4" s="1"/>
  <c r="G109" i="4"/>
  <c r="T108" i="4"/>
  <c r="S108" i="4"/>
  <c r="Q108" i="4"/>
  <c r="O108" i="4"/>
  <c r="N108" i="4"/>
  <c r="P108" i="4" s="1"/>
  <c r="R108" i="4" s="1"/>
  <c r="G108" i="4"/>
  <c r="T107" i="4"/>
  <c r="S107" i="4"/>
  <c r="O107" i="4"/>
  <c r="N107" i="4"/>
  <c r="Q107" i="4" s="1"/>
  <c r="G107" i="4"/>
  <c r="T106" i="4"/>
  <c r="S106" i="4"/>
  <c r="O106" i="4"/>
  <c r="Q106" i="4" s="1"/>
  <c r="N106" i="4"/>
  <c r="G106" i="4"/>
  <c r="P106" i="4" s="1"/>
  <c r="R106" i="4" s="1"/>
  <c r="T105" i="4"/>
  <c r="S105" i="4"/>
  <c r="O105" i="4"/>
  <c r="N105" i="4"/>
  <c r="G105" i="4"/>
  <c r="T104" i="4"/>
  <c r="S104" i="4"/>
  <c r="O104" i="4"/>
  <c r="N104" i="4"/>
  <c r="G104" i="4"/>
  <c r="T103" i="4"/>
  <c r="S103" i="4"/>
  <c r="O103" i="4"/>
  <c r="N103" i="4"/>
  <c r="Q103" i="4" s="1"/>
  <c r="G103" i="4"/>
  <c r="T102" i="4"/>
  <c r="S102" i="4"/>
  <c r="O102" i="4"/>
  <c r="N102" i="4"/>
  <c r="Q102" i="4" s="1"/>
  <c r="G102" i="4"/>
  <c r="T101" i="4"/>
  <c r="S101" i="4"/>
  <c r="O101" i="4"/>
  <c r="N101" i="4"/>
  <c r="G101" i="4"/>
  <c r="T100" i="4"/>
  <c r="S100" i="4"/>
  <c r="Q100" i="4"/>
  <c r="O100" i="4"/>
  <c r="N100" i="4"/>
  <c r="G100" i="4"/>
  <c r="P100" i="4" s="1"/>
  <c r="R100" i="4" s="1"/>
  <c r="T99" i="4"/>
  <c r="S99" i="4"/>
  <c r="O99" i="4"/>
  <c r="N99" i="4"/>
  <c r="G99" i="4"/>
  <c r="T98" i="4"/>
  <c r="S98" i="4"/>
  <c r="O98" i="4"/>
  <c r="N98" i="4"/>
  <c r="G98" i="4"/>
  <c r="T97" i="4"/>
  <c r="S97" i="4"/>
  <c r="O97" i="4"/>
  <c r="N97" i="4"/>
  <c r="Q97" i="4" s="1"/>
  <c r="G97" i="4"/>
  <c r="T96" i="4"/>
  <c r="S96" i="4"/>
  <c r="O96" i="4"/>
  <c r="Q96" i="4" s="1"/>
  <c r="N96" i="4"/>
  <c r="G96" i="4"/>
  <c r="T95" i="4"/>
  <c r="S95" i="4"/>
  <c r="O95" i="4"/>
  <c r="N95" i="4"/>
  <c r="Q95" i="4" s="1"/>
  <c r="G95" i="4"/>
  <c r="T94" i="4"/>
  <c r="S94" i="4"/>
  <c r="O94" i="4"/>
  <c r="N94" i="4"/>
  <c r="P94" i="4" s="1"/>
  <c r="R94" i="4" s="1"/>
  <c r="G94" i="4"/>
  <c r="T93" i="4"/>
  <c r="S93" i="4"/>
  <c r="O93" i="4"/>
  <c r="N93" i="4"/>
  <c r="P93" i="4" s="1"/>
  <c r="R93" i="4" s="1"/>
  <c r="G93" i="4"/>
  <c r="T92" i="4"/>
  <c r="S92" i="4"/>
  <c r="O92" i="4"/>
  <c r="N92" i="4"/>
  <c r="P92" i="4" s="1"/>
  <c r="R92" i="4" s="1"/>
  <c r="G92" i="4"/>
  <c r="T91" i="4"/>
  <c r="S91" i="4"/>
  <c r="O91" i="4"/>
  <c r="N91" i="4"/>
  <c r="Q91" i="4" s="1"/>
  <c r="G91" i="4"/>
  <c r="T90" i="4"/>
  <c r="S90" i="4"/>
  <c r="O90" i="4"/>
  <c r="N90" i="4"/>
  <c r="P90" i="4" s="1"/>
  <c r="R90" i="4" s="1"/>
  <c r="G90" i="4"/>
  <c r="T89" i="4"/>
  <c r="S89" i="4"/>
  <c r="O89" i="4"/>
  <c r="N89" i="4"/>
  <c r="Q89" i="4" s="1"/>
  <c r="G89" i="4"/>
  <c r="T88" i="4"/>
  <c r="S88" i="4"/>
  <c r="Q88" i="4"/>
  <c r="O88" i="4"/>
  <c r="N88" i="4"/>
  <c r="G88" i="4"/>
  <c r="P88" i="4" s="1"/>
  <c r="R88" i="4" s="1"/>
  <c r="T87" i="4"/>
  <c r="S87" i="4"/>
  <c r="R87" i="4"/>
  <c r="O87" i="4"/>
  <c r="Q87" i="4" s="1"/>
  <c r="N87" i="4"/>
  <c r="P87" i="4" s="1"/>
  <c r="G87" i="4"/>
  <c r="T86" i="4"/>
  <c r="S86" i="4"/>
  <c r="O86" i="4"/>
  <c r="N86" i="4"/>
  <c r="G86" i="4"/>
  <c r="T85" i="4"/>
  <c r="S85" i="4"/>
  <c r="P85" i="4"/>
  <c r="R85" i="4" s="1"/>
  <c r="O85" i="4"/>
  <c r="Q85" i="4" s="1"/>
  <c r="N85" i="4"/>
  <c r="G85" i="4"/>
  <c r="T84" i="4"/>
  <c r="S84" i="4"/>
  <c r="Q84" i="4"/>
  <c r="O84" i="4"/>
  <c r="N84" i="4"/>
  <c r="G84" i="4"/>
  <c r="T83" i="4"/>
  <c r="S83" i="4"/>
  <c r="O83" i="4"/>
  <c r="Q83" i="4" s="1"/>
  <c r="N83" i="4"/>
  <c r="G83" i="4"/>
  <c r="T82" i="4"/>
  <c r="S82" i="4"/>
  <c r="O82" i="4"/>
  <c r="Q82" i="4" s="1"/>
  <c r="N82" i="4"/>
  <c r="P82" i="4" s="1"/>
  <c r="R82" i="4" s="1"/>
  <c r="G82" i="4"/>
  <c r="T81" i="4"/>
  <c r="S81" i="4"/>
  <c r="O81" i="4"/>
  <c r="N81" i="4"/>
  <c r="G81" i="4"/>
  <c r="T80" i="4"/>
  <c r="S80" i="4"/>
  <c r="O80" i="4"/>
  <c r="N80" i="4"/>
  <c r="G80" i="4"/>
  <c r="T79" i="4"/>
  <c r="S79" i="4"/>
  <c r="P79" i="4"/>
  <c r="R79" i="4" s="1"/>
  <c r="O79" i="4"/>
  <c r="Q79" i="4" s="1"/>
  <c r="N79" i="4"/>
  <c r="G79" i="4"/>
  <c r="T78" i="4"/>
  <c r="S78" i="4"/>
  <c r="O78" i="4"/>
  <c r="N78" i="4"/>
  <c r="G78" i="4"/>
  <c r="T77" i="4"/>
  <c r="S77" i="4"/>
  <c r="O77" i="4"/>
  <c r="Q77" i="4" s="1"/>
  <c r="N77" i="4"/>
  <c r="G77" i="4"/>
  <c r="T76" i="4"/>
  <c r="S76" i="4"/>
  <c r="O76" i="4"/>
  <c r="N76" i="4"/>
  <c r="Q76" i="4" s="1"/>
  <c r="G76" i="4"/>
  <c r="T75" i="4"/>
  <c r="S75" i="4"/>
  <c r="P75" i="4"/>
  <c r="R75" i="4" s="1"/>
  <c r="O75" i="4"/>
  <c r="Q75" i="4" s="1"/>
  <c r="N75" i="4"/>
  <c r="G75" i="4"/>
  <c r="T74" i="4"/>
  <c r="S74" i="4"/>
  <c r="O74" i="4"/>
  <c r="N74" i="4"/>
  <c r="G74" i="4"/>
  <c r="T73" i="4"/>
  <c r="S73" i="4"/>
  <c r="Q73" i="4"/>
  <c r="O73" i="4"/>
  <c r="N73" i="4"/>
  <c r="P73" i="4" s="1"/>
  <c r="R73" i="4" s="1"/>
  <c r="G73" i="4"/>
  <c r="T72" i="4"/>
  <c r="S72" i="4"/>
  <c r="O72" i="4"/>
  <c r="N72" i="4"/>
  <c r="Q72" i="4" s="1"/>
  <c r="G72" i="4"/>
  <c r="T71" i="4"/>
  <c r="S71" i="4"/>
  <c r="Q71" i="4"/>
  <c r="O71" i="4"/>
  <c r="N71" i="4"/>
  <c r="G71" i="4"/>
  <c r="T70" i="4"/>
  <c r="S70" i="4"/>
  <c r="P70" i="4"/>
  <c r="R70" i="4" s="1"/>
  <c r="O70" i="4"/>
  <c r="N70" i="4"/>
  <c r="Q70" i="4" s="1"/>
  <c r="G70" i="4"/>
  <c r="T69" i="4"/>
  <c r="S69" i="4"/>
  <c r="O69" i="4"/>
  <c r="N69" i="4"/>
  <c r="Q69" i="4" s="1"/>
  <c r="G69" i="4"/>
  <c r="T68" i="4"/>
  <c r="S68" i="4"/>
  <c r="O68" i="4"/>
  <c r="N68" i="4"/>
  <c r="G68" i="4"/>
  <c r="T67" i="4"/>
  <c r="S67" i="4"/>
  <c r="Q67" i="4"/>
  <c r="P67" i="4"/>
  <c r="R67" i="4" s="1"/>
  <c r="O67" i="4"/>
  <c r="N67" i="4"/>
  <c r="G67" i="4"/>
  <c r="T66" i="4"/>
  <c r="S66" i="4"/>
  <c r="P66" i="4"/>
  <c r="R66" i="4" s="1"/>
  <c r="O66" i="4"/>
  <c r="N66" i="4"/>
  <c r="Q66" i="4" s="1"/>
  <c r="G66" i="4"/>
  <c r="T65" i="4"/>
  <c r="S65" i="4"/>
  <c r="O65" i="4"/>
  <c r="N65" i="4"/>
  <c r="Q65" i="4" s="1"/>
  <c r="G65" i="4"/>
  <c r="T64" i="4"/>
  <c r="S64" i="4"/>
  <c r="O64" i="4"/>
  <c r="N64" i="4"/>
  <c r="Q64" i="4" s="1"/>
  <c r="G64" i="4"/>
  <c r="T63" i="4"/>
  <c r="S63" i="4"/>
  <c r="O63" i="4"/>
  <c r="N63" i="4"/>
  <c r="Q63" i="4" s="1"/>
  <c r="G63" i="4"/>
  <c r="T62" i="4"/>
  <c r="S62" i="4"/>
  <c r="O62" i="4"/>
  <c r="N62" i="4"/>
  <c r="G62" i="4"/>
  <c r="T61" i="4"/>
  <c r="S61" i="4"/>
  <c r="Q61" i="4"/>
  <c r="O61" i="4"/>
  <c r="N61" i="4"/>
  <c r="P61" i="4" s="1"/>
  <c r="R61" i="4" s="1"/>
  <c r="G61" i="4"/>
  <c r="T60" i="4"/>
  <c r="S60" i="4"/>
  <c r="O60" i="4"/>
  <c r="Q60" i="4" s="1"/>
  <c r="N60" i="4"/>
  <c r="G60" i="4"/>
  <c r="P60" i="4" s="1"/>
  <c r="R60" i="4" s="1"/>
  <c r="T59" i="4"/>
  <c r="S59" i="4"/>
  <c r="O59" i="4"/>
  <c r="N59" i="4"/>
  <c r="G59" i="4"/>
  <c r="T58" i="4"/>
  <c r="S58" i="4"/>
  <c r="P58" i="4"/>
  <c r="R58" i="4" s="1"/>
  <c r="O58" i="4"/>
  <c r="N58" i="4"/>
  <c r="Q58" i="4" s="1"/>
  <c r="G58" i="4"/>
  <c r="T57" i="4"/>
  <c r="S57" i="4"/>
  <c r="O57" i="4"/>
  <c r="N57" i="4"/>
  <c r="Q57" i="4" s="1"/>
  <c r="G57" i="4"/>
  <c r="T56" i="4"/>
  <c r="S56" i="4"/>
  <c r="O56" i="4"/>
  <c r="N56" i="4"/>
  <c r="Q56" i="4" s="1"/>
  <c r="G56" i="4"/>
  <c r="T55" i="4"/>
  <c r="S55" i="4"/>
  <c r="Q55" i="4"/>
  <c r="O55" i="4"/>
  <c r="N55" i="4"/>
  <c r="P55" i="4" s="1"/>
  <c r="R55" i="4" s="1"/>
  <c r="G55" i="4"/>
  <c r="T54" i="4"/>
  <c r="S54" i="4"/>
  <c r="Q54" i="4"/>
  <c r="O54" i="4"/>
  <c r="N54" i="4"/>
  <c r="G54" i="4"/>
  <c r="T53" i="4"/>
  <c r="S53" i="4"/>
  <c r="O53" i="4"/>
  <c r="Q53" i="4" s="1"/>
  <c r="N53" i="4"/>
  <c r="G53" i="4"/>
  <c r="T52" i="4"/>
  <c r="S52" i="4"/>
  <c r="O52" i="4"/>
  <c r="N52" i="4"/>
  <c r="Q52" i="4" s="1"/>
  <c r="G52" i="4"/>
  <c r="T51" i="4"/>
  <c r="S51" i="4"/>
  <c r="O51" i="4"/>
  <c r="Q51" i="4" s="1"/>
  <c r="N51" i="4"/>
  <c r="G51" i="4"/>
  <c r="P51" i="4" s="1"/>
  <c r="R51" i="4" s="1"/>
  <c r="T50" i="4"/>
  <c r="S50" i="4"/>
  <c r="O50" i="4"/>
  <c r="N50" i="4"/>
  <c r="G50" i="4"/>
  <c r="T49" i="4"/>
  <c r="S49" i="4"/>
  <c r="Q49" i="4"/>
  <c r="O49" i="4"/>
  <c r="N49" i="4"/>
  <c r="G49" i="4"/>
  <c r="P49" i="4" s="1"/>
  <c r="R49" i="4" s="1"/>
  <c r="T48" i="4"/>
  <c r="S48" i="4"/>
  <c r="O48" i="4"/>
  <c r="N48" i="4"/>
  <c r="Q48" i="4" s="1"/>
  <c r="G48" i="4"/>
  <c r="T47" i="4"/>
  <c r="S47" i="4"/>
  <c r="O47" i="4"/>
  <c r="Q47" i="4" s="1"/>
  <c r="N47" i="4"/>
  <c r="G47" i="4"/>
  <c r="T46" i="4"/>
  <c r="S46" i="4"/>
  <c r="P46" i="4"/>
  <c r="R46" i="4" s="1"/>
  <c r="O46" i="4"/>
  <c r="Q46" i="4" s="1"/>
  <c r="N46" i="4"/>
  <c r="G46" i="4"/>
  <c r="T45" i="4"/>
  <c r="S45" i="4"/>
  <c r="O45" i="4"/>
  <c r="N45" i="4"/>
  <c r="G45" i="4"/>
  <c r="T44" i="4"/>
  <c r="S44" i="4"/>
  <c r="O44" i="4"/>
  <c r="N44" i="4"/>
  <c r="G44" i="4"/>
  <c r="T43" i="4"/>
  <c r="S43" i="4"/>
  <c r="O43" i="4"/>
  <c r="Q43" i="4" s="1"/>
  <c r="N43" i="4"/>
  <c r="G43" i="4"/>
  <c r="P43" i="4" s="1"/>
  <c r="R43" i="4" s="1"/>
  <c r="T42" i="4"/>
  <c r="S42" i="4"/>
  <c r="O42" i="4"/>
  <c r="N42" i="4"/>
  <c r="Q42" i="4" s="1"/>
  <c r="G42" i="4"/>
  <c r="T41" i="4"/>
  <c r="S41" i="4"/>
  <c r="O41" i="4"/>
  <c r="Q41" i="4" s="1"/>
  <c r="N41" i="4"/>
  <c r="G41" i="4"/>
  <c r="T40" i="4"/>
  <c r="S40" i="4"/>
  <c r="P40" i="4"/>
  <c r="R40" i="4" s="1"/>
  <c r="O40" i="4"/>
  <c r="Q40" i="4" s="1"/>
  <c r="N40" i="4"/>
  <c r="G40" i="4"/>
  <c r="T39" i="4"/>
  <c r="S39" i="4"/>
  <c r="O39" i="4"/>
  <c r="N39" i="4"/>
  <c r="P39" i="4" s="1"/>
  <c r="R39" i="4" s="1"/>
  <c r="G39" i="4"/>
  <c r="T38" i="4"/>
  <c r="S38" i="4"/>
  <c r="O38" i="4"/>
  <c r="N38" i="4"/>
  <c r="G38" i="4"/>
  <c r="T37" i="4"/>
  <c r="S37" i="4"/>
  <c r="O37" i="4"/>
  <c r="N37" i="4"/>
  <c r="Q37" i="4" s="1"/>
  <c r="G37" i="4"/>
  <c r="T36" i="4"/>
  <c r="S36" i="4"/>
  <c r="O36" i="4"/>
  <c r="N36" i="4"/>
  <c r="G36" i="4"/>
  <c r="T35" i="4"/>
  <c r="S35" i="4"/>
  <c r="O35" i="4"/>
  <c r="N35" i="4"/>
  <c r="Q35" i="4" s="1"/>
  <c r="G35" i="4"/>
  <c r="T34" i="4"/>
  <c r="S34" i="4"/>
  <c r="Q34" i="4"/>
  <c r="P34" i="4"/>
  <c r="R34" i="4" s="1"/>
  <c r="O34" i="4"/>
  <c r="N34" i="4"/>
  <c r="G34" i="4"/>
  <c r="T33" i="4"/>
  <c r="S33" i="4"/>
  <c r="O33" i="4"/>
  <c r="N33" i="4"/>
  <c r="Q33" i="4" s="1"/>
  <c r="G33" i="4"/>
  <c r="T32" i="4"/>
  <c r="S32" i="4"/>
  <c r="O32" i="4"/>
  <c r="N32" i="4"/>
  <c r="G32" i="4"/>
  <c r="T31" i="4"/>
  <c r="S31" i="4"/>
  <c r="O31" i="4"/>
  <c r="N31" i="4"/>
  <c r="P31" i="4" s="1"/>
  <c r="R31" i="4" s="1"/>
  <c r="G31" i="4"/>
  <c r="T30" i="4"/>
  <c r="S30" i="4"/>
  <c r="Q30" i="4"/>
  <c r="P30" i="4"/>
  <c r="R30" i="4" s="1"/>
  <c r="O30" i="4"/>
  <c r="N30" i="4"/>
  <c r="G30" i="4"/>
  <c r="T29" i="4"/>
  <c r="S29" i="4"/>
  <c r="O29" i="4"/>
  <c r="N29" i="4"/>
  <c r="Q29" i="4" s="1"/>
  <c r="G29" i="4"/>
  <c r="T28" i="4"/>
  <c r="S28" i="4"/>
  <c r="Q28" i="4"/>
  <c r="O28" i="4"/>
  <c r="N28" i="4"/>
  <c r="P28" i="4" s="1"/>
  <c r="R28" i="4" s="1"/>
  <c r="G28" i="4"/>
  <c r="T27" i="4"/>
  <c r="S27" i="4"/>
  <c r="O27" i="4"/>
  <c r="N27" i="4"/>
  <c r="G27" i="4"/>
  <c r="O14" i="10"/>
  <c r="O13" i="10"/>
  <c r="O11" i="10"/>
  <c r="O10" i="10"/>
  <c r="T26" i="4"/>
  <c r="O26" i="4"/>
  <c r="N26" i="4"/>
  <c r="O8" i="10" s="1"/>
  <c r="G26" i="4"/>
  <c r="T25" i="4"/>
  <c r="O25" i="4"/>
  <c r="N25" i="4"/>
  <c r="O7" i="10" s="1"/>
  <c r="G25" i="4"/>
  <c r="T24" i="4"/>
  <c r="O24" i="4"/>
  <c r="N24" i="4"/>
  <c r="G24" i="4"/>
  <c r="T23" i="4"/>
  <c r="O23" i="4"/>
  <c r="N23" i="4"/>
  <c r="O5" i="10" s="1"/>
  <c r="G23" i="4"/>
  <c r="T22" i="4"/>
  <c r="O22" i="4"/>
  <c r="N22" i="4"/>
  <c r="O33" i="10" s="1"/>
  <c r="G22" i="4"/>
  <c r="T21" i="4"/>
  <c r="O21" i="4"/>
  <c r="N21" i="4"/>
  <c r="G21" i="4"/>
  <c r="T20" i="4"/>
  <c r="O20" i="4"/>
  <c r="N20" i="4"/>
  <c r="O31" i="10" s="1"/>
  <c r="G20" i="4"/>
  <c r="T19" i="4"/>
  <c r="O19" i="4"/>
  <c r="N19" i="4"/>
  <c r="O30" i="10" s="1"/>
  <c r="G19" i="4"/>
  <c r="T18" i="4"/>
  <c r="O18" i="4"/>
  <c r="N18" i="4"/>
  <c r="G18" i="4"/>
  <c r="T17" i="4"/>
  <c r="O17" i="4"/>
  <c r="N17" i="4"/>
  <c r="O28" i="10" s="1"/>
  <c r="G17" i="4"/>
  <c r="T16" i="4"/>
  <c r="O16" i="4"/>
  <c r="N16" i="4"/>
  <c r="O27" i="10" s="1"/>
  <c r="G16" i="4"/>
  <c r="T15" i="4"/>
  <c r="O15" i="4"/>
  <c r="N15" i="4"/>
  <c r="G15" i="4"/>
  <c r="T14" i="4"/>
  <c r="O14" i="4"/>
  <c r="N14" i="4"/>
  <c r="O25" i="10" s="1"/>
  <c r="G14" i="4"/>
  <c r="P14" i="4" s="1"/>
  <c r="R14" i="4" s="1"/>
  <c r="T13" i="4"/>
  <c r="O13" i="4"/>
  <c r="N13" i="4"/>
  <c r="O24" i="10" s="1"/>
  <c r="G13" i="4"/>
  <c r="T12" i="4"/>
  <c r="O12" i="4"/>
  <c r="Q12" i="4" s="1"/>
  <c r="T11" i="4"/>
  <c r="O11" i="4"/>
  <c r="N11" i="4"/>
  <c r="O22" i="10" s="1"/>
  <c r="G11" i="4"/>
  <c r="T10" i="4"/>
  <c r="O10" i="4"/>
  <c r="N10" i="4"/>
  <c r="O21" i="10" s="1"/>
  <c r="G10" i="4"/>
  <c r="T9" i="4"/>
  <c r="O9" i="4"/>
  <c r="N9" i="4"/>
  <c r="G9" i="4"/>
  <c r="T8" i="4"/>
  <c r="O8" i="4"/>
  <c r="N8" i="4"/>
  <c r="O19" i="10" s="1"/>
  <c r="Q19" i="10" s="1"/>
  <c r="G8" i="4"/>
  <c r="T7" i="4"/>
  <c r="O7" i="4"/>
  <c r="N7" i="4"/>
  <c r="O18" i="10" s="1"/>
  <c r="G7" i="4"/>
  <c r="T6" i="4"/>
  <c r="O6" i="4"/>
  <c r="N6" i="4"/>
  <c r="G6" i="4"/>
  <c r="T5" i="4"/>
  <c r="O5" i="4"/>
  <c r="N5" i="4"/>
  <c r="O16" i="10" s="1"/>
  <c r="G5" i="4"/>
  <c r="U124" i="3"/>
  <c r="S124" i="3"/>
  <c r="R124" i="3"/>
  <c r="Q124" i="3"/>
  <c r="T124" i="3" s="1"/>
  <c r="J124" i="3"/>
  <c r="U123" i="3"/>
  <c r="S123" i="3"/>
  <c r="R123" i="3"/>
  <c r="Q123" i="3"/>
  <c r="T123" i="3" s="1"/>
  <c r="J123" i="3"/>
  <c r="U122" i="3"/>
  <c r="S122" i="3"/>
  <c r="R122" i="3"/>
  <c r="Q122" i="3"/>
  <c r="T122" i="3" s="1"/>
  <c r="J122" i="3"/>
  <c r="U121" i="3"/>
  <c r="S121" i="3"/>
  <c r="R121" i="3"/>
  <c r="Q121" i="3"/>
  <c r="T121" i="3" s="1"/>
  <c r="J121" i="3"/>
  <c r="U120" i="3"/>
  <c r="S120" i="3"/>
  <c r="R120" i="3"/>
  <c r="Q120" i="3"/>
  <c r="T120" i="3" s="1"/>
  <c r="J120" i="3"/>
  <c r="U119" i="3"/>
  <c r="S119" i="3"/>
  <c r="R119" i="3"/>
  <c r="Q119" i="3"/>
  <c r="T119" i="3" s="1"/>
  <c r="J119" i="3"/>
  <c r="U118" i="3"/>
  <c r="S118" i="3"/>
  <c r="R118" i="3"/>
  <c r="Q118" i="3"/>
  <c r="T118" i="3" s="1"/>
  <c r="J118" i="3"/>
  <c r="U117" i="3"/>
  <c r="S117" i="3"/>
  <c r="R117" i="3"/>
  <c r="Q117" i="3"/>
  <c r="T117" i="3" s="1"/>
  <c r="J117" i="3"/>
  <c r="U116" i="3"/>
  <c r="S116" i="3"/>
  <c r="R116" i="3"/>
  <c r="Q116" i="3"/>
  <c r="T116" i="3" s="1"/>
  <c r="J116" i="3"/>
  <c r="U115" i="3"/>
  <c r="S115" i="3"/>
  <c r="R115" i="3"/>
  <c r="Q115" i="3"/>
  <c r="T115" i="3" s="1"/>
  <c r="J115" i="3"/>
  <c r="U114" i="3"/>
  <c r="S114" i="3"/>
  <c r="R114" i="3"/>
  <c r="Q114" i="3"/>
  <c r="T114" i="3" s="1"/>
  <c r="J114" i="3"/>
  <c r="U113" i="3"/>
  <c r="S113" i="3"/>
  <c r="R113" i="3"/>
  <c r="Q113" i="3"/>
  <c r="T113" i="3" s="1"/>
  <c r="J113" i="3"/>
  <c r="U112" i="3"/>
  <c r="S112" i="3"/>
  <c r="R112" i="3"/>
  <c r="Q112" i="3"/>
  <c r="T112" i="3" s="1"/>
  <c r="J112" i="3"/>
  <c r="U111" i="3"/>
  <c r="S111" i="3"/>
  <c r="R111" i="3"/>
  <c r="Q111" i="3"/>
  <c r="T111" i="3" s="1"/>
  <c r="J111" i="3"/>
  <c r="U110" i="3"/>
  <c r="S110" i="3"/>
  <c r="R110" i="3"/>
  <c r="Q110" i="3"/>
  <c r="T110" i="3" s="1"/>
  <c r="J110" i="3"/>
  <c r="U109" i="3"/>
  <c r="S109" i="3"/>
  <c r="R109" i="3"/>
  <c r="Q109" i="3"/>
  <c r="T109" i="3" s="1"/>
  <c r="J109" i="3"/>
  <c r="U108" i="3"/>
  <c r="S108" i="3"/>
  <c r="R108" i="3"/>
  <c r="Q108" i="3"/>
  <c r="T108" i="3" s="1"/>
  <c r="J108" i="3"/>
  <c r="U107" i="3"/>
  <c r="S107" i="3"/>
  <c r="R107" i="3"/>
  <c r="Q107" i="3"/>
  <c r="T107" i="3" s="1"/>
  <c r="J107" i="3"/>
  <c r="U106" i="3"/>
  <c r="S106" i="3"/>
  <c r="R106" i="3"/>
  <c r="Q106" i="3"/>
  <c r="T106" i="3" s="1"/>
  <c r="J106" i="3"/>
  <c r="U105" i="3"/>
  <c r="S105" i="3"/>
  <c r="R105" i="3"/>
  <c r="Q105" i="3"/>
  <c r="T105" i="3" s="1"/>
  <c r="J105" i="3"/>
  <c r="U104" i="3"/>
  <c r="S104" i="3"/>
  <c r="R104" i="3"/>
  <c r="Q104" i="3"/>
  <c r="T104" i="3" s="1"/>
  <c r="J104" i="3"/>
  <c r="U103" i="3"/>
  <c r="S103" i="3"/>
  <c r="R103" i="3"/>
  <c r="Q103" i="3"/>
  <c r="T103" i="3" s="1"/>
  <c r="J103" i="3"/>
  <c r="U102" i="3"/>
  <c r="S102" i="3"/>
  <c r="R102" i="3"/>
  <c r="Q102" i="3"/>
  <c r="T102" i="3" s="1"/>
  <c r="J102" i="3"/>
  <c r="U101" i="3"/>
  <c r="S101" i="3"/>
  <c r="R101" i="3"/>
  <c r="Q101" i="3"/>
  <c r="T101" i="3" s="1"/>
  <c r="J101" i="3"/>
  <c r="U100" i="3"/>
  <c r="S100" i="3"/>
  <c r="R100" i="3"/>
  <c r="Q100" i="3"/>
  <c r="T100" i="3" s="1"/>
  <c r="J100" i="3"/>
  <c r="U99" i="3"/>
  <c r="S99" i="3"/>
  <c r="R99" i="3"/>
  <c r="Q99" i="3"/>
  <c r="T99" i="3" s="1"/>
  <c r="J99" i="3"/>
  <c r="U98" i="3"/>
  <c r="S98" i="3"/>
  <c r="R98" i="3"/>
  <c r="Q98" i="3"/>
  <c r="T98" i="3" s="1"/>
  <c r="J98" i="3"/>
  <c r="U97" i="3"/>
  <c r="S97" i="3"/>
  <c r="R97" i="3"/>
  <c r="Q97" i="3"/>
  <c r="T97" i="3" s="1"/>
  <c r="J97" i="3"/>
  <c r="U96" i="3"/>
  <c r="S96" i="3"/>
  <c r="R96" i="3"/>
  <c r="Q96" i="3"/>
  <c r="T96" i="3" s="1"/>
  <c r="J96" i="3"/>
  <c r="U95" i="3"/>
  <c r="S95" i="3"/>
  <c r="R95" i="3"/>
  <c r="Q95" i="3"/>
  <c r="T95" i="3" s="1"/>
  <c r="J95" i="3"/>
  <c r="U94" i="3"/>
  <c r="S94" i="3"/>
  <c r="R94" i="3"/>
  <c r="Q94" i="3"/>
  <c r="T94" i="3" s="1"/>
  <c r="J94" i="3"/>
  <c r="U93" i="3"/>
  <c r="S93" i="3"/>
  <c r="R93" i="3"/>
  <c r="Q93" i="3"/>
  <c r="T93" i="3" s="1"/>
  <c r="J93" i="3"/>
  <c r="U92" i="3"/>
  <c r="S92" i="3"/>
  <c r="R92" i="3"/>
  <c r="Q92" i="3"/>
  <c r="T92" i="3" s="1"/>
  <c r="J92" i="3"/>
  <c r="U91" i="3"/>
  <c r="S91" i="3"/>
  <c r="R91" i="3"/>
  <c r="Q91" i="3"/>
  <c r="T91" i="3" s="1"/>
  <c r="J91" i="3"/>
  <c r="U90" i="3"/>
  <c r="S90" i="3"/>
  <c r="R90" i="3"/>
  <c r="Q90" i="3"/>
  <c r="T90" i="3" s="1"/>
  <c r="J90" i="3"/>
  <c r="U89" i="3"/>
  <c r="S89" i="3"/>
  <c r="R89" i="3"/>
  <c r="Q89" i="3"/>
  <c r="T89" i="3" s="1"/>
  <c r="J89" i="3"/>
  <c r="U88" i="3"/>
  <c r="S88" i="3"/>
  <c r="R88" i="3"/>
  <c r="Q88" i="3"/>
  <c r="T88" i="3" s="1"/>
  <c r="J88" i="3"/>
  <c r="U87" i="3"/>
  <c r="S87" i="3"/>
  <c r="R87" i="3"/>
  <c r="Q87" i="3"/>
  <c r="T87" i="3" s="1"/>
  <c r="J87" i="3"/>
  <c r="U86" i="3"/>
  <c r="S86" i="3"/>
  <c r="R86" i="3"/>
  <c r="Q86" i="3"/>
  <c r="T86" i="3" s="1"/>
  <c r="J86" i="3"/>
  <c r="U85" i="3"/>
  <c r="S85" i="3"/>
  <c r="R85" i="3"/>
  <c r="Q85" i="3"/>
  <c r="T85" i="3" s="1"/>
  <c r="J85" i="3"/>
  <c r="U84" i="3"/>
  <c r="S84" i="3"/>
  <c r="R84" i="3"/>
  <c r="Q84" i="3"/>
  <c r="T84" i="3" s="1"/>
  <c r="J84" i="3"/>
  <c r="U83" i="3"/>
  <c r="S83" i="3"/>
  <c r="R83" i="3"/>
  <c r="Q83" i="3"/>
  <c r="T83" i="3" s="1"/>
  <c r="J83" i="3"/>
  <c r="U82" i="3"/>
  <c r="S82" i="3"/>
  <c r="R82" i="3"/>
  <c r="Q82" i="3"/>
  <c r="T82" i="3" s="1"/>
  <c r="J82" i="3"/>
  <c r="U81" i="3"/>
  <c r="S81" i="3"/>
  <c r="R81" i="3"/>
  <c r="Q81" i="3"/>
  <c r="T81" i="3" s="1"/>
  <c r="J81" i="3"/>
  <c r="U80" i="3"/>
  <c r="S80" i="3"/>
  <c r="R80" i="3"/>
  <c r="Q80" i="3"/>
  <c r="T80" i="3" s="1"/>
  <c r="J80" i="3"/>
  <c r="U79" i="3"/>
  <c r="S79" i="3"/>
  <c r="R79" i="3"/>
  <c r="Q79" i="3"/>
  <c r="T79" i="3" s="1"/>
  <c r="J79" i="3"/>
  <c r="U78" i="3"/>
  <c r="S78" i="3"/>
  <c r="R78" i="3"/>
  <c r="Q78" i="3"/>
  <c r="T78" i="3" s="1"/>
  <c r="J78" i="3"/>
  <c r="U77" i="3"/>
  <c r="S77" i="3"/>
  <c r="R77" i="3"/>
  <c r="Q77" i="3"/>
  <c r="T77" i="3" s="1"/>
  <c r="J77" i="3"/>
  <c r="U76" i="3"/>
  <c r="S76" i="3"/>
  <c r="R76" i="3"/>
  <c r="Q76" i="3"/>
  <c r="T76" i="3" s="1"/>
  <c r="J76" i="3"/>
  <c r="U75" i="3"/>
  <c r="S75" i="3"/>
  <c r="R75" i="3"/>
  <c r="Q75" i="3"/>
  <c r="T75" i="3" s="1"/>
  <c r="J75" i="3"/>
  <c r="U74" i="3"/>
  <c r="S74" i="3"/>
  <c r="R74" i="3"/>
  <c r="Q74" i="3"/>
  <c r="T74" i="3" s="1"/>
  <c r="J74" i="3"/>
  <c r="U73" i="3"/>
  <c r="S73" i="3"/>
  <c r="R73" i="3"/>
  <c r="Q73" i="3"/>
  <c r="T73" i="3" s="1"/>
  <c r="J73" i="3"/>
  <c r="U72" i="3"/>
  <c r="S72" i="3"/>
  <c r="R72" i="3"/>
  <c r="Q72" i="3"/>
  <c r="T72" i="3" s="1"/>
  <c r="J72" i="3"/>
  <c r="U71" i="3"/>
  <c r="S71" i="3"/>
  <c r="R71" i="3"/>
  <c r="Q71" i="3"/>
  <c r="T71" i="3" s="1"/>
  <c r="J71" i="3"/>
  <c r="U70" i="3"/>
  <c r="S70" i="3"/>
  <c r="R70" i="3"/>
  <c r="Q70" i="3"/>
  <c r="T70" i="3" s="1"/>
  <c r="J70" i="3"/>
  <c r="U69" i="3"/>
  <c r="S69" i="3"/>
  <c r="R69" i="3"/>
  <c r="Q69" i="3"/>
  <c r="T69" i="3" s="1"/>
  <c r="J69" i="3"/>
  <c r="U68" i="3"/>
  <c r="S68" i="3"/>
  <c r="R68" i="3"/>
  <c r="Q68" i="3"/>
  <c r="T68" i="3" s="1"/>
  <c r="J68" i="3"/>
  <c r="U67" i="3"/>
  <c r="S67" i="3"/>
  <c r="R67" i="3"/>
  <c r="Q67" i="3"/>
  <c r="T67" i="3" s="1"/>
  <c r="J67" i="3"/>
  <c r="U66" i="3"/>
  <c r="S66" i="3"/>
  <c r="R66" i="3"/>
  <c r="Q66" i="3"/>
  <c r="T66" i="3" s="1"/>
  <c r="J66" i="3"/>
  <c r="U65" i="3"/>
  <c r="S65" i="3"/>
  <c r="R65" i="3"/>
  <c r="Q65" i="3"/>
  <c r="T65" i="3" s="1"/>
  <c r="J65" i="3"/>
  <c r="U64" i="3"/>
  <c r="S64" i="3"/>
  <c r="R64" i="3"/>
  <c r="Q64" i="3"/>
  <c r="T64" i="3" s="1"/>
  <c r="J64" i="3"/>
  <c r="U63" i="3"/>
  <c r="S63" i="3"/>
  <c r="R63" i="3"/>
  <c r="Q63" i="3"/>
  <c r="T63" i="3" s="1"/>
  <c r="J63" i="3"/>
  <c r="U62" i="3"/>
  <c r="S62" i="3"/>
  <c r="R62" i="3"/>
  <c r="Q62" i="3"/>
  <c r="T62" i="3" s="1"/>
  <c r="J62" i="3"/>
  <c r="U61" i="3"/>
  <c r="S61" i="3"/>
  <c r="R61" i="3"/>
  <c r="Q61" i="3"/>
  <c r="T61" i="3" s="1"/>
  <c r="J61" i="3"/>
  <c r="U60" i="3"/>
  <c r="S60" i="3"/>
  <c r="R60" i="3"/>
  <c r="Q60" i="3"/>
  <c r="T60" i="3" s="1"/>
  <c r="J60" i="3"/>
  <c r="U59" i="3"/>
  <c r="S59" i="3"/>
  <c r="R59" i="3"/>
  <c r="Q59" i="3"/>
  <c r="T59" i="3" s="1"/>
  <c r="J59" i="3"/>
  <c r="U58" i="3"/>
  <c r="S58" i="3"/>
  <c r="R58" i="3"/>
  <c r="Q58" i="3"/>
  <c r="T58" i="3" s="1"/>
  <c r="J58" i="3"/>
  <c r="U57" i="3"/>
  <c r="S57" i="3"/>
  <c r="R57" i="3"/>
  <c r="Q57" i="3"/>
  <c r="T57" i="3" s="1"/>
  <c r="J57" i="3"/>
  <c r="U56" i="3"/>
  <c r="S56" i="3"/>
  <c r="R56" i="3"/>
  <c r="Q56" i="3"/>
  <c r="T56" i="3" s="1"/>
  <c r="J56" i="3"/>
  <c r="U55" i="3"/>
  <c r="S55" i="3"/>
  <c r="R55" i="3"/>
  <c r="Q55" i="3"/>
  <c r="T55" i="3" s="1"/>
  <c r="J55" i="3"/>
  <c r="U54" i="3"/>
  <c r="S54" i="3"/>
  <c r="R54" i="3"/>
  <c r="Q54" i="3"/>
  <c r="T54" i="3" s="1"/>
  <c r="J54" i="3"/>
  <c r="U53" i="3"/>
  <c r="S53" i="3"/>
  <c r="R53" i="3"/>
  <c r="Q53" i="3"/>
  <c r="T53" i="3" s="1"/>
  <c r="J53" i="3"/>
  <c r="U52" i="3"/>
  <c r="S52" i="3"/>
  <c r="R52" i="3"/>
  <c r="Q52" i="3"/>
  <c r="T52" i="3" s="1"/>
  <c r="J52" i="3"/>
  <c r="U51" i="3"/>
  <c r="S51" i="3"/>
  <c r="R51" i="3"/>
  <c r="Q51" i="3"/>
  <c r="T51" i="3" s="1"/>
  <c r="J51" i="3"/>
  <c r="U50" i="3"/>
  <c r="S50" i="3"/>
  <c r="R50" i="3"/>
  <c r="Q50" i="3"/>
  <c r="T50" i="3" s="1"/>
  <c r="J50" i="3"/>
  <c r="U49" i="3"/>
  <c r="S49" i="3"/>
  <c r="R49" i="3"/>
  <c r="Q49" i="3"/>
  <c r="T49" i="3" s="1"/>
  <c r="J49" i="3"/>
  <c r="U48" i="3"/>
  <c r="S48" i="3"/>
  <c r="R48" i="3"/>
  <c r="Q48" i="3"/>
  <c r="T48" i="3" s="1"/>
  <c r="J48" i="3"/>
  <c r="U47" i="3"/>
  <c r="S47" i="3"/>
  <c r="R47" i="3"/>
  <c r="Q47" i="3"/>
  <c r="T47" i="3" s="1"/>
  <c r="J47" i="3"/>
  <c r="U46" i="3"/>
  <c r="S46" i="3"/>
  <c r="R46" i="3"/>
  <c r="Q46" i="3"/>
  <c r="T46" i="3" s="1"/>
  <c r="J46" i="3"/>
  <c r="U45" i="3"/>
  <c r="S45" i="3"/>
  <c r="R45" i="3"/>
  <c r="Q45" i="3"/>
  <c r="T45" i="3" s="1"/>
  <c r="J45" i="3"/>
  <c r="U44" i="3"/>
  <c r="S44" i="3"/>
  <c r="R44" i="3"/>
  <c r="Q44" i="3"/>
  <c r="T44" i="3" s="1"/>
  <c r="J44" i="3"/>
  <c r="U43" i="3"/>
  <c r="S43" i="3"/>
  <c r="R43" i="3"/>
  <c r="Q43" i="3"/>
  <c r="T43" i="3" s="1"/>
  <c r="J43" i="3"/>
  <c r="U42" i="3"/>
  <c r="S42" i="3"/>
  <c r="R42" i="3"/>
  <c r="Q42" i="3"/>
  <c r="T42" i="3" s="1"/>
  <c r="J42" i="3"/>
  <c r="U41" i="3"/>
  <c r="S41" i="3"/>
  <c r="R41" i="3"/>
  <c r="Q41" i="3"/>
  <c r="T41" i="3" s="1"/>
  <c r="J41" i="3"/>
  <c r="U40" i="3"/>
  <c r="S40" i="3"/>
  <c r="R40" i="3"/>
  <c r="Q40" i="3"/>
  <c r="T40" i="3" s="1"/>
  <c r="J40" i="3"/>
  <c r="U39" i="3"/>
  <c r="S39" i="3"/>
  <c r="R39" i="3"/>
  <c r="Q39" i="3"/>
  <c r="T39" i="3" s="1"/>
  <c r="J39" i="3"/>
  <c r="U38" i="3"/>
  <c r="S38" i="3"/>
  <c r="R38" i="3"/>
  <c r="Q38" i="3"/>
  <c r="T38" i="3" s="1"/>
  <c r="J38" i="3"/>
  <c r="U37" i="3"/>
  <c r="S37" i="3"/>
  <c r="R37" i="3"/>
  <c r="Q37" i="3"/>
  <c r="T37" i="3" s="1"/>
  <c r="J37" i="3"/>
  <c r="U36" i="3"/>
  <c r="S36" i="3"/>
  <c r="R36" i="3"/>
  <c r="Q36" i="3"/>
  <c r="T36" i="3" s="1"/>
  <c r="J36" i="3"/>
  <c r="U35" i="3"/>
  <c r="S35" i="3"/>
  <c r="R35" i="3"/>
  <c r="Q35" i="3"/>
  <c r="T35" i="3" s="1"/>
  <c r="J35" i="3"/>
  <c r="U34" i="3"/>
  <c r="S34" i="3"/>
  <c r="R34" i="3"/>
  <c r="Q34" i="3"/>
  <c r="T34" i="3" s="1"/>
  <c r="J34" i="3"/>
  <c r="U33" i="3"/>
  <c r="S33" i="3"/>
  <c r="R33" i="3"/>
  <c r="Q33" i="3"/>
  <c r="T33" i="3" s="1"/>
  <c r="J33" i="3"/>
  <c r="U32" i="3"/>
  <c r="S32" i="3"/>
  <c r="R32" i="3"/>
  <c r="Q32" i="3"/>
  <c r="T32" i="3" s="1"/>
  <c r="J32" i="3"/>
  <c r="U31" i="3"/>
  <c r="S31" i="3"/>
  <c r="R31" i="3"/>
  <c r="Q31" i="3"/>
  <c r="T31" i="3" s="1"/>
  <c r="J31" i="3"/>
  <c r="U30" i="3"/>
  <c r="S30" i="3"/>
  <c r="R30" i="3"/>
  <c r="Q30" i="3"/>
  <c r="T30" i="3" s="1"/>
  <c r="J30" i="3"/>
  <c r="U29" i="3"/>
  <c r="S29" i="3"/>
  <c r="R29" i="3"/>
  <c r="Q29" i="3"/>
  <c r="T29" i="3" s="1"/>
  <c r="J29" i="3"/>
  <c r="U28" i="3"/>
  <c r="S28" i="3"/>
  <c r="R28" i="3"/>
  <c r="Q28" i="3"/>
  <c r="T28" i="3" s="1"/>
  <c r="J28" i="3"/>
  <c r="U27" i="3"/>
  <c r="S27" i="3"/>
  <c r="R27" i="3"/>
  <c r="Q27" i="3"/>
  <c r="T27" i="3" s="1"/>
  <c r="J27" i="3"/>
  <c r="U26" i="3"/>
  <c r="S26" i="3"/>
  <c r="R26" i="3"/>
  <c r="Q26" i="3"/>
  <c r="T26" i="3" s="1"/>
  <c r="J26" i="3"/>
  <c r="U25" i="3"/>
  <c r="S25" i="3"/>
  <c r="R25" i="3"/>
  <c r="Q25" i="3"/>
  <c r="T25" i="3" s="1"/>
  <c r="J25" i="3"/>
  <c r="U24" i="3"/>
  <c r="S24" i="3"/>
  <c r="R24" i="3"/>
  <c r="Q24" i="3"/>
  <c r="T24" i="3" s="1"/>
  <c r="J24" i="3"/>
  <c r="U23" i="3"/>
  <c r="S23" i="3"/>
  <c r="R23" i="3"/>
  <c r="Q23" i="3"/>
  <c r="T23" i="3" s="1"/>
  <c r="J23" i="3"/>
  <c r="U22" i="3"/>
  <c r="S22" i="3"/>
  <c r="R22" i="3"/>
  <c r="Q22" i="3"/>
  <c r="T22" i="3" s="1"/>
  <c r="J22" i="3"/>
  <c r="U21" i="3"/>
  <c r="S21" i="3"/>
  <c r="R21" i="3"/>
  <c r="Q21" i="3"/>
  <c r="T21" i="3" s="1"/>
  <c r="J21" i="3"/>
  <c r="U20" i="3"/>
  <c r="S20" i="3"/>
  <c r="R20" i="3"/>
  <c r="Q20" i="3"/>
  <c r="T20" i="3" s="1"/>
  <c r="J20" i="3"/>
  <c r="U19" i="3"/>
  <c r="S19" i="3"/>
  <c r="R19" i="3"/>
  <c r="Q19" i="3"/>
  <c r="T19" i="3" s="1"/>
  <c r="J19" i="3"/>
  <c r="U18" i="3"/>
  <c r="S18" i="3"/>
  <c r="R18" i="3"/>
  <c r="Q18" i="3"/>
  <c r="T18" i="3" s="1"/>
  <c r="J18" i="3"/>
  <c r="U17" i="3"/>
  <c r="S17" i="3"/>
  <c r="R17" i="3"/>
  <c r="Q17" i="3"/>
  <c r="T17" i="3" s="1"/>
  <c r="J17" i="3"/>
  <c r="U16" i="3"/>
  <c r="S16" i="3"/>
  <c r="R16" i="3"/>
  <c r="Q16" i="3"/>
  <c r="T16" i="3" s="1"/>
  <c r="J16" i="3"/>
  <c r="U15" i="3"/>
  <c r="S15" i="3"/>
  <c r="R15" i="3"/>
  <c r="Q15" i="3"/>
  <c r="T15" i="3" s="1"/>
  <c r="J15" i="3"/>
  <c r="U14" i="3"/>
  <c r="S14" i="3"/>
  <c r="R14" i="3"/>
  <c r="Q14" i="3"/>
  <c r="T14" i="3" s="1"/>
  <c r="J14" i="3"/>
  <c r="U13" i="3"/>
  <c r="S13" i="3"/>
  <c r="R13" i="3"/>
  <c r="Q13" i="3"/>
  <c r="T13" i="3" s="1"/>
  <c r="J13" i="3"/>
  <c r="S12" i="3"/>
  <c r="R12" i="3"/>
  <c r="Q12" i="3"/>
  <c r="J12" i="3"/>
  <c r="Q11" i="3"/>
  <c r="J11" i="3"/>
  <c r="Q10" i="3"/>
  <c r="T10" i="3" s="1"/>
  <c r="J10" i="3"/>
  <c r="Q9" i="3"/>
  <c r="T9" i="3" s="1"/>
  <c r="J9" i="3"/>
  <c r="Q8" i="3"/>
  <c r="C6" i="10" s="1"/>
  <c r="J8" i="3"/>
  <c r="Q7" i="3"/>
  <c r="C5" i="10" s="1"/>
  <c r="J7" i="3"/>
  <c r="Q6" i="3"/>
  <c r="J6" i="3"/>
  <c r="Q5" i="3"/>
  <c r="C7" i="10" s="1"/>
  <c r="J5" i="3"/>
  <c r="Q13" i="4" l="1"/>
  <c r="Q14" i="4"/>
  <c r="P8" i="4"/>
  <c r="R8" i="4" s="1"/>
  <c r="P26" i="4"/>
  <c r="R26" i="4" s="1"/>
  <c r="Q8" i="4"/>
  <c r="Q26" i="4"/>
  <c r="Q21" i="4"/>
  <c r="Q17" i="4"/>
  <c r="P5" i="4"/>
  <c r="P11" i="4"/>
  <c r="R11" i="4" s="1"/>
  <c r="P17" i="4"/>
  <c r="R17" i="4" s="1"/>
  <c r="Q22" i="4"/>
  <c r="Q14" i="10"/>
  <c r="P132" i="4"/>
  <c r="R132" i="4" s="1"/>
  <c r="P170" i="4"/>
  <c r="R170" i="4" s="1"/>
  <c r="P199" i="4"/>
  <c r="R199" i="4" s="1"/>
  <c r="Q224" i="4"/>
  <c r="P245" i="4"/>
  <c r="R245" i="4" s="1"/>
  <c r="P249" i="4"/>
  <c r="R249" i="4" s="1"/>
  <c r="P408" i="4"/>
  <c r="R408" i="4" s="1"/>
  <c r="Q438" i="4"/>
  <c r="P489" i="4"/>
  <c r="R489" i="4" s="1"/>
  <c r="P535" i="4"/>
  <c r="R535" i="4" s="1"/>
  <c r="P572" i="4"/>
  <c r="R572" i="4" s="1"/>
  <c r="P16" i="10"/>
  <c r="P28" i="10"/>
  <c r="P54" i="4"/>
  <c r="R54" i="4" s="1"/>
  <c r="P97" i="4"/>
  <c r="R97" i="4" s="1"/>
  <c r="P109" i="4"/>
  <c r="R109" i="4" s="1"/>
  <c r="P332" i="4"/>
  <c r="R332" i="4" s="1"/>
  <c r="P357" i="4"/>
  <c r="R357" i="4" s="1"/>
  <c r="P451" i="4"/>
  <c r="R451" i="4" s="1"/>
  <c r="P455" i="4"/>
  <c r="R455" i="4" s="1"/>
  <c r="P531" i="4"/>
  <c r="R531" i="4" s="1"/>
  <c r="P564" i="4"/>
  <c r="R564" i="4" s="1"/>
  <c r="P568" i="4"/>
  <c r="R568" i="4" s="1"/>
  <c r="P584" i="4"/>
  <c r="R584" i="4" s="1"/>
  <c r="Q5" i="4"/>
  <c r="Q11" i="4"/>
  <c r="P23" i="4"/>
  <c r="R23" i="4" s="1"/>
  <c r="Q27" i="4"/>
  <c r="P62" i="4"/>
  <c r="R62" i="4" s="1"/>
  <c r="P74" i="4"/>
  <c r="R74" i="4" s="1"/>
  <c r="P117" i="4"/>
  <c r="R117" i="4" s="1"/>
  <c r="Q132" i="4"/>
  <c r="P159" i="4"/>
  <c r="R159" i="4" s="1"/>
  <c r="Q170" i="4"/>
  <c r="P191" i="4"/>
  <c r="R191" i="4" s="1"/>
  <c r="Q249" i="4"/>
  <c r="P253" i="4"/>
  <c r="R253" i="4" s="1"/>
  <c r="P278" i="4"/>
  <c r="R278" i="4" s="1"/>
  <c r="Q312" i="4"/>
  <c r="P413" i="4"/>
  <c r="R413" i="4" s="1"/>
  <c r="Q494" i="4"/>
  <c r="P502" i="4"/>
  <c r="R502" i="4" s="1"/>
  <c r="Q515" i="4"/>
  <c r="Q39" i="4"/>
  <c r="Q78" i="4"/>
  <c r="P86" i="4"/>
  <c r="R86" i="4" s="1"/>
  <c r="P125" i="4"/>
  <c r="R125" i="4" s="1"/>
  <c r="Q159" i="4"/>
  <c r="P221" i="4"/>
  <c r="R221" i="4" s="1"/>
  <c r="Q229" i="4"/>
  <c r="P242" i="4"/>
  <c r="R242" i="4" s="1"/>
  <c r="Q258" i="4"/>
  <c r="Q274" i="4"/>
  <c r="Q337" i="4"/>
  <c r="Q366" i="4"/>
  <c r="Q426" i="4"/>
  <c r="P430" i="4"/>
  <c r="R430" i="4" s="1"/>
  <c r="P486" i="4"/>
  <c r="R486" i="4" s="1"/>
  <c r="Q490" i="4"/>
  <c r="P494" i="4"/>
  <c r="R494" i="4" s="1"/>
  <c r="P511" i="4"/>
  <c r="R511" i="4" s="1"/>
  <c r="P515" i="4"/>
  <c r="R515" i="4" s="1"/>
  <c r="Q536" i="4"/>
  <c r="P585" i="4"/>
  <c r="R585" i="4" s="1"/>
  <c r="Q23" i="4"/>
  <c r="P163" i="4"/>
  <c r="R163" i="4" s="1"/>
  <c r="P345" i="4"/>
  <c r="R345" i="4" s="1"/>
  <c r="P370" i="4"/>
  <c r="R370" i="4" s="1"/>
  <c r="P443" i="4"/>
  <c r="R443" i="4" s="1"/>
  <c r="P121" i="4"/>
  <c r="R121" i="4" s="1"/>
  <c r="Q140" i="4"/>
  <c r="Q31" i="4"/>
  <c r="Q94" i="4"/>
  <c r="P98" i="4"/>
  <c r="R98" i="4" s="1"/>
  <c r="P110" i="4"/>
  <c r="R110" i="4" s="1"/>
  <c r="Q221" i="4"/>
  <c r="Q283" i="4"/>
  <c r="Q329" i="4"/>
  <c r="Q333" i="4"/>
  <c r="Q354" i="4"/>
  <c r="Q358" i="4"/>
  <c r="P375" i="4"/>
  <c r="R375" i="4" s="1"/>
  <c r="Q430" i="4"/>
  <c r="Q469" i="4"/>
  <c r="Q486" i="4"/>
  <c r="P490" i="4"/>
  <c r="R490" i="4" s="1"/>
  <c r="Q503" i="4"/>
  <c r="Q511" i="4"/>
  <c r="P532" i="4"/>
  <c r="R532" i="4" s="1"/>
  <c r="P536" i="4"/>
  <c r="R536" i="4" s="1"/>
  <c r="Q545" i="4"/>
  <c r="Q565" i="4"/>
  <c r="P246" i="4"/>
  <c r="R246" i="4" s="1"/>
  <c r="Q409" i="4"/>
  <c r="P456" i="4"/>
  <c r="R456" i="4" s="1"/>
  <c r="P482" i="4"/>
  <c r="R482" i="4" s="1"/>
  <c r="P507" i="4"/>
  <c r="R507" i="4" s="1"/>
  <c r="P557" i="4"/>
  <c r="R557" i="4" s="1"/>
  <c r="P30" i="10"/>
  <c r="P101" i="4"/>
  <c r="R101" i="4" s="1"/>
  <c r="Q110" i="4"/>
  <c r="P114" i="4"/>
  <c r="R114" i="4" s="1"/>
  <c r="P133" i="4"/>
  <c r="R133" i="4" s="1"/>
  <c r="Q217" i="4"/>
  <c r="P230" i="4"/>
  <c r="R230" i="4" s="1"/>
  <c r="P263" i="4"/>
  <c r="R263" i="4" s="1"/>
  <c r="P321" i="4"/>
  <c r="R321" i="4" s="1"/>
  <c r="P329" i="4"/>
  <c r="R329" i="4" s="1"/>
  <c r="P333" i="4"/>
  <c r="R333" i="4" s="1"/>
  <c r="P342" i="4"/>
  <c r="R342" i="4" s="1"/>
  <c r="P354" i="4"/>
  <c r="R354" i="4" s="1"/>
  <c r="P469" i="4"/>
  <c r="R469" i="4" s="1"/>
  <c r="P478" i="4"/>
  <c r="R478" i="4" s="1"/>
  <c r="P499" i="4"/>
  <c r="R499" i="4" s="1"/>
  <c r="P503" i="4"/>
  <c r="R503" i="4" s="1"/>
  <c r="P516" i="4"/>
  <c r="R516" i="4" s="1"/>
  <c r="Q524" i="4"/>
  <c r="Q532" i="4"/>
  <c r="P545" i="4"/>
  <c r="R545" i="4" s="1"/>
  <c r="Q144" i="4"/>
  <c r="P13" i="4"/>
  <c r="R13" i="4" s="1"/>
  <c r="P19" i="4"/>
  <c r="R19" i="4" s="1"/>
  <c r="Q36" i="4"/>
  <c r="Q156" i="4"/>
  <c r="Q192" i="4"/>
  <c r="Q204" i="4"/>
  <c r="Q230" i="4"/>
  <c r="Q292" i="4"/>
  <c r="P296" i="4"/>
  <c r="R296" i="4" s="1"/>
  <c r="P423" i="4"/>
  <c r="R423" i="4" s="1"/>
  <c r="P474" i="4"/>
  <c r="R474" i="4" s="1"/>
  <c r="Q541" i="4"/>
  <c r="P582" i="4"/>
  <c r="R582" i="4" s="1"/>
  <c r="P13" i="10"/>
  <c r="P44" i="4"/>
  <c r="R44" i="4" s="1"/>
  <c r="P149" i="4"/>
  <c r="R149" i="4" s="1"/>
  <c r="Q423" i="4"/>
  <c r="P483" i="4"/>
  <c r="R483" i="4" s="1"/>
  <c r="P48" i="4"/>
  <c r="R48" i="4" s="1"/>
  <c r="P91" i="4"/>
  <c r="R91" i="4" s="1"/>
  <c r="P111" i="4"/>
  <c r="R111" i="4" s="1"/>
  <c r="Q122" i="4"/>
  <c r="P145" i="4"/>
  <c r="R145" i="4" s="1"/>
  <c r="Q164" i="4"/>
  <c r="Q168" i="4"/>
  <c r="P188" i="4"/>
  <c r="R188" i="4" s="1"/>
  <c r="P226" i="4"/>
  <c r="R226" i="4" s="1"/>
  <c r="P243" i="4"/>
  <c r="R243" i="4" s="1"/>
  <c r="Q288" i="4"/>
  <c r="Q406" i="4"/>
  <c r="P453" i="4"/>
  <c r="R453" i="4" s="1"/>
  <c r="Q483" i="4"/>
  <c r="Q508" i="4"/>
  <c r="P529" i="4"/>
  <c r="R529" i="4" s="1"/>
  <c r="P550" i="4"/>
  <c r="R550" i="4" s="1"/>
  <c r="P562" i="4"/>
  <c r="R562" i="4" s="1"/>
  <c r="P578" i="4"/>
  <c r="R578" i="4" s="1"/>
  <c r="P20" i="4"/>
  <c r="R20" i="4" s="1"/>
  <c r="P52" i="4"/>
  <c r="R52" i="4" s="1"/>
  <c r="P103" i="4"/>
  <c r="R103" i="4" s="1"/>
  <c r="P130" i="4"/>
  <c r="R130" i="4" s="1"/>
  <c r="P134" i="4"/>
  <c r="R134" i="4" s="1"/>
  <c r="Q149" i="4"/>
  <c r="P172" i="4"/>
  <c r="R172" i="4" s="1"/>
  <c r="P231" i="4"/>
  <c r="R231" i="4" s="1"/>
  <c r="P251" i="4"/>
  <c r="R251" i="4" s="1"/>
  <c r="P264" i="4"/>
  <c r="R264" i="4" s="1"/>
  <c r="Q305" i="4"/>
  <c r="Q314" i="4"/>
  <c r="Q389" i="4"/>
  <c r="Q402" i="4"/>
  <c r="P445" i="4"/>
  <c r="R445" i="4" s="1"/>
  <c r="P525" i="4"/>
  <c r="R525" i="4" s="1"/>
  <c r="P558" i="4"/>
  <c r="R558" i="4" s="1"/>
  <c r="Q562" i="4"/>
  <c r="P566" i="4"/>
  <c r="R566" i="4" s="1"/>
  <c r="Q574" i="4"/>
  <c r="P50" i="4"/>
  <c r="R50" i="4" s="1"/>
  <c r="Q19" i="4"/>
  <c r="P64" i="4"/>
  <c r="R64" i="4" s="1"/>
  <c r="Q111" i="4"/>
  <c r="P201" i="4"/>
  <c r="R201" i="4" s="1"/>
  <c r="P239" i="4"/>
  <c r="R239" i="4" s="1"/>
  <c r="P318" i="4"/>
  <c r="R318" i="4" s="1"/>
  <c r="P355" i="4"/>
  <c r="R355" i="4" s="1"/>
  <c r="Q453" i="4"/>
  <c r="P504" i="4"/>
  <c r="R504" i="4" s="1"/>
  <c r="Q550" i="4"/>
  <c r="Q20" i="4"/>
  <c r="Q25" i="4"/>
  <c r="P84" i="4"/>
  <c r="R84" i="4" s="1"/>
  <c r="P138" i="4"/>
  <c r="R138" i="4" s="1"/>
  <c r="Q251" i="4"/>
  <c r="P389" i="4"/>
  <c r="R389" i="4" s="1"/>
  <c r="P492" i="4"/>
  <c r="R492" i="4" s="1"/>
  <c r="Q525" i="4"/>
  <c r="P538" i="4"/>
  <c r="R538" i="4" s="1"/>
  <c r="P25" i="4"/>
  <c r="R25" i="4" s="1"/>
  <c r="P37" i="4"/>
  <c r="R37" i="4" s="1"/>
  <c r="P41" i="4"/>
  <c r="R41" i="4" s="1"/>
  <c r="Q45" i="4"/>
  <c r="P76" i="4"/>
  <c r="R76" i="4" s="1"/>
  <c r="P80" i="4"/>
  <c r="R80" i="4" s="1"/>
  <c r="P96" i="4"/>
  <c r="R96" i="4" s="1"/>
  <c r="P142" i="4"/>
  <c r="R142" i="4" s="1"/>
  <c r="P165" i="4"/>
  <c r="R165" i="4" s="1"/>
  <c r="Q180" i="4"/>
  <c r="Q210" i="4"/>
  <c r="P256" i="4"/>
  <c r="R256" i="4" s="1"/>
  <c r="P260" i="4"/>
  <c r="R260" i="4" s="1"/>
  <c r="P276" i="4"/>
  <c r="R276" i="4" s="1"/>
  <c r="Q289" i="4"/>
  <c r="P293" i="4"/>
  <c r="R293" i="4" s="1"/>
  <c r="Q297" i="4"/>
  <c r="Q301" i="4"/>
  <c r="P372" i="4"/>
  <c r="R372" i="4" s="1"/>
  <c r="Q466" i="4"/>
  <c r="Q475" i="4"/>
  <c r="Q488" i="4"/>
  <c r="P517" i="4"/>
  <c r="R517" i="4" s="1"/>
  <c r="P542" i="4"/>
  <c r="R542" i="4" s="1"/>
  <c r="P567" i="4"/>
  <c r="R567" i="4" s="1"/>
  <c r="Q595" i="4"/>
  <c r="Q9" i="4"/>
  <c r="Q8" i="10"/>
  <c r="P53" i="4"/>
  <c r="R53" i="4" s="1"/>
  <c r="P173" i="4"/>
  <c r="R173" i="4" s="1"/>
  <c r="Q185" i="4"/>
  <c r="P202" i="4"/>
  <c r="R202" i="4" s="1"/>
  <c r="Q240" i="4"/>
  <c r="Q276" i="4"/>
  <c r="Q403" i="4"/>
  <c r="P420" i="4"/>
  <c r="R420" i="4" s="1"/>
  <c r="Q437" i="4"/>
  <c r="Q450" i="4"/>
  <c r="P505" i="4"/>
  <c r="R505" i="4" s="1"/>
  <c r="Q547" i="4"/>
  <c r="Q551" i="4"/>
  <c r="Q386" i="4"/>
  <c r="P509" i="4"/>
  <c r="R509" i="4" s="1"/>
  <c r="Q526" i="4"/>
  <c r="P530" i="4"/>
  <c r="R530" i="4" s="1"/>
  <c r="P555" i="4"/>
  <c r="R555" i="4" s="1"/>
  <c r="P563" i="4"/>
  <c r="R563" i="4" s="1"/>
  <c r="Q11" i="10"/>
  <c r="P116" i="4"/>
  <c r="R116" i="4" s="1"/>
  <c r="P120" i="4"/>
  <c r="R120" i="4" s="1"/>
  <c r="P158" i="4"/>
  <c r="R158" i="4" s="1"/>
  <c r="Q315" i="4"/>
  <c r="Q10" i="10"/>
  <c r="P38" i="4"/>
  <c r="R38" i="4" s="1"/>
  <c r="P77" i="4"/>
  <c r="R77" i="4" s="1"/>
  <c r="Q81" i="4"/>
  <c r="Q135" i="4"/>
  <c r="Q236" i="4"/>
  <c r="Q269" i="4"/>
  <c r="Q298" i="4"/>
  <c r="Q311" i="4"/>
  <c r="Q373" i="4"/>
  <c r="P386" i="4"/>
  <c r="R386" i="4" s="1"/>
  <c r="Q399" i="4"/>
  <c r="P429" i="4"/>
  <c r="R429" i="4" s="1"/>
  <c r="P459" i="4"/>
  <c r="R459" i="4" s="1"/>
  <c r="Q476" i="4"/>
  <c r="Q514" i="4"/>
  <c r="Q518" i="4"/>
  <c r="Q522" i="4"/>
  <c r="Q539" i="4"/>
  <c r="P588" i="4"/>
  <c r="R588" i="4" s="1"/>
  <c r="P5" i="10"/>
  <c r="P33" i="10"/>
  <c r="Q5" i="10"/>
  <c r="Q30" i="10"/>
  <c r="P31" i="10"/>
  <c r="Q31" i="10" s="1"/>
  <c r="Q18" i="4"/>
  <c r="Q27" i="10"/>
  <c r="Q28" i="10"/>
  <c r="P24" i="10"/>
  <c r="Q24" i="10" s="1"/>
  <c r="Q21" i="10"/>
  <c r="P20" i="10"/>
  <c r="Q6" i="4"/>
  <c r="Q16" i="10"/>
  <c r="B220" i="5"/>
  <c r="J220" i="5" a="1"/>
  <c r="J220" i="5" s="1"/>
  <c r="E220" i="5"/>
  <c r="C220" i="5" a="1"/>
  <c r="C220" i="5" s="1"/>
  <c r="C223" i="5" a="1"/>
  <c r="C223" i="5" s="1"/>
  <c r="J223" i="5" a="1"/>
  <c r="J223" i="5" s="1"/>
  <c r="E223" i="5"/>
  <c r="F223" i="5" s="1"/>
  <c r="B223" i="5"/>
  <c r="E215" i="5"/>
  <c r="F215" i="5" s="1"/>
  <c r="B215" i="5"/>
  <c r="E226" i="5"/>
  <c r="G226" i="5" s="1"/>
  <c r="B227" i="5"/>
  <c r="C227" i="5" a="1"/>
  <c r="C227" i="5" s="1"/>
  <c r="T11" i="3"/>
  <c r="T12" i="3"/>
  <c r="C231" i="5" a="1"/>
  <c r="C231" i="5" s="1"/>
  <c r="D231" i="5" s="1"/>
  <c r="C23" i="6"/>
  <c r="E23" i="6" s="1"/>
  <c r="B36" i="6" a="1"/>
  <c r="B36" i="6" s="1"/>
  <c r="I48" i="6"/>
  <c r="C36" i="6"/>
  <c r="D36" i="6" s="1"/>
  <c r="H46" i="6"/>
  <c r="G46" i="6"/>
  <c r="J46" i="6" s="1"/>
  <c r="G49" i="6"/>
  <c r="J49" i="6" s="1"/>
  <c r="C49" i="6"/>
  <c r="E49" i="6" s="1"/>
  <c r="H18" i="6"/>
  <c r="G18" i="6"/>
  <c r="C18" i="6"/>
  <c r="D18" i="6" s="1"/>
  <c r="B18" i="6" a="1"/>
  <c r="B18" i="6" s="1"/>
  <c r="G50" i="6"/>
  <c r="I50" i="6" s="1"/>
  <c r="H50" i="6"/>
  <c r="C50" i="6"/>
  <c r="E50" i="6" s="1"/>
  <c r="H20" i="6"/>
  <c r="C20" i="6"/>
  <c r="D20" i="6" s="1"/>
  <c r="G42" i="6"/>
  <c r="H42" i="6"/>
  <c r="B42" i="6" a="1"/>
  <c r="B42" i="6" s="1"/>
  <c r="C44" i="6"/>
  <c r="D44" i="6" s="1"/>
  <c r="C24" i="6"/>
  <c r="D24" i="6" s="1"/>
  <c r="E11" i="7"/>
  <c r="F11" i="7" s="1"/>
  <c r="E17" i="7"/>
  <c r="F17" i="7" s="1"/>
  <c r="H24" i="6"/>
  <c r="G11" i="7"/>
  <c r="G17" i="7"/>
  <c r="I24" i="6"/>
  <c r="B25" i="6" a="1"/>
  <c r="B25" i="6" s="1"/>
  <c r="C25" i="6"/>
  <c r="E25" i="6" s="1"/>
  <c r="I25" i="6"/>
  <c r="G39" i="6"/>
  <c r="J39" i="6" s="1"/>
  <c r="C48" i="6"/>
  <c r="D48" i="6" s="1"/>
  <c r="E13" i="7"/>
  <c r="F13" i="7" s="1"/>
  <c r="H48" i="6"/>
  <c r="G13" i="7"/>
  <c r="E9" i="7"/>
  <c r="F9" i="7" s="1"/>
  <c r="E15" i="7"/>
  <c r="F15" i="7" s="1"/>
  <c r="G9" i="7"/>
  <c r="G15" i="7"/>
  <c r="R5" i="4"/>
  <c r="S5" i="4"/>
  <c r="Q209" i="4"/>
  <c r="P209" i="4"/>
  <c r="R209" i="4" s="1"/>
  <c r="Q351" i="4"/>
  <c r="P351" i="4"/>
  <c r="R351" i="4" s="1"/>
  <c r="Q378" i="4"/>
  <c r="P378" i="4"/>
  <c r="R378" i="4" s="1"/>
  <c r="O20" i="10"/>
  <c r="P9" i="4"/>
  <c r="R9" i="4" s="1"/>
  <c r="Q363" i="4"/>
  <c r="P363" i="4"/>
  <c r="R363" i="4" s="1"/>
  <c r="Q374" i="4"/>
  <c r="P374" i="4"/>
  <c r="R374" i="4" s="1"/>
  <c r="P22" i="4"/>
  <c r="R22" i="4" s="1"/>
  <c r="P35" i="4"/>
  <c r="R35" i="4" s="1"/>
  <c r="Q38" i="4"/>
  <c r="P71" i="4"/>
  <c r="R71" i="4" s="1"/>
  <c r="Q74" i="4"/>
  <c r="Q101" i="4"/>
  <c r="Q284" i="4"/>
  <c r="P284" i="4"/>
  <c r="R284" i="4" s="1"/>
  <c r="P436" i="4"/>
  <c r="R436" i="4" s="1"/>
  <c r="Q467" i="4"/>
  <c r="P467" i="4"/>
  <c r="R467" i="4" s="1"/>
  <c r="P471" i="4"/>
  <c r="R471" i="4" s="1"/>
  <c r="P32" i="4"/>
  <c r="R32" i="4" s="1"/>
  <c r="P68" i="4"/>
  <c r="R68" i="4" s="1"/>
  <c r="P105" i="4"/>
  <c r="R105" i="4" s="1"/>
  <c r="P129" i="4"/>
  <c r="R129" i="4" s="1"/>
  <c r="P153" i="4"/>
  <c r="R153" i="4" s="1"/>
  <c r="P177" i="4"/>
  <c r="R177" i="4" s="1"/>
  <c r="Q280" i="4"/>
  <c r="P280" i="4"/>
  <c r="R280" i="4" s="1"/>
  <c r="Q299" i="4"/>
  <c r="P299" i="4"/>
  <c r="R299" i="4" s="1"/>
  <c r="Q356" i="4"/>
  <c r="P356" i="4"/>
  <c r="R356" i="4" s="1"/>
  <c r="Q390" i="4"/>
  <c r="P390" i="4"/>
  <c r="R390" i="4" s="1"/>
  <c r="Q440" i="4"/>
  <c r="P440" i="4"/>
  <c r="R440" i="4" s="1"/>
  <c r="Q444" i="4"/>
  <c r="P444" i="4"/>
  <c r="R444" i="4" s="1"/>
  <c r="Q448" i="4"/>
  <c r="P448" i="4"/>
  <c r="R448" i="4" s="1"/>
  <c r="P45" i="4"/>
  <c r="R45" i="4" s="1"/>
  <c r="P81" i="4"/>
  <c r="R81" i="4" s="1"/>
  <c r="Q98" i="4"/>
  <c r="P311" i="4"/>
  <c r="R311" i="4" s="1"/>
  <c r="P337" i="4"/>
  <c r="R337" i="4" s="1"/>
  <c r="P348" i="4"/>
  <c r="R348" i="4" s="1"/>
  <c r="P360" i="4"/>
  <c r="R360" i="4" s="1"/>
  <c r="P402" i="4"/>
  <c r="R402" i="4" s="1"/>
  <c r="P16" i="4"/>
  <c r="R16" i="4" s="1"/>
  <c r="P29" i="4"/>
  <c r="R29" i="4" s="1"/>
  <c r="Q32" i="4"/>
  <c r="P65" i="4"/>
  <c r="R65" i="4" s="1"/>
  <c r="Q68" i="4"/>
  <c r="P95" i="4"/>
  <c r="R95" i="4" s="1"/>
  <c r="Q105" i="4"/>
  <c r="P119" i="4"/>
  <c r="R119" i="4" s="1"/>
  <c r="Q129" i="4"/>
  <c r="P143" i="4"/>
  <c r="R143" i="4" s="1"/>
  <c r="Q153" i="4"/>
  <c r="P167" i="4"/>
  <c r="R167" i="4" s="1"/>
  <c r="Q177" i="4"/>
  <c r="Q262" i="4"/>
  <c r="P262" i="4"/>
  <c r="R262" i="4" s="1"/>
  <c r="Q352" i="4"/>
  <c r="P352" i="4"/>
  <c r="R352" i="4" s="1"/>
  <c r="Q371" i="4"/>
  <c r="P371" i="4"/>
  <c r="R371" i="4" s="1"/>
  <c r="P460" i="4"/>
  <c r="R460" i="4" s="1"/>
  <c r="T5" i="3"/>
  <c r="Q16" i="4"/>
  <c r="P42" i="4"/>
  <c r="R42" i="4" s="1"/>
  <c r="P78" i="4"/>
  <c r="R78" i="4" s="1"/>
  <c r="P102" i="4"/>
  <c r="R102" i="4" s="1"/>
  <c r="P126" i="4"/>
  <c r="R126" i="4" s="1"/>
  <c r="P150" i="4"/>
  <c r="R150" i="4" s="1"/>
  <c r="P174" i="4"/>
  <c r="R174" i="4" s="1"/>
  <c r="P192" i="4"/>
  <c r="R192" i="4" s="1"/>
  <c r="Q232" i="4"/>
  <c r="P232" i="4"/>
  <c r="R232" i="4" s="1"/>
  <c r="Q254" i="4"/>
  <c r="P254" i="4"/>
  <c r="R254" i="4" s="1"/>
  <c r="P258" i="4"/>
  <c r="R258" i="4" s="1"/>
  <c r="Q266" i="4"/>
  <c r="P266" i="4"/>
  <c r="R266" i="4" s="1"/>
  <c r="P292" i="4"/>
  <c r="R292" i="4" s="1"/>
  <c r="Q330" i="4"/>
  <c r="Q364" i="4"/>
  <c r="P383" i="4"/>
  <c r="R383" i="4" s="1"/>
  <c r="Q468" i="4"/>
  <c r="P468" i="4"/>
  <c r="R468" i="4" s="1"/>
  <c r="Q493" i="4"/>
  <c r="P493" i="4"/>
  <c r="R493" i="4" s="1"/>
  <c r="Q501" i="4"/>
  <c r="P501" i="4"/>
  <c r="R501" i="4" s="1"/>
  <c r="O15" i="10"/>
  <c r="Q15" i="10" s="1"/>
  <c r="P214" i="4"/>
  <c r="R214" i="4" s="1"/>
  <c r="Q334" i="4"/>
  <c r="P334" i="4"/>
  <c r="R334" i="4" s="1"/>
  <c r="Q281" i="4"/>
  <c r="P281" i="4"/>
  <c r="R281" i="4" s="1"/>
  <c r="Q326" i="4"/>
  <c r="P326" i="4"/>
  <c r="R326" i="4" s="1"/>
  <c r="Q338" i="4"/>
  <c r="P338" i="4"/>
  <c r="R338" i="4" s="1"/>
  <c r="P441" i="4"/>
  <c r="R441" i="4" s="1"/>
  <c r="P10" i="4"/>
  <c r="R10" i="4" s="1"/>
  <c r="P59" i="4"/>
  <c r="R59" i="4" s="1"/>
  <c r="Q62" i="4"/>
  <c r="P99" i="4"/>
  <c r="R99" i="4" s="1"/>
  <c r="P123" i="4"/>
  <c r="R123" i="4" s="1"/>
  <c r="P147" i="4"/>
  <c r="R147" i="4" s="1"/>
  <c r="P171" i="4"/>
  <c r="R171" i="4" s="1"/>
  <c r="P218" i="4"/>
  <c r="R218" i="4" s="1"/>
  <c r="Q277" i="4"/>
  <c r="P277" i="4"/>
  <c r="R277" i="4" s="1"/>
  <c r="P368" i="4"/>
  <c r="R368" i="4" s="1"/>
  <c r="P418" i="4"/>
  <c r="R418" i="4" s="1"/>
  <c r="Q422" i="4"/>
  <c r="P437" i="4"/>
  <c r="R437" i="4" s="1"/>
  <c r="Q477" i="4"/>
  <c r="P477" i="4"/>
  <c r="R477" i="4" s="1"/>
  <c r="Q259" i="4"/>
  <c r="P259" i="4"/>
  <c r="R259" i="4" s="1"/>
  <c r="P289" i="4"/>
  <c r="R289" i="4" s="1"/>
  <c r="Q304" i="4"/>
  <c r="P304" i="4"/>
  <c r="R304" i="4" s="1"/>
  <c r="P308" i="4"/>
  <c r="R308" i="4" s="1"/>
  <c r="Q353" i="4"/>
  <c r="P353" i="4"/>
  <c r="R353" i="4" s="1"/>
  <c r="Q395" i="4"/>
  <c r="P395" i="4"/>
  <c r="R395" i="4" s="1"/>
  <c r="P399" i="4"/>
  <c r="R399" i="4" s="1"/>
  <c r="Q10" i="4"/>
  <c r="O12" i="10"/>
  <c r="Q12" i="10" s="1"/>
  <c r="P36" i="4"/>
  <c r="R36" i="4" s="1"/>
  <c r="P72" i="4"/>
  <c r="R72" i="4" s="1"/>
  <c r="Q92" i="4"/>
  <c r="P196" i="4"/>
  <c r="R196" i="4" s="1"/>
  <c r="P240" i="4"/>
  <c r="R240" i="4" s="1"/>
  <c r="P7" i="4"/>
  <c r="R7" i="4" s="1"/>
  <c r="P56" i="4"/>
  <c r="R56" i="4" s="1"/>
  <c r="Q59" i="4"/>
  <c r="P89" i="4"/>
  <c r="R89" i="4" s="1"/>
  <c r="Q99" i="4"/>
  <c r="P113" i="4"/>
  <c r="R113" i="4" s="1"/>
  <c r="Q123" i="4"/>
  <c r="P137" i="4"/>
  <c r="R137" i="4" s="1"/>
  <c r="Q147" i="4"/>
  <c r="P161" i="4"/>
  <c r="R161" i="4" s="1"/>
  <c r="Q171" i="4"/>
  <c r="P189" i="4"/>
  <c r="R189" i="4" s="1"/>
  <c r="Q207" i="4"/>
  <c r="P207" i="4"/>
  <c r="R207" i="4" s="1"/>
  <c r="Q222" i="4"/>
  <c r="Q244" i="4"/>
  <c r="P244" i="4"/>
  <c r="R244" i="4" s="1"/>
  <c r="Q349" i="4"/>
  <c r="P349" i="4"/>
  <c r="R349" i="4" s="1"/>
  <c r="P422" i="4"/>
  <c r="R422" i="4" s="1"/>
  <c r="O17" i="10"/>
  <c r="Q17" i="10" s="1"/>
  <c r="P6" i="4"/>
  <c r="R6" i="4" s="1"/>
  <c r="Q7" i="4"/>
  <c r="S5" i="3" s="1"/>
  <c r="O9" i="10"/>
  <c r="P33" i="4"/>
  <c r="R33" i="4" s="1"/>
  <c r="P69" i="4"/>
  <c r="R69" i="4" s="1"/>
  <c r="Q193" i="4"/>
  <c r="P211" i="4"/>
  <c r="R211" i="4" s="1"/>
  <c r="Q215" i="4"/>
  <c r="Q255" i="4"/>
  <c r="P255" i="4"/>
  <c r="R255" i="4" s="1"/>
  <c r="P312" i="4"/>
  <c r="R312" i="4" s="1"/>
  <c r="P323" i="4"/>
  <c r="R323" i="4" s="1"/>
  <c r="Q331" i="4"/>
  <c r="P331" i="4"/>
  <c r="R331" i="4" s="1"/>
  <c r="P335" i="4"/>
  <c r="R335" i="4" s="1"/>
  <c r="P361" i="4"/>
  <c r="R361" i="4" s="1"/>
  <c r="Q376" i="4"/>
  <c r="P376" i="4"/>
  <c r="R376" i="4" s="1"/>
  <c r="P380" i="4"/>
  <c r="R380" i="4" s="1"/>
  <c r="Q384" i="4"/>
  <c r="P403" i="4"/>
  <c r="R403" i="4" s="1"/>
  <c r="P457" i="4"/>
  <c r="R457" i="4" s="1"/>
  <c r="Q527" i="4"/>
  <c r="P527" i="4"/>
  <c r="R527" i="4" s="1"/>
  <c r="Q237" i="4"/>
  <c r="P237" i="4"/>
  <c r="R237" i="4" s="1"/>
  <c r="Q282" i="4"/>
  <c r="Q286" i="4"/>
  <c r="Q316" i="4"/>
  <c r="P316" i="4"/>
  <c r="R316" i="4" s="1"/>
  <c r="Q407" i="4"/>
  <c r="P407" i="4"/>
  <c r="R407" i="4" s="1"/>
  <c r="Q415" i="4"/>
  <c r="O6" i="10"/>
  <c r="Q6" i="10" s="1"/>
  <c r="P24" i="4"/>
  <c r="Q182" i="4"/>
  <c r="P182" i="4"/>
  <c r="R182" i="4" s="1"/>
  <c r="Q219" i="4"/>
  <c r="P219" i="4"/>
  <c r="R219" i="4" s="1"/>
  <c r="Q327" i="4"/>
  <c r="P327" i="4"/>
  <c r="R327" i="4" s="1"/>
  <c r="Q419" i="4"/>
  <c r="P419" i="4"/>
  <c r="R419" i="4" s="1"/>
  <c r="Q434" i="4"/>
  <c r="Q309" i="4"/>
  <c r="P309" i="4"/>
  <c r="R309" i="4" s="1"/>
  <c r="Q400" i="4"/>
  <c r="P400" i="4"/>
  <c r="R400" i="4" s="1"/>
  <c r="Q411" i="4"/>
  <c r="P411" i="4"/>
  <c r="R411" i="4" s="1"/>
  <c r="Q446" i="4"/>
  <c r="P446" i="4"/>
  <c r="R446" i="4" s="1"/>
  <c r="O32" i="10"/>
  <c r="Q32" i="10" s="1"/>
  <c r="P21" i="4"/>
  <c r="Q24" i="4"/>
  <c r="S8" i="3" s="1"/>
  <c r="E8" i="6" s="1"/>
  <c r="P63" i="4"/>
  <c r="R63" i="4" s="1"/>
  <c r="Q86" i="4"/>
  <c r="P186" i="4"/>
  <c r="R186" i="4" s="1"/>
  <c r="P339" i="4"/>
  <c r="R339" i="4" s="1"/>
  <c r="P434" i="4"/>
  <c r="R434" i="4" s="1"/>
  <c r="Q454" i="4"/>
  <c r="P454" i="4"/>
  <c r="R454" i="4" s="1"/>
  <c r="Q458" i="4"/>
  <c r="P458" i="4"/>
  <c r="R458" i="4" s="1"/>
  <c r="C8" i="10"/>
  <c r="T6" i="3"/>
  <c r="T7" i="3"/>
  <c r="P27" i="4"/>
  <c r="R27" i="4" s="1"/>
  <c r="P47" i="4"/>
  <c r="R47" i="4" s="1"/>
  <c r="Q50" i="4"/>
  <c r="P83" i="4"/>
  <c r="R83" i="4" s="1"/>
  <c r="Q93" i="4"/>
  <c r="P107" i="4"/>
  <c r="R107" i="4" s="1"/>
  <c r="Q117" i="4"/>
  <c r="P131" i="4"/>
  <c r="R131" i="4" s="1"/>
  <c r="Q141" i="4"/>
  <c r="P155" i="4"/>
  <c r="R155" i="4" s="1"/>
  <c r="Q165" i="4"/>
  <c r="P179" i="4"/>
  <c r="R179" i="4" s="1"/>
  <c r="Q190" i="4"/>
  <c r="P190" i="4"/>
  <c r="R190" i="4" s="1"/>
  <c r="Q208" i="4"/>
  <c r="Q212" i="4"/>
  <c r="P212" i="4"/>
  <c r="R212" i="4" s="1"/>
  <c r="Q252" i="4"/>
  <c r="P252" i="4"/>
  <c r="R252" i="4" s="1"/>
  <c r="P305" i="4"/>
  <c r="R305" i="4" s="1"/>
  <c r="P358" i="4"/>
  <c r="R358" i="4" s="1"/>
  <c r="Q377" i="4"/>
  <c r="Q381" i="4"/>
  <c r="P381" i="4"/>
  <c r="R381" i="4" s="1"/>
  <c r="P396" i="4"/>
  <c r="R396" i="4" s="1"/>
  <c r="Q470" i="4"/>
  <c r="Q194" i="4"/>
  <c r="P194" i="4"/>
  <c r="R194" i="4" s="1"/>
  <c r="Q234" i="4"/>
  <c r="P234" i="4"/>
  <c r="R234" i="4" s="1"/>
  <c r="Q324" i="4"/>
  <c r="P324" i="4"/>
  <c r="R324" i="4" s="1"/>
  <c r="Q416" i="4"/>
  <c r="P416" i="4"/>
  <c r="R416" i="4" s="1"/>
  <c r="Q487" i="4"/>
  <c r="P487" i="4"/>
  <c r="R487" i="4" s="1"/>
  <c r="Q491" i="4"/>
  <c r="P491" i="4"/>
  <c r="R491" i="4" s="1"/>
  <c r="O26" i="10"/>
  <c r="Q26" i="10" s="1"/>
  <c r="P15" i="4"/>
  <c r="P57" i="4"/>
  <c r="R57" i="4" s="1"/>
  <c r="Q90" i="4"/>
  <c r="P104" i="4"/>
  <c r="R104" i="4" s="1"/>
  <c r="Q114" i="4"/>
  <c r="P128" i="4"/>
  <c r="R128" i="4" s="1"/>
  <c r="Q138" i="4"/>
  <c r="P152" i="4"/>
  <c r="R152" i="4" s="1"/>
  <c r="Q162" i="4"/>
  <c r="P176" i="4"/>
  <c r="R176" i="4" s="1"/>
  <c r="Q183" i="4"/>
  <c r="Q220" i="4"/>
  <c r="P227" i="4"/>
  <c r="R227" i="4" s="1"/>
  <c r="Q287" i="4"/>
  <c r="P336" i="4"/>
  <c r="R336" i="4" s="1"/>
  <c r="Q435" i="4"/>
  <c r="P435" i="4"/>
  <c r="R435" i="4" s="1"/>
  <c r="T8" i="3"/>
  <c r="Q80" i="4"/>
  <c r="Q187" i="4"/>
  <c r="P187" i="4"/>
  <c r="R187" i="4" s="1"/>
  <c r="Q279" i="4"/>
  <c r="P279" i="4"/>
  <c r="R279" i="4" s="1"/>
  <c r="P283" i="4"/>
  <c r="R283" i="4" s="1"/>
  <c r="Q306" i="4"/>
  <c r="P306" i="4"/>
  <c r="R306" i="4" s="1"/>
  <c r="Q397" i="4"/>
  <c r="P397" i="4"/>
  <c r="R397" i="4" s="1"/>
  <c r="Q412" i="4"/>
  <c r="P412" i="4"/>
  <c r="R412" i="4" s="1"/>
  <c r="Q439" i="4"/>
  <c r="P439" i="4"/>
  <c r="R439" i="4" s="1"/>
  <c r="O29" i="10"/>
  <c r="Q29" i="10" s="1"/>
  <c r="P18" i="4"/>
  <c r="Q44" i="4"/>
  <c r="O23" i="10"/>
  <c r="Q23" i="10" s="1"/>
  <c r="P12" i="4"/>
  <c r="R12" i="4" s="1"/>
  <c r="Q15" i="4"/>
  <c r="Q104" i="4"/>
  <c r="P183" i="4"/>
  <c r="R183" i="4" s="1"/>
  <c r="Q205" i="4"/>
  <c r="P205" i="4"/>
  <c r="R205" i="4" s="1"/>
  <c r="P220" i="4"/>
  <c r="R220" i="4" s="1"/>
  <c r="Q227" i="4"/>
  <c r="Q257" i="4"/>
  <c r="P287" i="4"/>
  <c r="R287" i="4" s="1"/>
  <c r="Q291" i="4"/>
  <c r="P291" i="4"/>
  <c r="R291" i="4" s="1"/>
  <c r="Q302" i="4"/>
  <c r="P302" i="4"/>
  <c r="R302" i="4" s="1"/>
  <c r="Q359" i="4"/>
  <c r="Q393" i="4"/>
  <c r="P393" i="4"/>
  <c r="R393" i="4" s="1"/>
  <c r="Q431" i="4"/>
  <c r="P431" i="4"/>
  <c r="R431" i="4" s="1"/>
  <c r="Q473" i="4"/>
  <c r="P473" i="4"/>
  <c r="R473" i="4" s="1"/>
  <c r="Q556" i="4"/>
  <c r="P556" i="4"/>
  <c r="R556" i="4" s="1"/>
  <c r="P506" i="4"/>
  <c r="R506" i="4" s="1"/>
  <c r="P526" i="4"/>
  <c r="R526" i="4" s="1"/>
  <c r="P539" i="4"/>
  <c r="R539" i="4" s="1"/>
  <c r="P546" i="4"/>
  <c r="R546" i="4" s="1"/>
  <c r="P590" i="4"/>
  <c r="R590" i="4" s="1"/>
  <c r="E210" i="5"/>
  <c r="B210" i="5"/>
  <c r="P523" i="4"/>
  <c r="R523" i="4" s="1"/>
  <c r="Q543" i="4"/>
  <c r="P543" i="4"/>
  <c r="R543" i="4" s="1"/>
  <c r="P510" i="4"/>
  <c r="R510" i="4" s="1"/>
  <c r="P587" i="4"/>
  <c r="R587" i="4" s="1"/>
  <c r="C58" i="6"/>
  <c r="E58" i="6" s="1"/>
  <c r="B58" i="6" a="1"/>
  <c r="B58" i="6" s="1"/>
  <c r="H58" i="6"/>
  <c r="G58" i="6"/>
  <c r="Q199" i="4"/>
  <c r="Q271" i="4"/>
  <c r="Q343" i="4"/>
  <c r="Q428" i="4"/>
  <c r="Q464" i="4"/>
  <c r="Q497" i="4"/>
  <c r="P500" i="4"/>
  <c r="R500" i="4" s="1"/>
  <c r="P533" i="4"/>
  <c r="R533" i="4" s="1"/>
  <c r="P560" i="4"/>
  <c r="R560" i="4" s="1"/>
  <c r="P577" i="4"/>
  <c r="R577" i="4" s="1"/>
  <c r="Q268" i="4"/>
  <c r="P274" i="4"/>
  <c r="R274" i="4" s="1"/>
  <c r="Q340" i="4"/>
  <c r="P346" i="4"/>
  <c r="R346" i="4" s="1"/>
  <c r="Q425" i="4"/>
  <c r="Q484" i="4"/>
  <c r="P520" i="4"/>
  <c r="R520" i="4" s="1"/>
  <c r="E214" i="5"/>
  <c r="B214" i="5"/>
  <c r="C229" i="5" a="1"/>
  <c r="C229" i="5" s="1"/>
  <c r="B229" i="5"/>
  <c r="J229" i="5" a="1"/>
  <c r="J229" i="5" s="1"/>
  <c r="E229" i="5"/>
  <c r="H26" i="6"/>
  <c r="G26" i="6"/>
  <c r="B26" i="6" a="1"/>
  <c r="B26" i="6" s="1"/>
  <c r="C26" i="6"/>
  <c r="E26" i="6" s="1"/>
  <c r="P537" i="4"/>
  <c r="R537" i="4" s="1"/>
  <c r="E212" i="5"/>
  <c r="J221" i="5" a="1"/>
  <c r="J221" i="5" s="1"/>
  <c r="E221" i="5"/>
  <c r="C221" i="5" a="1"/>
  <c r="C221" i="5" s="1"/>
  <c r="B221" i="5"/>
  <c r="Q184" i="4"/>
  <c r="Q256" i="4"/>
  <c r="Q328" i="4"/>
  <c r="Q413" i="4"/>
  <c r="Q432" i="4"/>
  <c r="P481" i="4"/>
  <c r="R481" i="4" s="1"/>
  <c r="P514" i="4"/>
  <c r="R514" i="4" s="1"/>
  <c r="P571" i="4"/>
  <c r="R571" i="4" s="1"/>
  <c r="P581" i="4"/>
  <c r="R581" i="4" s="1"/>
  <c r="E230" i="5"/>
  <c r="C230" i="5" a="1"/>
  <c r="C230" i="5" s="1"/>
  <c r="B230" i="5"/>
  <c r="J230" i="5" a="1"/>
  <c r="J230" i="5" s="1"/>
  <c r="Q325" i="4"/>
  <c r="P524" i="4"/>
  <c r="R524" i="4" s="1"/>
  <c r="P534" i="4"/>
  <c r="R534" i="4" s="1"/>
  <c r="P544" i="4"/>
  <c r="R544" i="4" s="1"/>
  <c r="Q250" i="4"/>
  <c r="Q322" i="4"/>
  <c r="Q410" i="4"/>
  <c r="P554" i="4"/>
  <c r="R554" i="4" s="1"/>
  <c r="Q247" i="4"/>
  <c r="Q319" i="4"/>
  <c r="Q452" i="4"/>
  <c r="Q485" i="4"/>
  <c r="Q592" i="4"/>
  <c r="P592" i="4"/>
  <c r="R592" i="4" s="1"/>
  <c r="Q575" i="4"/>
  <c r="P575" i="4"/>
  <c r="R575" i="4" s="1"/>
  <c r="P197" i="4"/>
  <c r="R197" i="4" s="1"/>
  <c r="P222" i="4"/>
  <c r="R222" i="4" s="1"/>
  <c r="P247" i="4"/>
  <c r="R247" i="4" s="1"/>
  <c r="P269" i="4"/>
  <c r="R269" i="4" s="1"/>
  <c r="P294" i="4"/>
  <c r="R294" i="4" s="1"/>
  <c r="P319" i="4"/>
  <c r="R319" i="4" s="1"/>
  <c r="P341" i="4"/>
  <c r="R341" i="4" s="1"/>
  <c r="P366" i="4"/>
  <c r="R366" i="4" s="1"/>
  <c r="P388" i="4"/>
  <c r="R388" i="4" s="1"/>
  <c r="P426" i="4"/>
  <c r="R426" i="4" s="1"/>
  <c r="P452" i="4"/>
  <c r="R452" i="4" s="1"/>
  <c r="P462" i="4"/>
  <c r="R462" i="4" s="1"/>
  <c r="P485" i="4"/>
  <c r="R485" i="4" s="1"/>
  <c r="P495" i="4"/>
  <c r="R495" i="4" s="1"/>
  <c r="P528" i="4"/>
  <c r="R528" i="4" s="1"/>
  <c r="P541" i="4"/>
  <c r="R541" i="4" s="1"/>
  <c r="G223" i="5"/>
  <c r="Q238" i="4"/>
  <c r="Q310" i="4"/>
  <c r="Q382" i="4"/>
  <c r="P472" i="4"/>
  <c r="R472" i="4" s="1"/>
  <c r="P518" i="4"/>
  <c r="R518" i="4" s="1"/>
  <c r="P548" i="4"/>
  <c r="R548" i="4" s="1"/>
  <c r="P565" i="4"/>
  <c r="R565" i="4" s="1"/>
  <c r="Q235" i="4"/>
  <c r="P241" i="4"/>
  <c r="R241" i="4" s="1"/>
  <c r="Q307" i="4"/>
  <c r="P313" i="4"/>
  <c r="R313" i="4" s="1"/>
  <c r="Q379" i="4"/>
  <c r="P385" i="4"/>
  <c r="R385" i="4" s="1"/>
  <c r="Q398" i="4"/>
  <c r="P404" i="4"/>
  <c r="R404" i="4" s="1"/>
  <c r="P449" i="4"/>
  <c r="R449" i="4" s="1"/>
  <c r="E217" i="5"/>
  <c r="C217" i="5" a="1"/>
  <c r="C217" i="5" s="1"/>
  <c r="B217" i="5"/>
  <c r="Q569" i="4"/>
  <c r="P569" i="4"/>
  <c r="R569" i="4" s="1"/>
  <c r="P479" i="4"/>
  <c r="R479" i="4" s="1"/>
  <c r="P512" i="4"/>
  <c r="R512" i="4" s="1"/>
  <c r="P586" i="4"/>
  <c r="R586" i="4" s="1"/>
  <c r="Q223" i="4"/>
  <c r="P229" i="4"/>
  <c r="R229" i="4" s="1"/>
  <c r="Q295" i="4"/>
  <c r="P301" i="4"/>
  <c r="R301" i="4" s="1"/>
  <c r="Q367" i="4"/>
  <c r="P373" i="4"/>
  <c r="R373" i="4" s="1"/>
  <c r="P392" i="4"/>
  <c r="R392" i="4" s="1"/>
  <c r="P593" i="4"/>
  <c r="R593" i="4" s="1"/>
  <c r="J224" i="5" a="1"/>
  <c r="J224" i="5" s="1"/>
  <c r="C224" i="5" a="1"/>
  <c r="C224" i="5" s="1"/>
  <c r="E224" i="5"/>
  <c r="B224" i="5"/>
  <c r="E233" i="5"/>
  <c r="J233" i="5" a="1"/>
  <c r="J233" i="5" s="1"/>
  <c r="C233" i="5" a="1"/>
  <c r="C233" i="5" s="1"/>
  <c r="B233" i="5"/>
  <c r="B211" i="5"/>
  <c r="C235" i="5" a="1"/>
  <c r="C235" i="5" s="1"/>
  <c r="J235" i="5" a="1"/>
  <c r="J235" i="5" s="1"/>
  <c r="E235" i="5"/>
  <c r="B235" i="5"/>
  <c r="E211" i="5"/>
  <c r="Q401" i="4"/>
  <c r="C16" i="6"/>
  <c r="D16" i="6" s="1"/>
  <c r="B16" i="6" a="1"/>
  <c r="B16" i="6" s="1"/>
  <c r="B237" i="5"/>
  <c r="E237" i="5"/>
  <c r="D25" i="6"/>
  <c r="H31" i="6"/>
  <c r="G31" i="6"/>
  <c r="H56" i="6"/>
  <c r="G56" i="6"/>
  <c r="C56" i="6"/>
  <c r="E56" i="6" s="1"/>
  <c r="B56" i="6" a="1"/>
  <c r="B56" i="6" s="1"/>
  <c r="F220" i="5"/>
  <c r="G220" i="5"/>
  <c r="D11" i="6"/>
  <c r="G11" i="6" s="1"/>
  <c r="B21" i="6" a="1"/>
  <c r="B21" i="6" s="1"/>
  <c r="H21" i="6"/>
  <c r="G21" i="6"/>
  <c r="C21" i="6"/>
  <c r="E21" i="6" s="1"/>
  <c r="B31" i="6" a="1"/>
  <c r="B31" i="6" s="1"/>
  <c r="H57" i="6"/>
  <c r="G57" i="6"/>
  <c r="C57" i="6"/>
  <c r="D57" i="6" s="1"/>
  <c r="B57" i="6" a="1"/>
  <c r="B57" i="6" s="1"/>
  <c r="Q7" i="10"/>
  <c r="C237" i="5" a="1"/>
  <c r="C237" i="5" s="1"/>
  <c r="G16" i="6"/>
  <c r="C31" i="6"/>
  <c r="E31" i="6" s="1"/>
  <c r="H37" i="6"/>
  <c r="G37" i="6"/>
  <c r="C37" i="6"/>
  <c r="E37" i="6" s="1"/>
  <c r="B37" i="6" a="1"/>
  <c r="B37" i="6" s="1"/>
  <c r="H43" i="6"/>
  <c r="G43" i="6"/>
  <c r="C43" i="6"/>
  <c r="E43" i="6" s="1"/>
  <c r="B43" i="6" a="1"/>
  <c r="B43" i="6" s="1"/>
  <c r="G59" i="6"/>
  <c r="C59" i="6"/>
  <c r="E59" i="6" s="1"/>
  <c r="B59" i="6" a="1"/>
  <c r="B59" i="6" s="1"/>
  <c r="Q18" i="10"/>
  <c r="D7" i="10" s="1"/>
  <c r="C218" i="5" a="1"/>
  <c r="C218" i="5" s="1"/>
  <c r="B218" i="5"/>
  <c r="H17" i="6"/>
  <c r="C17" i="6"/>
  <c r="E17" i="6" s="1"/>
  <c r="B17" i="6" a="1"/>
  <c r="B17" i="6" s="1"/>
  <c r="H22" i="6"/>
  <c r="C22" i="6"/>
  <c r="E22" i="6" s="1"/>
  <c r="B22" i="6" a="1"/>
  <c r="B22" i="6" s="1"/>
  <c r="H32" i="6"/>
  <c r="G32" i="6"/>
  <c r="B32" i="6" a="1"/>
  <c r="B32" i="6" s="1"/>
  <c r="H38" i="6"/>
  <c r="B38" i="6" a="1"/>
  <c r="B38" i="6" s="1"/>
  <c r="Q13" i="10"/>
  <c r="J237" i="5" a="1"/>
  <c r="J237" i="5" s="1"/>
  <c r="G17" i="6"/>
  <c r="C27" i="6"/>
  <c r="E27" i="6" s="1"/>
  <c r="B27" i="6" a="1"/>
  <c r="B27" i="6" s="1"/>
  <c r="C38" i="6"/>
  <c r="D38" i="6" s="1"/>
  <c r="C60" i="6"/>
  <c r="E60" i="6" s="1"/>
  <c r="B60" i="6" a="1"/>
  <c r="B60" i="6" s="1"/>
  <c r="H60" i="6"/>
  <c r="G60" i="6"/>
  <c r="J234" i="5" a="1"/>
  <c r="J234" i="5" s="1"/>
  <c r="E234" i="5"/>
  <c r="C234" i="5" a="1"/>
  <c r="C234" i="5" s="1"/>
  <c r="B234" i="5"/>
  <c r="E238" i="5"/>
  <c r="B238" i="5"/>
  <c r="E12" i="6"/>
  <c r="C32" i="6"/>
  <c r="E32" i="6" s="1"/>
  <c r="H61" i="6"/>
  <c r="G61" i="6"/>
  <c r="C61" i="6"/>
  <c r="D61" i="6" s="1"/>
  <c r="B61" i="6" a="1"/>
  <c r="B61" i="6" s="1"/>
  <c r="E218" i="5"/>
  <c r="E7" i="6"/>
  <c r="G22" i="6"/>
  <c r="B212" i="5"/>
  <c r="C238" i="5" a="1"/>
  <c r="C238" i="5" s="1"/>
  <c r="D23" i="6"/>
  <c r="H23" i="6"/>
  <c r="H33" i="6"/>
  <c r="G33" i="6"/>
  <c r="C33" i="6"/>
  <c r="B33" i="6" a="1"/>
  <c r="B33" i="6" s="1"/>
  <c r="G38" i="6"/>
  <c r="H62" i="6"/>
  <c r="G62" i="6"/>
  <c r="C62" i="6"/>
  <c r="E62" i="6" s="1"/>
  <c r="B62" i="6" a="1"/>
  <c r="B62" i="6" s="1"/>
  <c r="H13" i="6"/>
  <c r="G13" i="6"/>
  <c r="C13" i="6"/>
  <c r="E13" i="6" s="1"/>
  <c r="G27" i="6"/>
  <c r="H63" i="6"/>
  <c r="G63" i="6"/>
  <c r="C63" i="6"/>
  <c r="E63" i="6" s="1"/>
  <c r="B63" i="6" a="1"/>
  <c r="B63" i="6" s="1"/>
  <c r="Q25" i="10"/>
  <c r="H27" i="6"/>
  <c r="B45" i="6" a="1"/>
  <c r="B45" i="6" s="1"/>
  <c r="H45" i="6"/>
  <c r="G45" i="6"/>
  <c r="C45" i="6"/>
  <c r="D45" i="6" s="1"/>
  <c r="G51" i="6"/>
  <c r="C51" i="6"/>
  <c r="E51" i="6" s="1"/>
  <c r="B51" i="6" a="1"/>
  <c r="B51" i="6" s="1"/>
  <c r="H64" i="6"/>
  <c r="G64" i="6"/>
  <c r="C64" i="6"/>
  <c r="E64" i="6" s="1"/>
  <c r="B64" i="6" a="1"/>
  <c r="B64" i="6" s="1"/>
  <c r="Q9" i="10"/>
  <c r="J222" i="5" a="1"/>
  <c r="J222" i="5" s="1"/>
  <c r="E222" i="5"/>
  <c r="E225" i="5"/>
  <c r="B225" i="5"/>
  <c r="H28" i="6"/>
  <c r="G28" i="6"/>
  <c r="C28" i="6"/>
  <c r="E28" i="6" s="1"/>
  <c r="B28" i="6" a="1"/>
  <c r="B28" i="6" s="1"/>
  <c r="C34" i="6"/>
  <c r="E34" i="6" s="1"/>
  <c r="H34" i="6"/>
  <c r="G34" i="6"/>
  <c r="B222" i="5"/>
  <c r="J228" i="5" a="1"/>
  <c r="J228" i="5" s="1"/>
  <c r="E228" i="5"/>
  <c r="E231" i="5"/>
  <c r="J238" i="5" a="1"/>
  <c r="J238" i="5" s="1"/>
  <c r="G23" i="6"/>
  <c r="C225" i="5" a="1"/>
  <c r="C225" i="5" s="1"/>
  <c r="B228" i="5"/>
  <c r="J239" i="5" a="1"/>
  <c r="J239" i="5" s="1"/>
  <c r="C239" i="5" a="1"/>
  <c r="C239" i="5" s="1"/>
  <c r="H14" i="6"/>
  <c r="B14" i="6" a="1"/>
  <c r="B14" i="6" s="1"/>
  <c r="C40" i="6"/>
  <c r="E40" i="6" s="1"/>
  <c r="B40" i="6" a="1"/>
  <c r="B40" i="6" s="1"/>
  <c r="H51" i="6"/>
  <c r="E216" i="5"/>
  <c r="B219" i="5"/>
  <c r="C222" i="5" a="1"/>
  <c r="C222" i="5" s="1"/>
  <c r="B239" i="5"/>
  <c r="C8" i="6"/>
  <c r="C14" i="6"/>
  <c r="D14" i="6" s="1"/>
  <c r="C29" i="6"/>
  <c r="D29" i="6" s="1"/>
  <c r="B29" i="6" a="1"/>
  <c r="B29" i="6" s="1"/>
  <c r="B34" i="6" a="1"/>
  <c r="B34" i="6" s="1"/>
  <c r="H52" i="6"/>
  <c r="G52" i="6"/>
  <c r="C52" i="6"/>
  <c r="E52" i="6" s="1"/>
  <c r="B52" i="6" a="1"/>
  <c r="B52" i="6" s="1"/>
  <c r="C219" i="5" a="1"/>
  <c r="C219" i="5" s="1"/>
  <c r="C228" i="5" a="1"/>
  <c r="C228" i="5" s="1"/>
  <c r="H19" i="6"/>
  <c r="G19" i="6"/>
  <c r="C19" i="6"/>
  <c r="D19" i="6" s="1"/>
  <c r="G53" i="6"/>
  <c r="C53" i="6"/>
  <c r="D53" i="6" s="1"/>
  <c r="B53" i="6" a="1"/>
  <c r="B53" i="6" s="1"/>
  <c r="E219" i="5"/>
  <c r="J231" i="5" a="1"/>
  <c r="J231" i="5" s="1"/>
  <c r="E239" i="5"/>
  <c r="C9" i="6"/>
  <c r="G29" i="6"/>
  <c r="C35" i="6"/>
  <c r="E35" i="6" s="1"/>
  <c r="B35" i="6" a="1"/>
  <c r="B35" i="6" s="1"/>
  <c r="G40" i="6"/>
  <c r="E213" i="5"/>
  <c r="J225" i="5" a="1"/>
  <c r="J225" i="5" s="1"/>
  <c r="J232" i="5" a="1"/>
  <c r="J232" i="5" s="1"/>
  <c r="E232" i="5"/>
  <c r="C232" i="5" a="1"/>
  <c r="C232" i="5" s="1"/>
  <c r="B232" i="5"/>
  <c r="G14" i="6"/>
  <c r="B19" i="6" a="1"/>
  <c r="B19" i="6" s="1"/>
  <c r="H29" i="6"/>
  <c r="G35" i="6"/>
  <c r="H40" i="6"/>
  <c r="B47" i="6" a="1"/>
  <c r="B47" i="6" s="1"/>
  <c r="H47" i="6"/>
  <c r="G47" i="6"/>
  <c r="H53" i="6"/>
  <c r="J226" i="5" a="1"/>
  <c r="J226" i="5" s="1"/>
  <c r="B226" i="5"/>
  <c r="D226" i="5" s="1"/>
  <c r="C236" i="5" a="1"/>
  <c r="C236" i="5" s="1"/>
  <c r="B236" i="5"/>
  <c r="G36" i="6"/>
  <c r="H41" i="6"/>
  <c r="G41" i="6"/>
  <c r="C41" i="6"/>
  <c r="E41" i="6" s="1"/>
  <c r="B41" i="6" a="1"/>
  <c r="B41" i="6" s="1"/>
  <c r="C47" i="6"/>
  <c r="D47" i="6" s="1"/>
  <c r="H54" i="6"/>
  <c r="G54" i="6"/>
  <c r="C54" i="6"/>
  <c r="E54" i="6" s="1"/>
  <c r="B54" i="6" a="1"/>
  <c r="B54" i="6" s="1"/>
  <c r="E236" i="5"/>
  <c r="G30" i="6"/>
  <c r="C30" i="6"/>
  <c r="D30" i="6" s="1"/>
  <c r="B30" i="6" a="1"/>
  <c r="B30" i="6" s="1"/>
  <c r="H55" i="6"/>
  <c r="G55" i="6"/>
  <c r="E55" i="6"/>
  <c r="D55" i="6"/>
  <c r="B55" i="6" a="1"/>
  <c r="B55" i="6" s="1"/>
  <c r="Q22" i="10"/>
  <c r="Q33" i="10"/>
  <c r="H25" i="6"/>
  <c r="H49" i="6"/>
  <c r="B15" i="6" a="1"/>
  <c r="B15" i="6" s="1"/>
  <c r="B39" i="6" a="1"/>
  <c r="B39" i="6" s="1"/>
  <c r="C15" i="6"/>
  <c r="D15" i="6" s="1"/>
  <c r="C39" i="6"/>
  <c r="D39" i="6" s="1"/>
  <c r="B50" i="6" a="1"/>
  <c r="B50" i="6" s="1"/>
  <c r="B24" i="6" a="1"/>
  <c r="B24" i="6" s="1"/>
  <c r="B48" i="6" a="1"/>
  <c r="B48" i="6" s="1"/>
  <c r="G15" i="6"/>
  <c r="B46" i="6" a="1"/>
  <c r="B46" i="6" s="1"/>
  <c r="C46" i="6"/>
  <c r="E46" i="6" s="1"/>
  <c r="B20" i="6" a="1"/>
  <c r="B20" i="6" s="1"/>
  <c r="B44" i="6" a="1"/>
  <c r="B44" i="6" s="1"/>
  <c r="D10" i="7"/>
  <c r="L10" i="7" s="1"/>
  <c r="M10" i="7" s="1"/>
  <c r="D12" i="7"/>
  <c r="L12" i="7" s="1"/>
  <c r="M12" i="7" s="1"/>
  <c r="D14" i="7"/>
  <c r="L14" i="7" s="1"/>
  <c r="M14" i="7" s="1"/>
  <c r="D16" i="7"/>
  <c r="L16" i="7" s="1"/>
  <c r="M16" i="7" s="1"/>
  <c r="D18" i="7"/>
  <c r="L18" i="7" s="1"/>
  <c r="M18" i="7" s="1"/>
  <c r="E10" i="7"/>
  <c r="F10" i="7" s="1"/>
  <c r="H10" i="7" s="1"/>
  <c r="E12" i="7"/>
  <c r="F12" i="7" s="1"/>
  <c r="H12" i="7" s="1"/>
  <c r="E14" i="7"/>
  <c r="F14" i="7" s="1"/>
  <c r="H14" i="7" s="1"/>
  <c r="E16" i="7"/>
  <c r="F16" i="7" s="1"/>
  <c r="H16" i="7" s="1"/>
  <c r="E18" i="7"/>
  <c r="F18" i="7" s="1"/>
  <c r="H18" i="7" s="1"/>
  <c r="C42" i="6"/>
  <c r="E42" i="6" s="1"/>
  <c r="G20" i="6"/>
  <c r="G44" i="6"/>
  <c r="E227" i="5"/>
  <c r="B49" i="6" a="1"/>
  <c r="B49" i="6" s="1"/>
  <c r="D6" i="10"/>
  <c r="E6" i="10" s="1"/>
  <c r="D49" i="6"/>
  <c r="S26" i="4" l="1"/>
  <c r="I39" i="6"/>
  <c r="S11" i="3"/>
  <c r="S10" i="3"/>
  <c r="R21" i="4"/>
  <c r="R9" i="3"/>
  <c r="C214" i="5" s="1" a="1"/>
  <c r="C214" i="5" s="1"/>
  <c r="D214" i="5" s="1"/>
  <c r="R18" i="4"/>
  <c r="R11" i="3"/>
  <c r="R10" i="3"/>
  <c r="S9" i="3"/>
  <c r="E9" i="6" s="1"/>
  <c r="Q20" i="10"/>
  <c r="S6" i="3"/>
  <c r="S23" i="4"/>
  <c r="S24" i="4"/>
  <c r="D5" i="10"/>
  <c r="B15" i="10" s="1"/>
  <c r="S7" i="3"/>
  <c r="D232" i="5"/>
  <c r="D234" i="5"/>
  <c r="D235" i="5"/>
  <c r="D221" i="5"/>
  <c r="D217" i="5"/>
  <c r="D223" i="5"/>
  <c r="D230" i="5"/>
  <c r="D8" i="10"/>
  <c r="E8" i="10" s="1"/>
  <c r="D225" i="5"/>
  <c r="E48" i="6"/>
  <c r="J50" i="6"/>
  <c r="D227" i="5"/>
  <c r="H223" i="5"/>
  <c r="G215" i="5"/>
  <c r="H215" i="5" s="1"/>
  <c r="F226" i="5"/>
  <c r="H226" i="5" s="1"/>
  <c r="I226" i="5" s="1"/>
  <c r="D237" i="5"/>
  <c r="D239" i="5"/>
  <c r="D219" i="5"/>
  <c r="I49" i="6"/>
  <c r="I46" i="6"/>
  <c r="D220" i="5"/>
  <c r="E15" i="6"/>
  <c r="H17" i="7"/>
  <c r="I17" i="7" s="1"/>
  <c r="K17" i="7" s="1"/>
  <c r="E20" i="6"/>
  <c r="E36" i="6"/>
  <c r="E10" i="6"/>
  <c r="D50" i="6"/>
  <c r="D42" i="6"/>
  <c r="E39" i="6"/>
  <c r="I18" i="7"/>
  <c r="K18" i="7" s="1"/>
  <c r="I16" i="7"/>
  <c r="K16" i="7" s="1"/>
  <c r="I14" i="7"/>
  <c r="K14" i="7" s="1"/>
  <c r="I12" i="7"/>
  <c r="I10" i="7"/>
  <c r="H9" i="7"/>
  <c r="I9" i="7" s="1"/>
  <c r="D52" i="6"/>
  <c r="D27" i="6"/>
  <c r="D34" i="6"/>
  <c r="E44" i="6"/>
  <c r="D58" i="6"/>
  <c r="E29" i="6"/>
  <c r="H13" i="7"/>
  <c r="I13" i="7" s="1"/>
  <c r="K13" i="7" s="1"/>
  <c r="D59" i="6"/>
  <c r="E24" i="6"/>
  <c r="D28" i="6"/>
  <c r="H11" i="7"/>
  <c r="I11" i="7" s="1"/>
  <c r="E53" i="6"/>
  <c r="J42" i="6"/>
  <c r="I42" i="6"/>
  <c r="H15" i="7"/>
  <c r="I15" i="7" s="1"/>
  <c r="K15" i="7" s="1"/>
  <c r="E38" i="6"/>
  <c r="D51" i="6"/>
  <c r="D12" i="6"/>
  <c r="J18" i="6"/>
  <c r="I18" i="6"/>
  <c r="D21" i="6"/>
  <c r="E18" i="6"/>
  <c r="D64" i="6"/>
  <c r="E61" i="6"/>
  <c r="E57" i="6"/>
  <c r="E14" i="6"/>
  <c r="E47" i="6"/>
  <c r="E11" i="6"/>
  <c r="H11" i="6" s="1"/>
  <c r="E7" i="10"/>
  <c r="G7" i="10"/>
  <c r="E5" i="6"/>
  <c r="I27" i="6"/>
  <c r="J27" i="6"/>
  <c r="G238" i="5"/>
  <c r="F238" i="5"/>
  <c r="J31" i="6"/>
  <c r="I31" i="6"/>
  <c r="G224" i="5"/>
  <c r="F224" i="5"/>
  <c r="F217" i="5"/>
  <c r="G217" i="5"/>
  <c r="G212" i="5"/>
  <c r="F212" i="5"/>
  <c r="D13" i="6"/>
  <c r="G8" i="10"/>
  <c r="E6" i="6"/>
  <c r="G213" i="5"/>
  <c r="F213" i="5"/>
  <c r="J13" i="6"/>
  <c r="I13" i="6"/>
  <c r="J21" i="6"/>
  <c r="I21" i="6"/>
  <c r="D26" i="6"/>
  <c r="G228" i="5"/>
  <c r="F228" i="5"/>
  <c r="E19" i="6"/>
  <c r="G216" i="5"/>
  <c r="F216" i="5"/>
  <c r="D222" i="5"/>
  <c r="J60" i="6"/>
  <c r="I60" i="6"/>
  <c r="I26" i="6"/>
  <c r="J26" i="6"/>
  <c r="D236" i="5"/>
  <c r="I51" i="6"/>
  <c r="J51" i="6"/>
  <c r="D17" i="6"/>
  <c r="E16" i="6"/>
  <c r="R8" i="3"/>
  <c r="R7" i="3"/>
  <c r="F237" i="5"/>
  <c r="G237" i="5"/>
  <c r="I44" i="6"/>
  <c r="J44" i="6"/>
  <c r="J34" i="6"/>
  <c r="I34" i="6"/>
  <c r="G229" i="5"/>
  <c r="F229" i="5"/>
  <c r="D60" i="6"/>
  <c r="D37" i="6"/>
  <c r="D35" i="6"/>
  <c r="D40" i="6"/>
  <c r="E45" i="6"/>
  <c r="D62" i="6"/>
  <c r="D218" i="5"/>
  <c r="G230" i="5"/>
  <c r="F230" i="5"/>
  <c r="D229" i="5"/>
  <c r="G211" i="5"/>
  <c r="F211" i="5"/>
  <c r="J58" i="6"/>
  <c r="I58" i="6"/>
  <c r="J15" i="6"/>
  <c r="I15" i="6"/>
  <c r="D54" i="6"/>
  <c r="J29" i="6"/>
  <c r="I29" i="6"/>
  <c r="J62" i="6"/>
  <c r="I62" i="6"/>
  <c r="G218" i="5"/>
  <c r="F218" i="5"/>
  <c r="S12" i="4"/>
  <c r="G231" i="5"/>
  <c r="F231" i="5"/>
  <c r="J22" i="6"/>
  <c r="I22" i="6"/>
  <c r="J47" i="6"/>
  <c r="I47" i="6"/>
  <c r="G235" i="5"/>
  <c r="F235" i="5"/>
  <c r="S9" i="4"/>
  <c r="I20" i="6"/>
  <c r="J20" i="6"/>
  <c r="E30" i="6"/>
  <c r="J45" i="6"/>
  <c r="I45" i="6"/>
  <c r="J54" i="6"/>
  <c r="I54" i="6"/>
  <c r="J28" i="6"/>
  <c r="I28" i="6"/>
  <c r="I38" i="6"/>
  <c r="J38" i="6"/>
  <c r="J17" i="6"/>
  <c r="I17" i="6"/>
  <c r="J16" i="6"/>
  <c r="I16" i="6"/>
  <c r="H220" i="5"/>
  <c r="S6" i="4"/>
  <c r="G234" i="5"/>
  <c r="F234" i="5"/>
  <c r="J52" i="6"/>
  <c r="I52" i="6"/>
  <c r="J11" i="6"/>
  <c r="I11" i="6"/>
  <c r="G214" i="5"/>
  <c r="F214" i="5"/>
  <c r="S13" i="4"/>
  <c r="I55" i="6"/>
  <c r="J55" i="6"/>
  <c r="E5" i="10"/>
  <c r="S10" i="4"/>
  <c r="I53" i="6"/>
  <c r="J53" i="6"/>
  <c r="G225" i="5"/>
  <c r="F225" i="5"/>
  <c r="J33" i="6"/>
  <c r="I33" i="6"/>
  <c r="I61" i="6"/>
  <c r="J61" i="6"/>
  <c r="S7" i="4"/>
  <c r="D22" i="6"/>
  <c r="F239" i="5"/>
  <c r="G239" i="5"/>
  <c r="J59" i="6"/>
  <c r="I59" i="6"/>
  <c r="D56" i="6"/>
  <c r="S18" i="4"/>
  <c r="S21" i="4"/>
  <c r="R6" i="3"/>
  <c r="S17" i="4"/>
  <c r="S20" i="4"/>
  <c r="S16" i="4"/>
  <c r="S19" i="4"/>
  <c r="S22" i="4"/>
  <c r="S15" i="4"/>
  <c r="R15" i="4"/>
  <c r="S14" i="4"/>
  <c r="F227" i="5"/>
  <c r="G227" i="5"/>
  <c r="J30" i="6"/>
  <c r="I30" i="6"/>
  <c r="G236" i="5"/>
  <c r="F236" i="5"/>
  <c r="J37" i="6"/>
  <c r="I37" i="6"/>
  <c r="G222" i="5"/>
  <c r="F222" i="5"/>
  <c r="D41" i="6"/>
  <c r="I14" i="6"/>
  <c r="J14" i="6"/>
  <c r="J23" i="6"/>
  <c r="I23" i="6"/>
  <c r="D63" i="6"/>
  <c r="D233" i="5"/>
  <c r="S11" i="4"/>
  <c r="J56" i="6"/>
  <c r="I56" i="6"/>
  <c r="R24" i="4"/>
  <c r="S25" i="4"/>
  <c r="R5" i="3"/>
  <c r="J40" i="6"/>
  <c r="I40" i="6"/>
  <c r="D228" i="5"/>
  <c r="J41" i="6"/>
  <c r="I41" i="6"/>
  <c r="J63" i="6"/>
  <c r="I63" i="6"/>
  <c r="D32" i="6"/>
  <c r="D43" i="6"/>
  <c r="S8" i="4"/>
  <c r="J19" i="6"/>
  <c r="I19" i="6"/>
  <c r="J35" i="6"/>
  <c r="I35" i="6"/>
  <c r="E33" i="6"/>
  <c r="D33" i="6"/>
  <c r="D9" i="6"/>
  <c r="G9" i="6" s="1"/>
  <c r="J9" i="6" s="1"/>
  <c r="D31" i="6"/>
  <c r="F233" i="5"/>
  <c r="G233" i="5"/>
  <c r="F221" i="5"/>
  <c r="G221" i="5"/>
  <c r="F210" i="5"/>
  <c r="G210" i="5"/>
  <c r="J64" i="6"/>
  <c r="I64" i="6"/>
  <c r="G219" i="5"/>
  <c r="F219" i="5"/>
  <c r="D46" i="6"/>
  <c r="J36" i="6"/>
  <c r="I36" i="6"/>
  <c r="G232" i="5"/>
  <c r="F232" i="5"/>
  <c r="D238" i="5"/>
  <c r="I32" i="6"/>
  <c r="J32" i="6"/>
  <c r="J43" i="6"/>
  <c r="I43" i="6"/>
  <c r="J57" i="6"/>
  <c r="I57" i="6"/>
  <c r="D224" i="5"/>
  <c r="K9" i="7" l="1"/>
  <c r="N9" i="7"/>
  <c r="K10" i="7"/>
  <c r="N10" i="7"/>
  <c r="K11" i="7"/>
  <c r="N11" i="7"/>
  <c r="K12" i="7"/>
  <c r="N12" i="7"/>
  <c r="C215" i="5" a="1"/>
  <c r="C215" i="5" s="1"/>
  <c r="D215" i="5" s="1"/>
  <c r="I215" i="5" s="1"/>
  <c r="J215" i="5" s="1" a="1"/>
  <c r="J215" i="5" s="1"/>
  <c r="C216" i="5" a="1"/>
  <c r="C216" i="5" s="1"/>
  <c r="D216" i="5" s="1"/>
  <c r="I223" i="5"/>
  <c r="D10" i="6"/>
  <c r="G10" i="6" s="1"/>
  <c r="B16" i="10"/>
  <c r="D16" i="10" s="1"/>
  <c r="H218" i="5"/>
  <c r="H229" i="5"/>
  <c r="I229" i="5" s="1"/>
  <c r="H234" i="5"/>
  <c r="I234" i="5" s="1"/>
  <c r="H236" i="5"/>
  <c r="I220" i="5"/>
  <c r="H238" i="5"/>
  <c r="I238" i="5" s="1"/>
  <c r="H211" i="5"/>
  <c r="H219" i="5"/>
  <c r="I219" i="5" s="1"/>
  <c r="H231" i="5"/>
  <c r="I231" i="5" s="1"/>
  <c r="H225" i="5"/>
  <c r="I225" i="5" s="1"/>
  <c r="I236" i="5"/>
  <c r="H213" i="5"/>
  <c r="H232" i="5"/>
  <c r="I232" i="5" s="1"/>
  <c r="H224" i="5"/>
  <c r="I224" i="5" s="1"/>
  <c r="H228" i="5"/>
  <c r="I228" i="5" s="1"/>
  <c r="H230" i="5"/>
  <c r="I230" i="5" s="1"/>
  <c r="H216" i="5"/>
  <c r="I216" i="5" s="1"/>
  <c r="J216" i="5" s="1" a="1"/>
  <c r="J216" i="5" s="1"/>
  <c r="H210" i="5"/>
  <c r="H212" i="5"/>
  <c r="G12" i="6"/>
  <c r="I9" i="6"/>
  <c r="H221" i="5"/>
  <c r="I221" i="5" s="1"/>
  <c r="H217" i="5"/>
  <c r="I217" i="5" s="1"/>
  <c r="J217" i="5" s="1" a="1"/>
  <c r="J217" i="5" s="1"/>
  <c r="F6" i="10"/>
  <c r="C213" i="5" a="1"/>
  <c r="C213" i="5" s="1"/>
  <c r="D213" i="5" s="1"/>
  <c r="D8" i="6"/>
  <c r="I218" i="5"/>
  <c r="H237" i="5"/>
  <c r="I237" i="5" s="1"/>
  <c r="F5" i="10"/>
  <c r="C212" i="5" a="1"/>
  <c r="C212" i="5" s="1"/>
  <c r="D212" i="5" s="1"/>
  <c r="D7" i="6"/>
  <c r="H214" i="5"/>
  <c r="I214" i="5" s="1"/>
  <c r="J214" i="5" s="1" a="1"/>
  <c r="J214" i="5" s="1"/>
  <c r="H233" i="5"/>
  <c r="I233" i="5" s="1"/>
  <c r="D15" i="10"/>
  <c r="C15" i="10"/>
  <c r="F15" i="10" s="1"/>
  <c r="F7" i="10"/>
  <c r="C210" i="5" a="1"/>
  <c r="C210" i="5" s="1"/>
  <c r="D210" i="5" s="1"/>
  <c r="D5" i="6"/>
  <c r="F8" i="10"/>
  <c r="D6" i="6"/>
  <c r="C211" i="5" a="1"/>
  <c r="C211" i="5" s="1"/>
  <c r="D211" i="5" s="1"/>
  <c r="H227" i="5"/>
  <c r="I227" i="5" s="1"/>
  <c r="H222" i="5"/>
  <c r="I222" i="5" s="1"/>
  <c r="H239" i="5"/>
  <c r="I239" i="5" s="1"/>
  <c r="H235" i="5"/>
  <c r="I235" i="5" s="1"/>
  <c r="C16" i="10" l="1"/>
  <c r="F16" i="10" s="1"/>
  <c r="I10" i="6"/>
  <c r="J10" i="6"/>
  <c r="I211" i="5"/>
  <c r="J211" i="5" s="1" a="1"/>
  <c r="J211" i="5" s="1"/>
  <c r="I213" i="5"/>
  <c r="J213" i="5" s="1" a="1"/>
  <c r="J213" i="5" s="1"/>
  <c r="I210" i="5"/>
  <c r="J210" i="5" s="1" a="1"/>
  <c r="J210" i="5" s="1"/>
  <c r="I212" i="5"/>
  <c r="J212" i="5" s="1" a="1"/>
  <c r="J212" i="5" s="1"/>
  <c r="E15" i="10"/>
  <c r="I12" i="6"/>
  <c r="J12" i="6"/>
  <c r="G7" i="6"/>
  <c r="E16" i="10"/>
  <c r="G8" i="6"/>
  <c r="G5" i="6"/>
  <c r="H5" i="6"/>
  <c r="G6" i="6"/>
  <c r="H6" i="6"/>
  <c r="J6" i="6" l="1"/>
  <c r="C6" i="7" s="1"/>
  <c r="I6" i="6"/>
  <c r="J5" i="6"/>
  <c r="C5" i="7" s="1"/>
  <c r="I5" i="6"/>
  <c r="I8" i="6"/>
  <c r="J8" i="6"/>
  <c r="C8" i="7" s="1"/>
  <c r="J7" i="6"/>
  <c r="C7" i="7" s="1"/>
  <c r="I7" i="6"/>
  <c r="G7" i="7" l="1"/>
  <c r="E7" i="7"/>
  <c r="F7" i="7" s="1"/>
  <c r="D7" i="7"/>
  <c r="L7" i="7" s="1"/>
  <c r="M7" i="7" s="1"/>
  <c r="G5" i="7"/>
  <c r="E5" i="7"/>
  <c r="F5" i="7" s="1"/>
  <c r="D5" i="7"/>
  <c r="L5" i="7" s="1"/>
  <c r="G8" i="7"/>
  <c r="E8" i="7"/>
  <c r="F8" i="7" s="1"/>
  <c r="D8" i="7"/>
  <c r="L8" i="7" s="1"/>
  <c r="M8" i="7" s="1"/>
  <c r="G6" i="7"/>
  <c r="E6" i="7"/>
  <c r="F6" i="7" s="1"/>
  <c r="D6" i="7"/>
  <c r="L6" i="7" s="1"/>
  <c r="M6" i="7" s="1"/>
  <c r="H5" i="7" l="1"/>
  <c r="H7" i="7"/>
  <c r="H8" i="7"/>
  <c r="H6" i="7"/>
  <c r="I8" i="7"/>
  <c r="K8" i="7" s="1"/>
  <c r="I6" i="7"/>
  <c r="M5" i="7"/>
  <c r="B23" i="7"/>
  <c r="I5" i="7"/>
  <c r="I7" i="7"/>
  <c r="N8" i="7" l="1"/>
  <c r="K5" i="7"/>
  <c r="N5" i="7"/>
  <c r="K7" i="7"/>
  <c r="N7" i="7"/>
  <c r="B25" i="7"/>
  <c r="B24" i="7"/>
  <c r="K6" i="7"/>
  <c r="N6" i="7"/>
</calcChain>
</file>

<file path=xl/sharedStrings.xml><?xml version="1.0" encoding="utf-8"?>
<sst xmlns="http://schemas.openxmlformats.org/spreadsheetml/2006/main" count="541" uniqueCount="349">
  <si>
    <t>PLOT &amp; SITE LOG</t>
  </si>
  <si>
    <t>CORE LOG</t>
  </si>
  <si>
    <t>SOIL CORE DATA — SIMULATED</t>
  </si>
  <si>
    <t>SIMULATED COMMUNITY SOIL CARBON EXAMPLE</t>
  </si>
  <si>
    <t>SIMULATED locations and field metadata. K identifies Bog/Fen/Other using the original dropdown. Forest identity is in Vegetation zone and Notes. Plot area is a field footprint, not represented landscape area.</t>
  </si>
  <si>
    <t>SIMULATED. Wetland depths are complete peat profiles. Forest profiles include a 4 or 6 cm organic mat plus shallow mineral soil; reaching the organic/mineral contact does not mean the whole soil profile was sampled.</t>
  </si>
  <si>
    <t>SIMULATED. Includes wetland peat and forest organic/mineral horizons. Depths start at ground surface. Water content is percent of fresh mass. pH, nitrogen, C:N and horizon are retained in Notes and in the companion CSV.</t>
  </si>
  <si>
    <t/>
  </si>
  <si>
    <t>Plot ID</t>
  </si>
  <si>
    <t>Core ID</t>
  </si>
  <si>
    <t>Western James Bay conceptual 350 km2 example; four simulated cores</t>
  </si>
  <si>
    <t>What this workbook does</t>
  </si>
  <si>
    <t>Site ID</t>
  </si>
  <si>
    <t>Study area</t>
  </si>
  <si>
    <t>Date</t>
  </si>
  <si>
    <t>SIMULATED data only. Two wetland peat cores and two shallow forest soil profiles. Field date, positions, ecosystems and laboratory results are constructed. No vegetation stock or accumulation rate is supplied.</t>
  </si>
  <si>
    <t>Location</t>
  </si>
  <si>
    <t>Drive #</t>
  </si>
  <si>
    <t>Latitude</t>
  </si>
  <si>
    <t>Longitude</t>
  </si>
  <si>
    <t>Section ID</t>
  </si>
  <si>
    <t>GNSS accuracy (m)</t>
  </si>
  <si>
    <t>Datum</t>
  </si>
  <si>
    <t>COLOUR KEY</t>
  </si>
  <si>
    <t>Elevation (m)</t>
  </si>
  <si>
    <t>Top depth (cm)</t>
  </si>
  <si>
    <t>Wetland type</t>
  </si>
  <si>
    <t>Microform</t>
  </si>
  <si>
    <t>Bottom depth (cm)</t>
  </si>
  <si>
    <t>Vegetation zone</t>
  </si>
  <si>
    <t>Water table depth (cm)</t>
  </si>
  <si>
    <t>Plot area (m²)</t>
  </si>
  <si>
    <t>Notes</t>
  </si>
  <si>
    <t>Thickness (cm)</t>
  </si>
  <si>
    <t>Yellow</t>
  </si>
  <si>
    <t>von Post</t>
  </si>
  <si>
    <t>Bulk density basis</t>
  </si>
  <si>
    <t>Bulk density (g/cm³)</t>
  </si>
  <si>
    <t>Coring date</t>
  </si>
  <si>
    <t>Water content (%)</t>
  </si>
  <si>
    <t>Drives taken</t>
  </si>
  <si>
    <t>LOI₅₅₀ (%)</t>
  </si>
  <si>
    <t>Bore depth (cm)</t>
  </si>
  <si>
    <t>Organic carbon (%)</t>
  </si>
  <si>
    <t>Core length recovered (cm)</t>
  </si>
  <si>
    <t>TYPE HERE — field measurements you record.</t>
  </si>
  <si>
    <t>Surface compaction (cm)</t>
  </si>
  <si>
    <t>Recovery ratio</t>
  </si>
  <si>
    <t>Blue</t>
  </si>
  <si>
    <t>Depth to mineral contact (cm)</t>
  </si>
  <si>
    <t>Reached mineral contact?</t>
  </si>
  <si>
    <t>Carbon % used</t>
  </si>
  <si>
    <t>von Post at base</t>
  </si>
  <si>
    <t>Chamber length (cm)</t>
  </si>
  <si>
    <t>Thickness within reference depth (cm)</t>
  </si>
  <si>
    <t>TYPE HERE — lab results, once they come back.</t>
  </si>
  <si>
    <t>Chamber diameter (cm)</t>
  </si>
  <si>
    <t>Stock, full thickness (kg C/m²)</t>
  </si>
  <si>
    <t>WGS84</t>
  </si>
  <si>
    <t>Photo series?</t>
  </si>
  <si>
    <t>Bog</t>
  </si>
  <si>
    <t>Grey</t>
  </si>
  <si>
    <t>Deepest section logged (cm)</t>
  </si>
  <si>
    <t>Stock to reference depth (kg C/m²)</t>
  </si>
  <si>
    <t>Stock over sampled profile (kg C/m²)</t>
  </si>
  <si>
    <t>_stock per cm</t>
  </si>
  <si>
    <t>Sampled stock in reference window (kg C/m²)</t>
  </si>
  <si>
    <t>Cumulative carbon to base (kg C/m²)</t>
  </si>
  <si>
    <t>Calculated for you. Do not type in grey cells.</t>
  </si>
  <si>
    <t>Reaches reference depth?</t>
  </si>
  <si>
    <t>QC flags</t>
  </si>
  <si>
    <t>Green</t>
  </si>
  <si>
    <t>Summary output.</t>
  </si>
  <si>
    <t>Fen</t>
  </si>
  <si>
    <t>Red</t>
  </si>
  <si>
    <t>A quality-control flag. Read it before trusting the row.</t>
  </si>
  <si>
    <t>Other</t>
  </si>
  <si>
    <t>ORDER OF WORK</t>
  </si>
  <si>
    <t>1</t>
  </si>
  <si>
    <t>Fill '1. Plot &amp; Site Log' FIRST — one row per plot. Everything joins to it on Plot ID.</t>
  </si>
  <si>
    <t>2</t>
  </si>
  <si>
    <t>Fill '2. Core Log' — one row per core. Everything in the peat sheet joins to it on Core ID.</t>
  </si>
  <si>
    <t>3</t>
  </si>
  <si>
    <t>Fill '3. Peat Data' — one row per section, as the core is sectioned.</t>
  </si>
  <si>
    <t>4</t>
  </si>
  <si>
    <t>Add lab results (blue columns) to '3. Peat Data' when they return.</t>
  </si>
  <si>
    <t>5</t>
  </si>
  <si>
    <t>OPTIONAL: if the core has been dated, fill '4. Chronology' to get accumulation rates.</t>
  </si>
  <si>
    <t>6</t>
  </si>
  <si>
    <t>Read '5. Plot Summary' and '6. Site Summary'. Both calculate themselves.</t>
  </si>
  <si>
    <t>⚠ IDs MUST MATCH</t>
  </si>
  <si>
    <t>Plot ID joins the Core Log to the Plot &amp; Site Log; Core ID joins the Peat Data and the Chronology to the Core Log. A mismatch means that row's carbon never reaches the summary. Every sheet has a QC flags column that tells you when this happens.</t>
  </si>
  <si>
    <t>UNITS</t>
  </si>
  <si>
    <t>Depths</t>
  </si>
  <si>
    <t>centimetres (cm), measured down from the peat surface</t>
  </si>
  <si>
    <t>Bulk density</t>
  </si>
  <si>
    <t>g/cm³ — oven-dry mass ÷ sample volume (see the basis note on '3. Peat Data')</t>
  </si>
  <si>
    <t>Carbon content</t>
  </si>
  <si>
    <t>per cent of dry mass (%)</t>
  </si>
  <si>
    <t>Carbon stock</t>
  </si>
  <si>
    <t>kg C/m² at core, plot and site level; kg C for totals</t>
  </si>
  <si>
    <t>Accumulation rate</t>
  </si>
  <si>
    <t>g C/m²/yr — note the unit change: 1 kg C/m² per 1,000 yr = 1 g C/m²/yr</t>
  </si>
  <si>
    <t>Age</t>
  </si>
  <si>
    <t>years before the year the core was taken</t>
  </si>
  <si>
    <t>TWO STOCK NUMBERS, AND WHY</t>
  </si>
  <si>
    <t>Full profile</t>
  </si>
  <si>
    <t>Sampled profile: wetland peat to its constructed mineral contact; forest organic mat plus mineral soil to 45 or 60 cm. Deeper forest carbon is unknown.</t>
  </si>
  <si>
    <t>To reference depth</t>
  </si>
  <si>
    <t>Reference window is 0 to 100 cm below ground surface. Forest values cover only the sampled portion of that window and are not complete 1 m stocks.</t>
  </si>
  <si>
    <t>Why both</t>
  </si>
  <si>
    <t>Bansal et al. (2023) found 65% of wetland organic carbon sat between 30 and 120 cm. Report only a shallow fixed depth and you miss most of the store; report only full profiles and cores of different depths cannot be compared. So the workbook gives you both.</t>
  </si>
  <si>
    <t>WHAT'S BEYOND THE PRINTED GUIDE</t>
  </si>
  <si>
    <t>Uncertainty</t>
  </si>
  <si>
    <t>Four conceptual cores, one per plot/site. No site area is assigned and no valid AOI uncertainty interval is supplied.</t>
  </si>
  <si>
    <t>Eq 5 correction</t>
  </si>
  <si>
    <t>H2</t>
  </si>
  <si>
    <t>The guide's printed Eq 5 has its right-hand side in g/cm² and its left-hand side in kg/m². This workbook uses the correct form — summing the kg/m² core values — which is also what the guide's own example spreadsheet does.</t>
  </si>
  <si>
    <t>Carbon fraction</t>
  </si>
  <si>
    <t>Settable on '7. Settings', defaulting to the guide's 0.5. See 'R1. Reference' for why that is a convention rather than a constant.</t>
  </si>
  <si>
    <t>Accumulation rates</t>
  </si>
  <si>
    <t>The guide raises them in its introduction and its glossary but gives no method. '4. Chronology' supplies one — see Part 5 of the workshop.</t>
  </si>
  <si>
    <t>Whole sample / sample volume</t>
  </si>
  <si>
    <t>Yes</t>
  </si>
  <si>
    <t>H7</t>
  </si>
  <si>
    <t>No</t>
  </si>
  <si>
    <t>SIMULATED bog peat; contact at 220 cm; full organic profile sampled.</t>
  </si>
  <si>
    <t>H6</t>
  </si>
  <si>
    <t>CHRONOLOGY</t>
  </si>
  <si>
    <t>OPTIONAL — only if the core has been dated. ONE ROW PER DATED HORIZON. Age is in years BEFORE THE CORING YEAR, not years BP (which is referenced to 1950). The age-depth modelling itself happens in R — see Part 5 — and what you type here are its outputs. Carbon comes from the peat sheet, so nothing is entered twice.</t>
  </si>
  <si>
    <t>Depth (cm)</t>
  </si>
  <si>
    <t>Age (yr before coring)</t>
  </si>
  <si>
    <t>Age ± (yr)</t>
  </si>
  <si>
    <t>Date source</t>
  </si>
  <si>
    <t>Cumulative carbon at depth (kg C/m²)</t>
  </si>
  <si>
    <t>Interval SAR (cm/yr)</t>
  </si>
  <si>
    <t>Interval CAR (g C/m²/yr)</t>
  </si>
  <si>
    <t>_recent</t>
  </si>
  <si>
    <t>_prevdepth</t>
  </si>
  <si>
    <t>SIMULATED fen peat; contact at 160 cm; full organic profile sampled.</t>
  </si>
  <si>
    <t>SIMULATED forest: 6 cm organic mat plus mineral soil sampled to 45 cm; deeper stock unknown.</t>
  </si>
  <si>
    <t>SIMULATED forest: 4 cm organic mat plus mineral soil sampled to 60 cm; deeper stock unknown.</t>
  </si>
  <si>
    <t>PLOT SUMMARY</t>
  </si>
  <si>
    <t>Cores in plot</t>
  </si>
  <si>
    <t>Sampled soil stock (kg C/m²)</t>
  </si>
  <si>
    <t>Vegetation carbon (kg C/m²)</t>
  </si>
  <si>
    <t>Soil plus entered vegetation (kg C/m²)</t>
  </si>
  <si>
    <t>_num</t>
  </si>
  <si>
    <t>_inc</t>
  </si>
  <si>
    <t>H3</t>
  </si>
  <si>
    <t>H4</t>
  </si>
  <si>
    <t>H5</t>
  </si>
  <si>
    <t>SITE SUMMARY</t>
  </si>
  <si>
    <t>SIMULATED. Each site has one conceptual plot. Site areas are intentionally blank, so no landscape carbon totals are calculated. Four cores do not support AOI precision claims.</t>
  </si>
  <si>
    <t>Site area (m²)</t>
  </si>
  <si>
    <t>Plots</t>
  </si>
  <si>
    <t>Mean (kg C/m²)</t>
  </si>
  <si>
    <t>SD</t>
  </si>
  <si>
    <t>Standard error</t>
  </si>
  <si>
    <t>t (two-sided)</t>
  </si>
  <si>
    <t>± half-width (kg C/m²)</t>
  </si>
  <si>
    <t>Achieved margin</t>
  </si>
  <si>
    <t>Target margin</t>
  </si>
  <si>
    <t>Precision</t>
  </si>
  <si>
    <t>Total carbon (kg C)</t>
  </si>
  <si>
    <t>Total (t CO₂e)</t>
  </si>
  <si>
    <t xml:space="preserve">  STUDY AREA — all sites combined, weighted by area</t>
  </si>
  <si>
    <t>Total area (m²)</t>
  </si>
  <si>
    <t>Area-weighted mean (kg C/m²)</t>
  </si>
  <si>
    <t>Basis: sampled soil profiles only; deeper forest carbon is unknown.</t>
  </si>
  <si>
    <t>Reference depth reported alongside:</t>
  </si>
  <si>
    <t>No AOI extrapolation: areas are blank. Forest values cover 45 or 60 cm only; wetland values cover the full constructed peat profile.</t>
  </si>
  <si>
    <t>SETTINGS</t>
  </si>
  <si>
    <t>Everything the calculator assumes lives here. Change it once and every sheet follows.</t>
  </si>
  <si>
    <t>Parameter</t>
  </si>
  <si>
    <t>Value</t>
  </si>
  <si>
    <t>What it does</t>
  </si>
  <si>
    <t>CARBON_FRACTION_OM</t>
  </si>
  <si>
    <t>Fraction of peat organic matter that is carbon, used to convert LOI550 to %C. The peat guide's value. See 'R1. Reference' — published factors run 0.21–0.58 and local calibration against CHN is recommended.</t>
  </si>
  <si>
    <t>OM_FACTOR_IS_LOCAL</t>
  </si>
  <si>
    <t>Set to Yes once you have calibrated the factor above against elemental analysis on a subset of your own samples. Leaving it No raises an advisory flag, not an error.</t>
  </si>
  <si>
    <t>CO2E_FACTOR</t>
  </si>
  <si>
    <t>Multiply kg C by this to report CO₂ equivalents.</t>
  </si>
  <si>
    <t>REFERENCE_DEPTH_CM</t>
  </si>
  <si>
    <t>The fixed depth reported alongside the full profile, so cores of different depths stay comparable. 100 cm is the coastal-carbon convention; 30, 50 and 200 cm are also used.</t>
  </si>
  <si>
    <t>PEATLAND_MIN_DEPTH_CM</t>
  </si>
  <si>
    <t>Organic horizon depth at or above which the guide classes a site as peatland. Cores shallower than this are flagged for interpretation, not rejected.</t>
  </si>
  <si>
    <t>PLOT_AREA_M2</t>
  </si>
  <si>
    <t>Area each plot represents. The peat guide works in 10 × 10 m plots with one coring site per plot.</t>
  </si>
  <si>
    <t>TARGET_MARGIN</t>
  </si>
  <si>
    <t>Precision target set in Part 2, Step 4. ±20% of the mean by default.</t>
  </si>
  <si>
    <t>TARGET_CONFIDENCE</t>
  </si>
  <si>
    <t>Confidence level for the target and for all reported intervals.</t>
  </si>
  <si>
    <t>QC_BD_MIN</t>
  </si>
  <si>
    <t>Minimum plausible bulk density, g/cm³. Set LOW deliberately: surface Sphagnum peat runs 0.02–0.05, and a mineral-soil threshold would reject most real peat.</t>
  </si>
  <si>
    <t>QC_BD_MAX</t>
  </si>
  <si>
    <t>Maximum plausible bulk density for peat, g/cm³. Values above this usually mean the mineral contact has been passed.</t>
  </si>
  <si>
    <t>QC_CARBON_PCT_MAX</t>
  </si>
  <si>
    <t>Flag carbon above this per cent. Peat runs roughly 45–55%; higher usually means organic matter has been entered instead of carbon.</t>
  </si>
  <si>
    <t>QC_RECOVERY_MIN</t>
  </si>
  <si>
    <t>Minimum acceptable ratio of core length recovered to bore depth. Below this, the corer chamber probably did not fill completely.</t>
  </si>
  <si>
    <t>LORCA_MIN</t>
  </si>
  <si>
    <t>Lower sanity bound for long-term accumulation, g C/m²/yr. Published peatland values run roughly 4.6–85.8, mean ~20.</t>
  </si>
  <si>
    <t>LORCA_MAX</t>
  </si>
  <si>
    <t>Upper sanity bound for long-term accumulation, g C/m²/yr.</t>
  </si>
  <si>
    <t>REFERENCE TABLES</t>
  </si>
  <si>
    <t>VON POST HUMIFICATION SCALE</t>
  </si>
  <si>
    <t>Squeeze a handful of wet peat and watch what comes out between your fingers. Subjective, rapid, and the standard field descriptor of how decomposed peat is. Stanek &amp; Silc (1977); Malterer et al. (1992).</t>
  </si>
  <si>
    <t>Class</t>
  </si>
  <si>
    <t>Degree of decomposition</t>
  </si>
  <si>
    <t>What you see when you squeeze it</t>
  </si>
  <si>
    <t>H1</t>
  </si>
  <si>
    <t>Completely undecomposed</t>
  </si>
  <si>
    <t>Clear, colourless water squeezes out. Plant remains easily identifiable.</t>
  </si>
  <si>
    <t>Almost undecomposed</t>
  </si>
  <si>
    <t>Clear, yellowish water. Plant remains still identifiable.</t>
  </si>
  <si>
    <t>Very weakly decomposed</t>
  </si>
  <si>
    <t>Slightly turbid brown water. No peat escapes between the fingers.</t>
  </si>
  <si>
    <t>Weakly decomposed</t>
  </si>
  <si>
    <t>Strongly turbid brown water. No peat escapes. Residue mushy.</t>
  </si>
  <si>
    <t>Moderately decomposed</t>
  </si>
  <si>
    <t>Very turbid water with a little peat escaping. Plant structure evident but indistinct.</t>
  </si>
  <si>
    <t>Fairly well decomposed</t>
  </si>
  <si>
    <t>About one third of the peat escapes between the fingers. Residue very mushy.</t>
  </si>
  <si>
    <t>Strongly decomposed</t>
  </si>
  <si>
    <t>About half escapes. Plant structure barely discernible.</t>
  </si>
  <si>
    <t>H8</t>
  </si>
  <si>
    <t>Very strongly decomposed</t>
  </si>
  <si>
    <t>About two thirds escapes. Only resistant remains, such as roots and fibres, left.</t>
  </si>
  <si>
    <t>H9</t>
  </si>
  <si>
    <t>Almost completely decomposed</t>
  </si>
  <si>
    <t>Nearly all escapes as a fairly uniform paste.</t>
  </si>
  <si>
    <t>H10</t>
  </si>
  <si>
    <t>Completely decomposed</t>
  </si>
  <si>
    <t>All the peat escapes between the fingers. No free water visible.</t>
  </si>
  <si>
    <t>H1–H3 is fibric peat (Oi); H4–H6 hemic, or mucky peat (Oe); H7–H10 sapric, or muck (Oa). Carbon content per unit mass falls as decomposition advances, while bulk density rises.</t>
  </si>
  <si>
    <t>WETLAND TYPES</t>
  </si>
  <si>
    <t>Type</t>
  </si>
  <si>
    <t>Water source</t>
  </si>
  <si>
    <t>Ombrotrophic — rain and snow only</t>
  </si>
  <si>
    <t>Acidic, nutrient-poor. Sphagnum, ericaceous shrubs, stunted black spruce.</t>
  </si>
  <si>
    <t>Minerotrophic — groundwater carrying minerals</t>
  </si>
  <si>
    <t>Less acidic. Sedges, brown mosses, tamarack.</t>
  </si>
  <si>
    <t>Swamp</t>
  </si>
  <si>
    <t>Variable; standing or moving water</t>
  </si>
  <si>
    <t>At least 25% tree cover. Organic depth shallow to very deep. Measure trees too.</t>
  </si>
  <si>
    <t>Marsh</t>
  </si>
  <si>
    <t>Standing or slowly moving surface water</t>
  </si>
  <si>
    <t>Emergent herbaceous vegetation. Often mineral, not peat.</t>
  </si>
  <si>
    <t>Describe it in the notes.</t>
  </si>
  <si>
    <t>PUBLISHED ORGANIC-MATTER → CARBON CONVERSION FACTORS</t>
  </si>
  <si>
    <t>The factor is NOT universal. Bansal et al. (2023) recommend determining a local SOM:SOC ratio on a subset of samples run through BOTH loss-on-ignition and a CHN elemental analyser, and publishing the relationship. The workbook's default is the peat guide's 0.5; change it on '7. Settings' once you have your own.</t>
  </si>
  <si>
    <t>Factor</t>
  </si>
  <si>
    <t>Source</t>
  </si>
  <si>
    <t>System</t>
  </si>
  <si>
    <t>This workshop / WWF peat guide</t>
  </si>
  <si>
    <t>Peat organic matter taken as 50% carbon. The default here.</t>
  </si>
  <si>
    <t>van Bemmelen (historical)</t>
  </si>
  <si>
    <t>Long-standing general factor. Pribyl (2010) considers it too high for many soils.</t>
  </si>
  <si>
    <t>Braun et al. (2020)</t>
  </si>
  <si>
    <t>Freshwater coastal wetlands, Lake Michigan.</t>
  </si>
  <si>
    <t>Ouyang &amp; Lee (2020)</t>
  </si>
  <si>
    <t>Salt marsh.</t>
  </si>
  <si>
    <t>Baustian et al. (2017)</t>
  </si>
  <si>
    <t>All Louisiana soils.</t>
  </si>
  <si>
    <t>Fourqurean et al. (2012)</t>
  </si>
  <si>
    <t>Global seagrass sediments.</t>
  </si>
  <si>
    <t>Mangrove — the low end, and a warning against assuming a universal factor.</t>
  </si>
  <si>
    <t>0.4–0.6</t>
  </si>
  <si>
    <t>Craft et al. (1991)</t>
  </si>
  <si>
    <t>0.4–0.6 depending on organic matter content and soil age, North Carolina salt marsh.</t>
  </si>
  <si>
    <t>PART 1 FIELD BASED OUTPUTS</t>
  </si>
  <si>
    <t>Soil organic carbon only.</t>
  </si>
  <si>
    <t>0–30 cm is the common comparison depth.</t>
  </si>
  <si>
    <t>Sampled totals cover different depths.</t>
  </si>
  <si>
    <t>Figures refresh after running step 06.</t>
  </si>
  <si>
    <t>0–30 cm calculation detail linked to input rows</t>
  </si>
  <si>
    <t>Group</t>
  </si>
  <si>
    <t>Sampled depth (cm)</t>
  </si>
  <si>
    <t>0–30 cm (kg C/m²)</t>
  </si>
  <si>
    <t>0–30 cm (t C/ha)</t>
  </si>
  <si>
    <t>Sampled profile (kg C/m²)</t>
  </si>
  <si>
    <t>Complete 0–100 cm (kg C/m²)</t>
  </si>
  <si>
    <t>Complete to 100 cm?</t>
  </si>
  <si>
    <t>Top cm</t>
  </si>
  <si>
    <t>Bottom cm</t>
  </si>
  <si>
    <t>BD g/cm³</t>
  </si>
  <si>
    <t>Organic C %</t>
  </si>
  <si>
    <t>Overlap cm</t>
  </si>
  <si>
    <t>0–30 cm stock kg C/m²</t>
  </si>
  <si>
    <t>Forest cores</t>
  </si>
  <si>
    <t>Wetland cores</t>
  </si>
  <si>
    <t>DESCRIPTIVE STATISTICS AT 0–30 CM</t>
  </si>
  <si>
    <t>SD: sample standard deviation.</t>
  </si>
  <si>
    <t>CV = SD / mean.</t>
  </si>
  <si>
    <t>Sample summaries only.</t>
  </si>
  <si>
    <t>No AOI estimates or intervals.</t>
  </si>
  <si>
    <t>Number of cores</t>
  </si>
  <si>
    <t>Mean kg C/m²</t>
  </si>
  <si>
    <t>Sample SD kg C/m²</t>
  </si>
  <si>
    <t>CV</t>
  </si>
  <si>
    <t>Mean t C/ha</t>
  </si>
  <si>
    <t xml:space="preserve">  ACCUMULATION RATES — one row per core, calculated from the horizons above</t>
  </si>
  <si>
    <t>LORCA is the whole-profile average: all the carbon in the core divided by the age at its base. RERCA covers only the recent, Pb-210/Cs-137-dated part near the surface. They answer different questions and are not interchangeable — read the flag in the last column before comparing them.</t>
  </si>
  <si>
    <t>Basal age (yr)</t>
  </si>
  <si>
    <t>Profile carbon (kg C/m²)</t>
  </si>
  <si>
    <t>LORCA (g C/m²/yr)</t>
  </si>
  <si>
    <t>Recent horizon depth (cm)</t>
  </si>
  <si>
    <t>Recent horizon age (yr)</t>
  </si>
  <si>
    <t>Carbon above it (kg C/m²)</t>
  </si>
  <si>
    <t>RERCA (g C/m²/yr)</t>
  </si>
  <si>
    <t>RERCA ÷ LORCA</t>
  </si>
  <si>
    <t>PM-01</t>
  </si>
  <si>
    <t>PM-02</t>
  </si>
  <si>
    <t>PM-03</t>
  </si>
  <si>
    <t>FS-01</t>
  </si>
  <si>
    <t>FS-02</t>
  </si>
  <si>
    <t>FS-03</t>
  </si>
  <si>
    <t>FS-04</t>
  </si>
  <si>
    <t>FS_05</t>
  </si>
  <si>
    <t>PM-01-A</t>
  </si>
  <si>
    <t>PM-02-A</t>
  </si>
  <si>
    <t>PM-03-A</t>
  </si>
  <si>
    <t>Mudflat</t>
  </si>
  <si>
    <t>other</t>
  </si>
  <si>
    <t>yes</t>
  </si>
  <si>
    <t>no</t>
  </si>
  <si>
    <t>PM-02-A-1</t>
  </si>
  <si>
    <t>PM-02-A-2</t>
  </si>
  <si>
    <t>PM-03-A-1</t>
  </si>
  <si>
    <t>PM-03-A-2</t>
  </si>
  <si>
    <t>PM-03-A-3</t>
  </si>
  <si>
    <t>PM-03-A-4</t>
  </si>
  <si>
    <t>FS-05</t>
  </si>
  <si>
    <t>FS-05-1</t>
  </si>
  <si>
    <t>FS-05-2</t>
  </si>
  <si>
    <t>FS-05-3</t>
  </si>
  <si>
    <t>FS-04-1</t>
  </si>
  <si>
    <t>FS-04-2</t>
  </si>
  <si>
    <t>FS-04-3</t>
  </si>
  <si>
    <t>FS-03-1</t>
  </si>
  <si>
    <t>FS-03-2</t>
  </si>
  <si>
    <t>FS-03-3</t>
  </si>
  <si>
    <t>FS-02-1</t>
  </si>
  <si>
    <t>FS-02-2</t>
  </si>
  <si>
    <t>FS-02-3</t>
  </si>
  <si>
    <t>FS-01-1</t>
  </si>
  <si>
    <t>FS-01-2</t>
  </si>
  <si>
    <t>FS-01-3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</si>
</sst>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%"/>
  </numFmts>
  <fonts count="15">
    <font>
      <sz val="11"/>
      <color theme="1"/>
      <name val="Calibri"/>
      <scheme val="minor"/>
    </font>
    <font>
      <b/>
      <sz val="14"/>
      <color rgb="FF1B4332"/>
      <name val="Calibri"/>
      <scheme val="minor"/>
    </font>
    <font>
      <b/>
      <sz val="16"/>
      <color rgb="FF1B4332"/>
      <name val="Calibri"/>
      <scheme val="minor"/>
    </font>
    <font>
      <i/>
      <sz val="9"/>
      <color rgb="FF666666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b/>
      <sz val="10"/>
      <color rgb="FF1B4332"/>
      <name val="Calibri"/>
      <scheme val="minor"/>
    </font>
    <font>
      <sz val="11"/>
      <name val="Calibri"/>
    </font>
    <font>
      <b/>
      <sz val="10"/>
      <color theme="1"/>
      <name val="Calibri"/>
      <scheme val="minor"/>
    </font>
    <font>
      <b/>
      <sz val="10"/>
      <color theme="1"/>
      <name val="Consolas"/>
    </font>
    <font>
      <b/>
      <sz val="17"/>
      <color rgb="FF1C4636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Calibri"/>
    </font>
    <font>
      <b/>
      <sz val="13"/>
      <color rgb="FF1C463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4332"/>
        <bgColor rgb="FF1B4332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1C4636"/>
        <bgColor rgb="FF1C463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3" borderId="1" xfId="0" applyFont="1" applyFill="1" applyBorder="1" applyAlignment="1">
      <alignment wrapText="1"/>
    </xf>
    <xf numFmtId="0" fontId="6" fillId="3" borderId="2" xfId="0" applyFont="1" applyFill="1" applyBorder="1"/>
    <xf numFmtId="164" fontId="4" fillId="3" borderId="1" xfId="0" applyNumberFormat="1" applyFont="1" applyFill="1" applyBorder="1" applyAlignment="1">
      <alignment wrapText="1"/>
    </xf>
    <xf numFmtId="0" fontId="6" fillId="4" borderId="2" xfId="0" applyFont="1" applyFill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4" fillId="5" borderId="1" xfId="0" applyFont="1" applyFill="1" applyBorder="1"/>
    <xf numFmtId="2" fontId="4" fillId="4" borderId="1" xfId="0" applyNumberFormat="1" applyFont="1" applyFill="1" applyBorder="1"/>
    <xf numFmtId="2" fontId="4" fillId="5" borderId="1" xfId="0" applyNumberFormat="1" applyFont="1" applyFill="1" applyBorder="1"/>
    <xf numFmtId="0" fontId="4" fillId="5" borderId="1" xfId="0" applyFont="1" applyFill="1" applyBorder="1" applyAlignment="1">
      <alignment wrapText="1"/>
    </xf>
    <xf numFmtId="2" fontId="4" fillId="5" borderId="1" xfId="0" applyNumberFormat="1" applyFont="1" applyFill="1" applyBorder="1" applyAlignment="1">
      <alignment wrapText="1"/>
    </xf>
    <xf numFmtId="2" fontId="4" fillId="3" borderId="1" xfId="0" applyNumberFormat="1" applyFont="1" applyFill="1" applyBorder="1" applyAlignment="1">
      <alignment wrapText="1"/>
    </xf>
    <xf numFmtId="2" fontId="4" fillId="6" borderId="1" xfId="0" applyNumberFormat="1" applyFont="1" applyFill="1" applyBorder="1" applyAlignment="1">
      <alignment wrapText="1"/>
    </xf>
    <xf numFmtId="0" fontId="4" fillId="6" borderId="1" xfId="0" applyFont="1" applyFill="1" applyBorder="1"/>
    <xf numFmtId="0" fontId="4" fillId="4" borderId="1" xfId="0" applyFont="1" applyFill="1" applyBorder="1"/>
    <xf numFmtId="9" fontId="4" fillId="5" borderId="1" xfId="0" applyNumberFormat="1" applyFont="1" applyFill="1" applyBorder="1" applyAlignment="1">
      <alignment wrapText="1"/>
    </xf>
    <xf numFmtId="0" fontId="8" fillId="6" borderId="1" xfId="0" applyFont="1" applyFill="1" applyBorder="1"/>
    <xf numFmtId="0" fontId="3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9" fillId="0" borderId="0" xfId="0" applyFont="1"/>
    <xf numFmtId="0" fontId="4" fillId="0" borderId="1" xfId="0" applyFont="1" applyBorder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3" fillId="8" borderId="6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2" fontId="11" fillId="0" borderId="6" xfId="0" applyNumberFormat="1" applyFont="1" applyBorder="1" applyAlignment="1">
      <alignment wrapText="1"/>
    </xf>
    <xf numFmtId="0" fontId="11" fillId="0" borderId="6" xfId="0" applyFont="1" applyBorder="1"/>
    <xf numFmtId="165" fontId="11" fillId="0" borderId="6" xfId="0" applyNumberFormat="1" applyFont="1" applyBorder="1"/>
    <xf numFmtId="0" fontId="14" fillId="0" borderId="0" xfId="0" applyFont="1"/>
    <xf numFmtId="2" fontId="11" fillId="0" borderId="6" xfId="0" applyNumberFormat="1" applyFont="1" applyBorder="1"/>
    <xf numFmtId="166" fontId="11" fillId="0" borderId="6" xfId="0" applyNumberFormat="1" applyFont="1" applyBorder="1"/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6" fillId="6" borderId="3" xfId="0" applyFont="1" applyFill="1" applyBorder="1" applyAlignment="1">
      <alignment vertical="center"/>
    </xf>
    <xf numFmtId="0" fontId="7" fillId="0" borderId="4" xfId="0" applyFont="1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8572500" cy="4762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8572500" cy="5143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0</xdr:rowOff>
    </xdr:from>
    <xdr:ext cx="8572500" cy="57150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53125" defaultRowHeight="15" customHeight="1"/>
  <cols>
    <col min="1" max="1" width="27" customWidth="1"/>
    <col min="2" max="2" width="104" customWidth="1"/>
    <col min="3" max="26" width="8.7265625" customWidth="1"/>
  </cols>
  <sheetData>
    <row r="1" spans="1:2" ht="21">
      <c r="A1" s="2" t="s">
        <v>3</v>
      </c>
      <c r="B1" s="3" t="s">
        <v>7</v>
      </c>
    </row>
    <row r="2" spans="1:2" ht="14.5">
      <c r="A2" s="4" t="s">
        <v>7</v>
      </c>
      <c r="B2" s="3" t="s">
        <v>10</v>
      </c>
    </row>
    <row r="3" spans="1:2" ht="14.5">
      <c r="A3" s="4" t="s">
        <v>7</v>
      </c>
      <c r="B3" s="3" t="s">
        <v>7</v>
      </c>
    </row>
    <row r="4" spans="1:2" ht="26">
      <c r="A4" s="6" t="s">
        <v>11</v>
      </c>
      <c r="B4" s="3" t="s">
        <v>15</v>
      </c>
    </row>
    <row r="5" spans="1:2" ht="14.5">
      <c r="A5" s="4" t="s">
        <v>7</v>
      </c>
      <c r="B5" s="3" t="s">
        <v>7</v>
      </c>
    </row>
    <row r="6" spans="1:2" ht="14.5">
      <c r="A6" s="6" t="s">
        <v>23</v>
      </c>
      <c r="B6" s="3" t="s">
        <v>7</v>
      </c>
    </row>
    <row r="7" spans="1:2" ht="14.5">
      <c r="A7" s="8" t="s">
        <v>34</v>
      </c>
      <c r="B7" s="3" t="s">
        <v>45</v>
      </c>
    </row>
    <row r="8" spans="1:2" ht="14.5">
      <c r="A8" s="10" t="s">
        <v>48</v>
      </c>
      <c r="B8" s="3" t="s">
        <v>55</v>
      </c>
    </row>
    <row r="9" spans="1:2" ht="14.5">
      <c r="A9" s="11" t="s">
        <v>61</v>
      </c>
      <c r="B9" s="3" t="s">
        <v>68</v>
      </c>
    </row>
    <row r="10" spans="1:2" ht="14.5">
      <c r="A10" s="12" t="s">
        <v>71</v>
      </c>
      <c r="B10" s="3" t="s">
        <v>72</v>
      </c>
    </row>
    <row r="11" spans="1:2" ht="14.5">
      <c r="A11" s="13" t="s">
        <v>74</v>
      </c>
      <c r="B11" s="3" t="s">
        <v>75</v>
      </c>
    </row>
    <row r="12" spans="1:2" ht="14.5">
      <c r="A12" s="4" t="s">
        <v>7</v>
      </c>
      <c r="B12" s="3" t="s">
        <v>7</v>
      </c>
    </row>
    <row r="13" spans="1:2" ht="14.5">
      <c r="A13" s="6" t="s">
        <v>77</v>
      </c>
      <c r="B13" s="3" t="s">
        <v>7</v>
      </c>
    </row>
    <row r="14" spans="1:2" ht="14.5">
      <c r="A14" s="4" t="s">
        <v>78</v>
      </c>
      <c r="B14" s="3" t="s">
        <v>79</v>
      </c>
    </row>
    <row r="15" spans="1:2" ht="14.5">
      <c r="A15" s="4" t="s">
        <v>80</v>
      </c>
      <c r="B15" s="3" t="s">
        <v>81</v>
      </c>
    </row>
    <row r="16" spans="1:2" ht="14.5">
      <c r="A16" s="4" t="s">
        <v>82</v>
      </c>
      <c r="B16" s="3" t="s">
        <v>83</v>
      </c>
    </row>
    <row r="17" spans="1:2" ht="14.5">
      <c r="A17" s="4" t="s">
        <v>84</v>
      </c>
      <c r="B17" s="3" t="s">
        <v>85</v>
      </c>
    </row>
    <row r="18" spans="1:2" ht="14.5">
      <c r="A18" s="4" t="s">
        <v>86</v>
      </c>
      <c r="B18" s="3" t="s">
        <v>87</v>
      </c>
    </row>
    <row r="19" spans="1:2" ht="14.5">
      <c r="A19" s="4" t="s">
        <v>88</v>
      </c>
      <c r="B19" s="3" t="s">
        <v>89</v>
      </c>
    </row>
    <row r="20" spans="1:2" ht="14.5">
      <c r="A20" s="4" t="s">
        <v>7</v>
      </c>
      <c r="B20" s="3" t="s">
        <v>7</v>
      </c>
    </row>
    <row r="21" spans="1:2" ht="15.75" customHeight="1">
      <c r="A21" s="13" t="s">
        <v>90</v>
      </c>
      <c r="B21" s="3" t="s">
        <v>91</v>
      </c>
    </row>
    <row r="22" spans="1:2" ht="15.75" customHeight="1">
      <c r="A22" s="4" t="s">
        <v>7</v>
      </c>
      <c r="B22" s="3" t="s">
        <v>7</v>
      </c>
    </row>
    <row r="23" spans="1:2" ht="15.75" customHeight="1">
      <c r="A23" s="6" t="s">
        <v>92</v>
      </c>
      <c r="B23" s="3" t="s">
        <v>7</v>
      </c>
    </row>
    <row r="24" spans="1:2" ht="15.75" customHeight="1">
      <c r="A24" s="6" t="s">
        <v>93</v>
      </c>
      <c r="B24" s="3" t="s">
        <v>94</v>
      </c>
    </row>
    <row r="25" spans="1:2" ht="15.75" customHeight="1">
      <c r="A25" s="6" t="s">
        <v>95</v>
      </c>
      <c r="B25" s="3" t="s">
        <v>96</v>
      </c>
    </row>
    <row r="26" spans="1:2" ht="15.75" customHeight="1">
      <c r="A26" s="6" t="s">
        <v>97</v>
      </c>
      <c r="B26" s="3" t="s">
        <v>98</v>
      </c>
    </row>
    <row r="27" spans="1:2" ht="15.75" customHeight="1">
      <c r="A27" s="6" t="s">
        <v>99</v>
      </c>
      <c r="B27" s="3" t="s">
        <v>100</v>
      </c>
    </row>
    <row r="28" spans="1:2" ht="15.75" customHeight="1">
      <c r="A28" s="6" t="s">
        <v>101</v>
      </c>
      <c r="B28" s="3" t="s">
        <v>102</v>
      </c>
    </row>
    <row r="29" spans="1:2" ht="15.75" customHeight="1">
      <c r="A29" s="6" t="s">
        <v>103</v>
      </c>
      <c r="B29" s="3" t="s">
        <v>104</v>
      </c>
    </row>
    <row r="30" spans="1:2" ht="15.75" customHeight="1">
      <c r="A30" s="4" t="s">
        <v>7</v>
      </c>
      <c r="B30" s="3" t="s">
        <v>7</v>
      </c>
    </row>
    <row r="31" spans="1:2" ht="15.75" customHeight="1">
      <c r="A31" s="6" t="s">
        <v>105</v>
      </c>
      <c r="B31" s="3" t="s">
        <v>7</v>
      </c>
    </row>
    <row r="32" spans="1:2" ht="15.75" customHeight="1">
      <c r="A32" s="6" t="s">
        <v>106</v>
      </c>
      <c r="B32" s="3" t="s">
        <v>107</v>
      </c>
    </row>
    <row r="33" spans="1:2" ht="15.75" customHeight="1">
      <c r="A33" s="6" t="s">
        <v>108</v>
      </c>
      <c r="B33" s="3" t="s">
        <v>109</v>
      </c>
    </row>
    <row r="34" spans="1:2" ht="15.75" customHeight="1">
      <c r="A34" s="6" t="s">
        <v>110</v>
      </c>
      <c r="B34" s="3" t="s">
        <v>111</v>
      </c>
    </row>
    <row r="35" spans="1:2" ht="15.75" customHeight="1">
      <c r="A35" s="4" t="s">
        <v>7</v>
      </c>
      <c r="B35" s="3" t="s">
        <v>7</v>
      </c>
    </row>
    <row r="36" spans="1:2" ht="15.75" customHeight="1">
      <c r="A36" s="6" t="s">
        <v>112</v>
      </c>
      <c r="B36" s="3" t="s">
        <v>7</v>
      </c>
    </row>
    <row r="37" spans="1:2" ht="15.75" customHeight="1">
      <c r="A37" s="6" t="s">
        <v>113</v>
      </c>
      <c r="B37" s="3" t="s">
        <v>114</v>
      </c>
    </row>
    <row r="38" spans="1:2" ht="15.75" customHeight="1">
      <c r="A38" s="6" t="s">
        <v>115</v>
      </c>
      <c r="B38" s="3" t="s">
        <v>117</v>
      </c>
    </row>
    <row r="39" spans="1:2" ht="15.75" customHeight="1">
      <c r="A39" s="6" t="s">
        <v>118</v>
      </c>
      <c r="B39" s="3" t="s">
        <v>119</v>
      </c>
    </row>
    <row r="40" spans="1:2" ht="15.75" customHeight="1">
      <c r="A40" s="6" t="s">
        <v>120</v>
      </c>
      <c r="B40" s="3" t="s">
        <v>121</v>
      </c>
    </row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:B12"/>
    </sheetView>
  </sheetViews>
  <sheetFormatPr defaultColWidth="14.453125" defaultRowHeight="15" customHeight="1"/>
  <cols>
    <col min="1" max="1" width="13" customWidth="1"/>
    <col min="2" max="2" width="7.26953125" bestFit="1" customWidth="1"/>
    <col min="3" max="3" width="12" customWidth="1"/>
    <col min="4" max="4" width="11" customWidth="1"/>
    <col min="5" max="5" width="20" customWidth="1"/>
    <col min="6" max="7" width="11" customWidth="1"/>
    <col min="8" max="8" width="12" customWidth="1"/>
    <col min="9" max="9" width="10" customWidth="1"/>
    <col min="10" max="10" width="11" customWidth="1"/>
    <col min="11" max="12" width="13" customWidth="1"/>
    <col min="13" max="13" width="16" customWidth="1"/>
    <col min="14" max="14" width="13" customWidth="1"/>
    <col min="15" max="15" width="12" customWidth="1"/>
    <col min="16" max="16" width="32" customWidth="1"/>
    <col min="17" max="26" width="8.7265625" customWidth="1"/>
  </cols>
  <sheetData>
    <row r="1" spans="1:16" ht="18.5">
      <c r="A1" s="1" t="s">
        <v>0</v>
      </c>
    </row>
    <row r="2" spans="1:16" ht="54" customHeight="1">
      <c r="A2" s="43" t="s">
        <v>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4" spans="1:16" ht="42" customHeight="1">
      <c r="A4" s="5" t="s">
        <v>8</v>
      </c>
      <c r="B4" s="5" t="s">
        <v>12</v>
      </c>
      <c r="C4" s="5" t="s">
        <v>13</v>
      </c>
      <c r="D4" s="5" t="s">
        <v>14</v>
      </c>
      <c r="E4" s="5" t="s">
        <v>16</v>
      </c>
      <c r="F4" s="5" t="s">
        <v>18</v>
      </c>
      <c r="G4" s="5" t="s">
        <v>19</v>
      </c>
      <c r="H4" s="5" t="s">
        <v>21</v>
      </c>
      <c r="I4" s="5" t="s">
        <v>22</v>
      </c>
      <c r="J4" s="5" t="s">
        <v>24</v>
      </c>
      <c r="K4" s="5" t="s">
        <v>26</v>
      </c>
      <c r="L4" s="5" t="s">
        <v>27</v>
      </c>
      <c r="M4" s="5" t="s">
        <v>29</v>
      </c>
      <c r="N4" s="5" t="s">
        <v>30</v>
      </c>
      <c r="O4" s="5" t="s">
        <v>31</v>
      </c>
      <c r="P4" s="5" t="s">
        <v>32</v>
      </c>
    </row>
    <row r="5" spans="1:16" ht="73.5" customHeight="1">
      <c r="A5" s="7" t="s">
        <v>312</v>
      </c>
      <c r="B5" s="7" t="s">
        <v>320</v>
      </c>
      <c r="C5" s="7"/>
      <c r="D5" s="9"/>
      <c r="E5" s="7"/>
      <c r="F5" s="42">
        <v>56.098574999999997</v>
      </c>
      <c r="G5" s="42">
        <v>-87.679779999999994</v>
      </c>
      <c r="H5" s="7"/>
      <c r="I5" s="7" t="s">
        <v>58</v>
      </c>
      <c r="J5" s="7"/>
      <c r="K5" s="7" t="s">
        <v>323</v>
      </c>
      <c r="L5" s="7"/>
      <c r="M5" s="7"/>
      <c r="N5" s="7"/>
      <c r="O5" s="7">
        <v>100</v>
      </c>
      <c r="P5" s="7"/>
    </row>
    <row r="6" spans="1:16" ht="73.5" customHeight="1">
      <c r="A6" s="7" t="s">
        <v>313</v>
      </c>
      <c r="B6" s="7" t="s">
        <v>321</v>
      </c>
      <c r="C6" s="7"/>
      <c r="D6" s="9"/>
      <c r="E6" s="7"/>
      <c r="F6" s="42">
        <v>56.099636099999998</v>
      </c>
      <c r="G6" s="42">
        <v>-87.650639999999996</v>
      </c>
      <c r="H6" s="7"/>
      <c r="I6" s="7" t="s">
        <v>58</v>
      </c>
      <c r="J6" s="7"/>
      <c r="K6" s="7" t="s">
        <v>60</v>
      </c>
      <c r="L6" s="7"/>
      <c r="M6" s="7"/>
      <c r="N6" s="7"/>
      <c r="O6" s="7">
        <v>100</v>
      </c>
      <c r="P6" s="7"/>
    </row>
    <row r="7" spans="1:16" ht="73.5" customHeight="1">
      <c r="A7" s="7" t="s">
        <v>314</v>
      </c>
      <c r="B7" s="7" t="s">
        <v>322</v>
      </c>
      <c r="C7" s="7"/>
      <c r="D7" s="9"/>
      <c r="E7" s="7"/>
      <c r="F7" s="42">
        <v>56.110355599999998</v>
      </c>
      <c r="G7" s="42">
        <v>-87.678389999999993</v>
      </c>
      <c r="H7" s="7"/>
      <c r="I7" s="7" t="s">
        <v>58</v>
      </c>
      <c r="J7" s="7"/>
      <c r="K7" s="7" t="s">
        <v>60</v>
      </c>
      <c r="L7" s="7"/>
      <c r="M7" s="7"/>
      <c r="N7" s="7"/>
      <c r="O7" s="7">
        <v>100</v>
      </c>
      <c r="P7" s="7"/>
    </row>
    <row r="8" spans="1:16" ht="73.5" customHeight="1">
      <c r="A8" s="7" t="s">
        <v>315</v>
      </c>
      <c r="B8" s="7" t="s">
        <v>315</v>
      </c>
      <c r="C8" s="7"/>
      <c r="D8" s="9"/>
      <c r="E8" s="7"/>
      <c r="F8" s="42">
        <v>55.965998999999996</v>
      </c>
      <c r="G8" s="42">
        <v>-87.628200000000007</v>
      </c>
      <c r="H8" s="7"/>
      <c r="I8" s="7" t="s">
        <v>58</v>
      </c>
      <c r="J8" s="7"/>
      <c r="K8" s="7" t="s">
        <v>324</v>
      </c>
      <c r="L8" s="7"/>
      <c r="M8" s="7"/>
      <c r="N8" s="7"/>
      <c r="O8" s="7">
        <v>100</v>
      </c>
      <c r="P8" s="7"/>
    </row>
    <row r="9" spans="1:16" ht="14.5">
      <c r="A9" s="14" t="s">
        <v>316</v>
      </c>
      <c r="B9" s="14" t="s">
        <v>316</v>
      </c>
      <c r="C9" s="14"/>
      <c r="D9" s="14"/>
      <c r="E9" s="14"/>
      <c r="F9" s="42">
        <v>55.992610999999997</v>
      </c>
      <c r="G9" s="42">
        <v>-87.628249999999994</v>
      </c>
      <c r="H9" s="14"/>
      <c r="I9" s="7" t="s">
        <v>58</v>
      </c>
      <c r="J9" s="14"/>
      <c r="K9" s="14" t="s">
        <v>324</v>
      </c>
      <c r="L9" s="14"/>
      <c r="M9" s="14"/>
      <c r="N9" s="14"/>
      <c r="O9" s="14"/>
      <c r="P9" s="14"/>
    </row>
    <row r="10" spans="1:16" ht="14.5">
      <c r="A10" s="14" t="s">
        <v>317</v>
      </c>
      <c r="B10" s="14" t="s">
        <v>317</v>
      </c>
      <c r="C10" s="14"/>
      <c r="D10" s="14"/>
      <c r="E10" s="14"/>
      <c r="F10" s="42">
        <v>56.128917000000001</v>
      </c>
      <c r="G10" s="42">
        <v>-87.871809999999996</v>
      </c>
      <c r="H10" s="14"/>
      <c r="I10" s="7" t="s">
        <v>58</v>
      </c>
      <c r="J10" s="14"/>
      <c r="K10" s="14" t="s">
        <v>324</v>
      </c>
      <c r="L10" s="14"/>
      <c r="M10" s="14"/>
      <c r="N10" s="14"/>
      <c r="O10" s="14"/>
      <c r="P10" s="14"/>
    </row>
    <row r="11" spans="1:16" ht="14.5">
      <c r="A11" s="14" t="s">
        <v>318</v>
      </c>
      <c r="B11" s="14" t="s">
        <v>317</v>
      </c>
      <c r="C11" s="14"/>
      <c r="D11" s="14"/>
      <c r="E11" s="14"/>
      <c r="F11" s="42">
        <v>56.074278</v>
      </c>
      <c r="G11" s="42">
        <v>-87.795559999999995</v>
      </c>
      <c r="H11" s="14"/>
      <c r="I11" s="7" t="s">
        <v>58</v>
      </c>
      <c r="J11" s="14"/>
      <c r="K11" s="14" t="s">
        <v>324</v>
      </c>
      <c r="L11" s="14"/>
      <c r="M11" s="14"/>
      <c r="N11" s="14"/>
      <c r="O11" s="14"/>
      <c r="P11" s="14"/>
    </row>
    <row r="12" spans="1:16" ht="14.5">
      <c r="A12" s="14" t="s">
        <v>319</v>
      </c>
      <c r="B12" s="14" t="s">
        <v>319</v>
      </c>
      <c r="C12" s="14"/>
      <c r="D12" s="14"/>
      <c r="E12" s="14"/>
      <c r="F12" s="42">
        <v>56.079388999999999</v>
      </c>
      <c r="G12" s="42">
        <v>-87.756219999999999</v>
      </c>
      <c r="H12" s="14"/>
      <c r="I12" s="7" t="s">
        <v>58</v>
      </c>
      <c r="J12" s="14"/>
      <c r="K12" s="14" t="s">
        <v>324</v>
      </c>
      <c r="L12" s="14"/>
      <c r="M12" s="14"/>
      <c r="N12" s="14"/>
      <c r="O12" s="14"/>
      <c r="P12" s="14"/>
    </row>
    <row r="13" spans="1:16" ht="14.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ht="14.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4.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ht="14.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ht="14.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ht="14.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ht="14.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14.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</row>
    <row r="58" spans="1:1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</row>
    <row r="60" spans="1:1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</row>
    <row r="62" spans="1:1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</row>
    <row r="63" spans="1:1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</row>
    <row r="64" spans="1:1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P2"/>
  </mergeCells>
  <dataValidations count="2">
    <dataValidation type="list" allowBlank="1" sqref="O5:O64" xr:uid="{00000000-0002-0000-0100-000000000000}">
      <formula1>"1,4,16,25,100,400"</formula1>
    </dataValidation>
    <dataValidation type="list" allowBlank="1" sqref="L5:L64" xr:uid="{00000000-0002-0000-0100-000001000000}">
      <formula1>"Hummock,Hollow,Lawn,Carpet,Not recorded"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7" sqref="E7"/>
    </sheetView>
  </sheetViews>
  <sheetFormatPr defaultColWidth="14.453125" defaultRowHeight="15" customHeight="1"/>
  <cols>
    <col min="1" max="2" width="13" customWidth="1"/>
    <col min="3" max="5" width="11" customWidth="1"/>
    <col min="6" max="6" width="10" customWidth="1"/>
    <col min="7" max="7" width="12" customWidth="1"/>
    <col min="8" max="8" width="14" customWidth="1"/>
    <col min="9" max="9" width="13" customWidth="1"/>
    <col min="10" max="10" width="11" customWidth="1"/>
    <col min="11" max="12" width="14" customWidth="1"/>
    <col min="13" max="13" width="12" customWidth="1"/>
    <col min="14" max="15" width="13" customWidth="1"/>
    <col min="16" max="16" width="11" customWidth="1"/>
    <col min="17" max="17" width="14" customWidth="1"/>
    <col min="18" max="19" width="16" customWidth="1"/>
    <col min="20" max="20" width="14" customWidth="1"/>
    <col min="21" max="21" width="46" customWidth="1"/>
    <col min="22" max="22" width="26" customWidth="1"/>
    <col min="23" max="26" width="8.7265625" customWidth="1"/>
  </cols>
  <sheetData>
    <row r="1" spans="1:22" ht="18.5">
      <c r="A1" s="1" t="s">
        <v>1</v>
      </c>
    </row>
    <row r="2" spans="1:22" ht="54" customHeight="1">
      <c r="A2" s="43" t="s">
        <v>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4" spans="1:22" ht="42" customHeight="1">
      <c r="A4" s="5" t="s">
        <v>9</v>
      </c>
      <c r="B4" s="5" t="s">
        <v>8</v>
      </c>
      <c r="C4" s="5" t="s">
        <v>18</v>
      </c>
      <c r="D4" s="5" t="s">
        <v>19</v>
      </c>
      <c r="E4" s="5" t="s">
        <v>38</v>
      </c>
      <c r="F4" s="5" t="s">
        <v>40</v>
      </c>
      <c r="G4" s="5" t="s">
        <v>42</v>
      </c>
      <c r="H4" s="5" t="s">
        <v>44</v>
      </c>
      <c r="I4" s="5" t="s">
        <v>46</v>
      </c>
      <c r="J4" s="5" t="s">
        <v>47</v>
      </c>
      <c r="K4" s="5" t="s">
        <v>49</v>
      </c>
      <c r="L4" s="5" t="s">
        <v>50</v>
      </c>
      <c r="M4" s="5" t="s">
        <v>52</v>
      </c>
      <c r="N4" s="5" t="s">
        <v>53</v>
      </c>
      <c r="O4" s="5" t="s">
        <v>56</v>
      </c>
      <c r="P4" s="5" t="s">
        <v>59</v>
      </c>
      <c r="Q4" s="5" t="s">
        <v>62</v>
      </c>
      <c r="R4" s="5" t="s">
        <v>64</v>
      </c>
      <c r="S4" s="5" t="s">
        <v>66</v>
      </c>
      <c r="T4" s="5" t="s">
        <v>69</v>
      </c>
      <c r="U4" s="5" t="s">
        <v>70</v>
      </c>
      <c r="V4" s="5" t="s">
        <v>32</v>
      </c>
    </row>
    <row r="5" spans="1:22" ht="69.75" customHeight="1">
      <c r="A5" s="7" t="s">
        <v>320</v>
      </c>
      <c r="B5" s="7" t="s">
        <v>320</v>
      </c>
      <c r="C5" s="42">
        <v>56.098574999999997</v>
      </c>
      <c r="D5" s="42">
        <v>-87.679779999999994</v>
      </c>
      <c r="E5" s="15"/>
      <c r="F5" s="14">
        <v>1</v>
      </c>
      <c r="G5" s="14">
        <v>14.5</v>
      </c>
      <c r="H5" s="14">
        <v>14.5</v>
      </c>
      <c r="I5" s="14">
        <v>0</v>
      </c>
      <c r="J5" s="16">
        <f t="shared" ref="J5:J124" si="0">IF(OR($G5="",$H5="",$G5=0),"",$H5/$G5)</f>
        <v>1</v>
      </c>
      <c r="K5" s="14">
        <v>1</v>
      </c>
      <c r="L5" s="14" t="s">
        <v>123</v>
      </c>
      <c r="M5" s="14"/>
      <c r="N5" s="14"/>
      <c r="O5" s="14"/>
      <c r="P5" s="14" t="s">
        <v>125</v>
      </c>
      <c r="Q5" s="16">
        <f>IF($A5="","",IF(SUMPRODUCT(MAX((community_cores_FS!$B$5:$B$597=$A5)*community_cores_FS!$F$5:$F$597))=0,"",SUMPRODUCT(MAX((community_cores_FS!$B$5:$B$597=$A5)*community_cores_FS!$F$5:$F$597))))</f>
        <v>14.5</v>
      </c>
      <c r="R5" s="18">
        <f>IF($A5="","",IFERROR(SUMIFS(community_cores_FS!$P$5:$P$597,community_cores_FS!$B$5:$B$597,$A5),""))</f>
        <v>3.0578034999999999</v>
      </c>
      <c r="S5" s="18">
        <f>IF($A5="","",IFERROR(SUMIFS(community_cores_FS!$Q$5:$Q$597,community_cores_FS!$B$5:$B$597,$A5),""))</f>
        <v>3.0578034999999999</v>
      </c>
      <c r="T5" s="16" t="str">
        <f t="shared" ref="T5:T36" si="1">IF(NOT(ISNUMBER($Q5)),"",IF($Q5&gt;=REFERENCE_DEPTH_CM,"Yes","No"))</f>
        <v>No</v>
      </c>
      <c r="U5" s="19"/>
      <c r="V5" s="7" t="s">
        <v>126</v>
      </c>
    </row>
    <row r="6" spans="1:22" ht="69.75" customHeight="1">
      <c r="A6" s="7" t="s">
        <v>321</v>
      </c>
      <c r="B6" s="7" t="s">
        <v>321</v>
      </c>
      <c r="C6" s="42">
        <v>56.099636099999998</v>
      </c>
      <c r="D6" s="42">
        <v>-87.650639999999996</v>
      </c>
      <c r="E6" s="15"/>
      <c r="F6" s="14">
        <v>1</v>
      </c>
      <c r="G6" s="14">
        <v>20.7</v>
      </c>
      <c r="H6" s="14">
        <v>20.7</v>
      </c>
      <c r="I6" s="14">
        <v>0</v>
      </c>
      <c r="J6" s="16">
        <f t="shared" si="0"/>
        <v>1</v>
      </c>
      <c r="K6" s="14">
        <v>20.7</v>
      </c>
      <c r="L6" s="14" t="s">
        <v>123</v>
      </c>
      <c r="M6" s="14"/>
      <c r="N6" s="14"/>
      <c r="O6" s="14"/>
      <c r="P6" s="14" t="s">
        <v>125</v>
      </c>
      <c r="Q6" s="16">
        <f>IF($A6="","",IF(SUMPRODUCT(MAX((community_cores_FS!$B$5:$B$597=$A6)*community_cores_FS!$F$5:$F$597))=0,"",SUMPRODUCT(MAX((community_cores_FS!$B$5:$B$597=$A6)*community_cores_FS!$F$5:$F$597))))</f>
        <v>20.7</v>
      </c>
      <c r="R6" s="18">
        <f>IF($A6="","",IFERROR(SUMIFS(community_cores_FS!$P$5:$P$597,community_cores_FS!$B$5:$B$597,$A6),""))</f>
        <v>3.0833444999999995</v>
      </c>
      <c r="S6" s="18">
        <f>IF($A6="","",IFERROR(SUMIFS(community_cores_FS!$Q$5:$Q$597,community_cores_FS!$B$5:$B$597,$A6),""))</f>
        <v>3.0833444999999995</v>
      </c>
      <c r="T6" s="16" t="str">
        <f t="shared" si="1"/>
        <v>No</v>
      </c>
      <c r="U6" s="19"/>
      <c r="V6" s="7" t="s">
        <v>139</v>
      </c>
    </row>
    <row r="7" spans="1:22" ht="69.75" customHeight="1">
      <c r="A7" s="7" t="s">
        <v>322</v>
      </c>
      <c r="B7" s="7" t="s">
        <v>322</v>
      </c>
      <c r="C7" s="42">
        <v>56.110355599999998</v>
      </c>
      <c r="D7" s="42">
        <v>-87.678389999999993</v>
      </c>
      <c r="E7" s="15"/>
      <c r="F7" s="14">
        <v>1</v>
      </c>
      <c r="G7" s="14">
        <v>30.725000000000001</v>
      </c>
      <c r="H7" s="14">
        <v>30.725000000000001</v>
      </c>
      <c r="I7" s="14">
        <v>0</v>
      </c>
      <c r="J7" s="16">
        <f t="shared" si="0"/>
        <v>1</v>
      </c>
      <c r="K7" s="14">
        <v>30.375</v>
      </c>
      <c r="L7" s="14" t="s">
        <v>123</v>
      </c>
      <c r="M7" s="14"/>
      <c r="N7" s="14"/>
      <c r="O7" s="14"/>
      <c r="P7" s="14" t="s">
        <v>125</v>
      </c>
      <c r="Q7" s="16">
        <f>IF($A7="","",IF(SUMPRODUCT(MAX((community_cores_FS!$B$5:$B$597=$A7)*community_cores_FS!$F$5:$F$597))=0,"",SUMPRODUCT(MAX((community_cores_FS!$B$5:$B$597=$A7)*community_cores_FS!$F$5:$F$597))))</f>
        <v>30.725000000000001</v>
      </c>
      <c r="R7" s="18">
        <f>IF($A7="","",IFERROR(SUMIFS(community_cores_FS!$P$5:$P$597,community_cores_FS!$B$5:$B$597,$A7),""))</f>
        <v>10.108268225000002</v>
      </c>
      <c r="S7" s="18">
        <f>IF($A7="","",IFERROR(SUMIFS(community_cores_FS!$Q$5:$Q$597,community_cores_FS!$B$5:$B$597,$A7),""))</f>
        <v>10.108268225000002</v>
      </c>
      <c r="T7" s="16" t="str">
        <f t="shared" si="1"/>
        <v>No</v>
      </c>
      <c r="U7" s="19"/>
      <c r="V7" s="7" t="s">
        <v>140</v>
      </c>
    </row>
    <row r="8" spans="1:22" ht="69.75" customHeight="1">
      <c r="A8" s="7" t="s">
        <v>315</v>
      </c>
      <c r="B8" s="7" t="s">
        <v>315</v>
      </c>
      <c r="C8" s="42">
        <v>55.965998999999996</v>
      </c>
      <c r="D8" s="42">
        <v>-87.628200000000007</v>
      </c>
      <c r="E8" s="15"/>
      <c r="F8" s="14">
        <v>1</v>
      </c>
      <c r="G8" s="14">
        <v>30</v>
      </c>
      <c r="H8" s="14">
        <v>30</v>
      </c>
      <c r="I8" s="14">
        <v>0</v>
      </c>
      <c r="J8" s="16">
        <f t="shared" si="0"/>
        <v>1</v>
      </c>
      <c r="K8" s="14">
        <v>4</v>
      </c>
      <c r="L8" s="14" t="s">
        <v>123</v>
      </c>
      <c r="M8" s="14"/>
      <c r="N8" s="14"/>
      <c r="O8" s="14"/>
      <c r="P8" s="14" t="s">
        <v>125</v>
      </c>
      <c r="Q8" s="16">
        <f>IF($A8="","",IF(SUMPRODUCT(MAX((community_cores_FS!$B$5:$B$597=$A8)*community_cores_FS!$F$5:$F$597))=0,"",SUMPRODUCT(MAX((community_cores_FS!$B$5:$B$597=$A8)*community_cores_FS!$F$5:$F$597))))</f>
        <v>30</v>
      </c>
      <c r="R8" s="18">
        <f>IF($A8="","",IFERROR(SUMIFS(community_cores_FS!$P$5:$P$597,community_cores_FS!$B$5:$B$597,$A8),""))</f>
        <v>14.263004583199999</v>
      </c>
      <c r="S8" s="18">
        <f>IF($A8="","",IFERROR(SUMIFS(community_cores_FS!$Q$5:$Q$597,community_cores_FS!$B$5:$B$597,$A8),""))</f>
        <v>14.263004583199999</v>
      </c>
      <c r="T8" s="16" t="str">
        <f t="shared" si="1"/>
        <v>No</v>
      </c>
      <c r="U8" s="19"/>
      <c r="V8" s="7" t="s">
        <v>141</v>
      </c>
    </row>
    <row r="9" spans="1:22" ht="14.5">
      <c r="A9" s="14" t="s">
        <v>316</v>
      </c>
      <c r="B9" s="14" t="s">
        <v>316</v>
      </c>
      <c r="C9" s="42">
        <v>55.992610999999997</v>
      </c>
      <c r="D9" s="42">
        <v>-87.628249999999994</v>
      </c>
      <c r="E9" s="14"/>
      <c r="F9" s="14">
        <v>1</v>
      </c>
      <c r="G9" s="14">
        <v>30</v>
      </c>
      <c r="H9" s="14">
        <v>30</v>
      </c>
      <c r="I9" s="14"/>
      <c r="J9" s="16">
        <f t="shared" si="0"/>
        <v>1</v>
      </c>
      <c r="K9" s="14">
        <v>1</v>
      </c>
      <c r="L9" s="14" t="s">
        <v>325</v>
      </c>
      <c r="M9" s="14"/>
      <c r="N9" s="14"/>
      <c r="O9" s="14"/>
      <c r="P9" s="14" t="s">
        <v>326</v>
      </c>
      <c r="Q9" s="16">
        <f>IF($A9="","",IF(SUMPRODUCT(MAX((community_cores_FS!$B$5:$B$597=$A9)*community_cores_FS!$F$5:$F$597))=0,"",SUMPRODUCT(MAX((community_cores_FS!$B$5:$B$597=$A9)*community_cores_FS!$F$5:$F$597))))</f>
        <v>30</v>
      </c>
      <c r="R9" s="16">
        <f>IF($A9="","",IFERROR(SUMIFS(community_cores_FS!$P$5:$P$597,community_cores_FS!$B$5:$B$597,$A9),""))</f>
        <v>8.3815614381999985</v>
      </c>
      <c r="S9" s="16">
        <f>IF($A9="","",IFERROR(SUMIFS(community_cores_FS!$Q$5:$Q$597,community_cores_FS!$B$5:$B$597,$A9),""))</f>
        <v>8.3815614381999985</v>
      </c>
      <c r="T9" s="16" t="str">
        <f t="shared" si="1"/>
        <v>No</v>
      </c>
      <c r="U9" s="16"/>
      <c r="V9" s="14"/>
    </row>
    <row r="10" spans="1:22" ht="14.5">
      <c r="A10" s="14" t="s">
        <v>317</v>
      </c>
      <c r="B10" s="14" t="s">
        <v>317</v>
      </c>
      <c r="C10" s="42">
        <v>56.128917000000001</v>
      </c>
      <c r="D10" s="42">
        <v>-87.871809999999996</v>
      </c>
      <c r="E10" s="14"/>
      <c r="F10" s="14">
        <v>1</v>
      </c>
      <c r="G10" s="14">
        <v>30</v>
      </c>
      <c r="H10" s="14">
        <v>30</v>
      </c>
      <c r="I10" s="14"/>
      <c r="J10" s="16">
        <f t="shared" si="0"/>
        <v>1</v>
      </c>
      <c r="K10" s="14">
        <v>1</v>
      </c>
      <c r="L10" s="14" t="s">
        <v>325</v>
      </c>
      <c r="M10" s="14"/>
      <c r="N10" s="14"/>
      <c r="O10" s="14"/>
      <c r="P10" s="14" t="s">
        <v>326</v>
      </c>
      <c r="Q10" s="16">
        <f>IF($A10="","",IF(SUMPRODUCT(MAX((community_cores_FS!$B$5:$B$597=$A10)*community_cores_FS!$F$5:$F$597))=0,"",SUMPRODUCT(MAX((community_cores_FS!$B$5:$B$597=$A10)*community_cores_FS!$F$5:$F$597))))</f>
        <v>30</v>
      </c>
      <c r="R10" s="16">
        <f>IF($A10="","",IFERROR(SUMIFS(community_cores_FS!$P$5:$P$597,community_cores_FS!$B$5:$B$597,$A10),""))</f>
        <v>4.2223031185000002</v>
      </c>
      <c r="S10" s="16">
        <f>IF($A10="","",IFERROR(SUMIFS(community_cores_FS!$Q$5:$Q$597,community_cores_FS!$B$5:$B$597,$A10),""))</f>
        <v>4.2223031185000002</v>
      </c>
      <c r="T10" s="16" t="str">
        <f t="shared" si="1"/>
        <v>No</v>
      </c>
      <c r="U10" s="16"/>
      <c r="V10" s="14"/>
    </row>
    <row r="11" spans="1:22" ht="14.5">
      <c r="A11" s="14" t="s">
        <v>317</v>
      </c>
      <c r="B11" s="14" t="s">
        <v>317</v>
      </c>
      <c r="C11" s="42">
        <v>56.074278</v>
      </c>
      <c r="D11" s="42">
        <v>-87.795559999999995</v>
      </c>
      <c r="E11" s="14"/>
      <c r="F11" s="14">
        <v>1</v>
      </c>
      <c r="G11" s="14">
        <v>30</v>
      </c>
      <c r="H11" s="14">
        <v>30</v>
      </c>
      <c r="I11" s="14"/>
      <c r="J11" s="16">
        <f t="shared" si="0"/>
        <v>1</v>
      </c>
      <c r="K11" s="14">
        <v>1</v>
      </c>
      <c r="L11" s="14" t="s">
        <v>325</v>
      </c>
      <c r="M11" s="14"/>
      <c r="N11" s="14"/>
      <c r="O11" s="14"/>
      <c r="P11" s="14" t="s">
        <v>326</v>
      </c>
      <c r="Q11" s="16">
        <f>IF($A11="","",IF(SUMPRODUCT(MAX((community_cores_FS!$B$5:$B$597=$A11)*community_cores_FS!$F$5:$F$597))=0,"",SUMPRODUCT(MAX((community_cores_FS!$B$5:$B$597=$A11)*community_cores_FS!$F$5:$F$597))))</f>
        <v>30</v>
      </c>
      <c r="R11" s="16">
        <f>IF($A11="","",IFERROR(SUMIFS(community_cores_FS!$P$5:$P$597,community_cores_FS!$B$5:$B$597,$A11),""))</f>
        <v>4.2223031185000002</v>
      </c>
      <c r="S11" s="16">
        <f>IF($A11="","",IFERROR(SUMIFS(community_cores_FS!$Q$5:$Q$597,community_cores_FS!$B$5:$B$597,$A11),""))</f>
        <v>4.2223031185000002</v>
      </c>
      <c r="T11" s="16" t="str">
        <f t="shared" si="1"/>
        <v>No</v>
      </c>
      <c r="U11" s="16"/>
      <c r="V11" s="14"/>
    </row>
    <row r="12" spans="1:22" ht="14.5">
      <c r="A12" s="14" t="s">
        <v>333</v>
      </c>
      <c r="B12" s="14" t="s">
        <v>333</v>
      </c>
      <c r="C12" s="42">
        <v>56.079388999999999</v>
      </c>
      <c r="D12" s="42">
        <v>-87.756219999999999</v>
      </c>
      <c r="E12" s="14"/>
      <c r="F12" s="14">
        <v>1</v>
      </c>
      <c r="G12" s="14">
        <v>30</v>
      </c>
      <c r="H12" s="14">
        <v>30</v>
      </c>
      <c r="I12" s="14"/>
      <c r="J12" s="16">
        <f t="shared" si="0"/>
        <v>1</v>
      </c>
      <c r="K12" s="14">
        <v>1</v>
      </c>
      <c r="L12" s="14" t="s">
        <v>325</v>
      </c>
      <c r="M12" s="14"/>
      <c r="N12" s="14"/>
      <c r="O12" s="14"/>
      <c r="P12" s="14" t="s">
        <v>326</v>
      </c>
      <c r="Q12" s="16">
        <f>IF($A12="","",IF(SUMPRODUCT(MAX((community_cores_FS!$B$5:$B$597=$A12)*community_cores_FS!$F$5:$F$597))=0,"",SUMPRODUCT(MAX((community_cores_FS!$B$5:$B$597=$A12)*community_cores_FS!$F$5:$F$597))))</f>
        <v>30</v>
      </c>
      <c r="R12" s="16">
        <f>IF($A12="","",IFERROR(SUMIFS(community_cores_FS!$P$5:$P$597,community_cores_FS!$B$5:$B$597,$A12),""))</f>
        <v>6.1054497840000002</v>
      </c>
      <c r="S12" s="16">
        <f>IF($A12="","",IFERROR(SUMIFS(community_cores_FS!$Q$5:$Q$597,community_cores_FS!$B$5:$B$597,$A12),""))</f>
        <v>6.1054497840000002</v>
      </c>
      <c r="T12" s="16" t="str">
        <f t="shared" si="1"/>
        <v>No</v>
      </c>
      <c r="U12" s="16"/>
      <c r="V12" s="14"/>
    </row>
    <row r="13" spans="1:22" ht="14.5">
      <c r="A13" s="14"/>
      <c r="B13" s="14"/>
      <c r="C13" s="14"/>
      <c r="D13" s="14"/>
      <c r="E13" s="14"/>
      <c r="F13" s="14"/>
      <c r="G13" s="14"/>
      <c r="H13" s="14"/>
      <c r="I13" s="14"/>
      <c r="J13" s="16" t="str">
        <f t="shared" si="0"/>
        <v/>
      </c>
      <c r="K13" s="14"/>
      <c r="L13" s="14"/>
      <c r="M13" s="14"/>
      <c r="N13" s="14"/>
      <c r="O13" s="14"/>
      <c r="P13" s="14"/>
      <c r="Q13" s="16" t="str">
        <f>IF($A13="","",IF(SUMPRODUCT(MAX((community_cores_FS!$B$5:$B$597=$A13)*community_cores_FS!$F$5:$F$597))=0,"",SUMPRODUCT(MAX((community_cores_FS!$B$5:$B$597=$A13)*community_cores_FS!$F$5:$F$597))))</f>
        <v/>
      </c>
      <c r="R13" s="16" t="str">
        <f>IF($A13="","",IFERROR(SUMIFS(community_cores_FS!$P$5:$P$597,community_cores_FS!$B$5:$B$597,$A13),""))</f>
        <v/>
      </c>
      <c r="S13" s="16" t="str">
        <f>IF($A13="","",IFERROR(SUMIFS(community_cores_FS!$Q$5:$Q$597,community_cores_FS!$B$5:$B$597,$A13),""))</f>
        <v/>
      </c>
      <c r="T13" s="16" t="str">
        <f t="shared" si="1"/>
        <v/>
      </c>
      <c r="U13" s="16" t="str">
        <f>IF($A13="","",IF(AND($B13&lt;&gt;"",COUNTIF('1. Plot &amp; Site Log'!$A$5:$A$64,$B13)=0),"Plot ID not in Plot &amp; Site Log. ","")&amp;IF(NOT(ISNUMBER($Q13)),"No peat sections logged for this core. ","")&amp;IF($T13="No","Core stops short of the reference depth, so its reference-depth stock is an underestimate. Its full-profile stock is still valid. ","")&amp;IF($L13="No","Core did not reach the mineral contact — the full-profile stock is a MINIMUM, not the whole store. ","")&amp;IF(AND(ISNUMBER($K13),$K13&lt;PEATLAND_MIN_DEPTH_CM),"Organic depth under "&amp;PEATLAND_MIN_DEPTH_CM&amp;" cm: by the guide's definition this is not peatland. Report it, but say so. ","")&amp;IF(AND(ISNUMBER($J13),$J13&lt;QC_RECOVERY_MIN),"Recovered only "&amp;TEXT($J13,"0%")&amp;" of the bore depth — the chamber probably did not fill completely. Material is missing, which is not the same as compaction. ","")&amp;IF(AND(ISNUMBER($J13),$J13&gt;1.05),"Recovered more than the bore depth — check the two measurements. ","")&amp;IF(AND(ISNUMBER($I13),$I13&gt;2),"Surface compaction of "&amp;$I13&amp;" cm: depths in this core sit shallower than in the ground, so depth-limited stock is biased. Full-profile stock is unaffected. ",""))</f>
        <v/>
      </c>
      <c r="V13" s="14"/>
    </row>
    <row r="14" spans="1:22" ht="14.5">
      <c r="A14" s="14"/>
      <c r="B14" s="14"/>
      <c r="C14" s="14"/>
      <c r="D14" s="14"/>
      <c r="E14" s="14"/>
      <c r="F14" s="14"/>
      <c r="G14" s="14"/>
      <c r="H14" s="14"/>
      <c r="I14" s="14"/>
      <c r="J14" s="16" t="str">
        <f t="shared" si="0"/>
        <v/>
      </c>
      <c r="K14" s="14"/>
      <c r="L14" s="14"/>
      <c r="M14" s="14"/>
      <c r="N14" s="14"/>
      <c r="O14" s="14"/>
      <c r="P14" s="14"/>
      <c r="Q14" s="16" t="str">
        <f>IF($A14="","",IF(SUMPRODUCT(MAX((community_cores_FS!$B$5:$B$597=$A14)*community_cores_FS!$F$5:$F$597))=0,"",SUMPRODUCT(MAX((community_cores_FS!$B$5:$B$597=$A14)*community_cores_FS!$F$5:$F$597))))</f>
        <v/>
      </c>
      <c r="R14" s="16" t="str">
        <f>IF($A14="","",IFERROR(SUMIFS(community_cores_FS!$P$5:$P$597,community_cores_FS!$B$5:$B$597,$A14),""))</f>
        <v/>
      </c>
      <c r="S14" s="16" t="str">
        <f>IF($A14="","",IFERROR(SUMIFS(community_cores_FS!$Q$5:$Q$597,community_cores_FS!$B$5:$B$597,$A14),""))</f>
        <v/>
      </c>
      <c r="T14" s="16" t="str">
        <f t="shared" si="1"/>
        <v/>
      </c>
      <c r="U14" s="16" t="str">
        <f>IF($A14="","",IF(AND($B14&lt;&gt;"",COUNTIF('1. Plot &amp; Site Log'!$A$5:$A$64,$B14)=0),"Plot ID not in Plot &amp; Site Log. ","")&amp;IF(NOT(ISNUMBER($Q14)),"No peat sections logged for this core. ","")&amp;IF($T14="No","Core stops short of the reference depth, so its reference-depth stock is an underestimate. Its full-profile stock is still valid. ","")&amp;IF($L14="No","Core did not reach the mineral contact — the full-profile stock is a MINIMUM, not the whole store. ","")&amp;IF(AND(ISNUMBER($K14),$K14&lt;PEATLAND_MIN_DEPTH_CM),"Organic depth under "&amp;PEATLAND_MIN_DEPTH_CM&amp;" cm: by the guide's definition this is not peatland. Report it, but say so. ","")&amp;IF(AND(ISNUMBER($J14),$J14&lt;QC_RECOVERY_MIN),"Recovered only "&amp;TEXT($J14,"0%")&amp;" of the bore depth — the chamber probably did not fill completely. Material is missing, which is not the same as compaction. ","")&amp;IF(AND(ISNUMBER($J14),$J14&gt;1.05),"Recovered more than the bore depth — check the two measurements. ","")&amp;IF(AND(ISNUMBER($I14),$I14&gt;2),"Surface compaction of "&amp;$I14&amp;" cm: depths in this core sit shallower than in the ground, so depth-limited stock is biased. Full-profile stock is unaffected. ",""))</f>
        <v/>
      </c>
      <c r="V14" s="14"/>
    </row>
    <row r="15" spans="1:22" ht="14.5">
      <c r="A15" s="14"/>
      <c r="B15" s="14"/>
      <c r="C15" s="14"/>
      <c r="D15" s="14"/>
      <c r="E15" s="14"/>
      <c r="F15" s="14"/>
      <c r="G15" s="14"/>
      <c r="H15" s="14"/>
      <c r="I15" s="14"/>
      <c r="J15" s="16" t="str">
        <f t="shared" si="0"/>
        <v/>
      </c>
      <c r="K15" s="14"/>
      <c r="L15" s="14"/>
      <c r="M15" s="14"/>
      <c r="N15" s="14"/>
      <c r="O15" s="14"/>
      <c r="P15" s="14"/>
      <c r="Q15" s="16" t="str">
        <f>IF($A15="","",IF(SUMPRODUCT(MAX((community_cores_FS!$B$5:$B$597=$A15)*community_cores_FS!$F$5:$F$597))=0,"",SUMPRODUCT(MAX((community_cores_FS!$B$5:$B$597=$A15)*community_cores_FS!$F$5:$F$597))))</f>
        <v/>
      </c>
      <c r="R15" s="16" t="str">
        <f>IF($A15="","",IFERROR(SUMIFS(community_cores_FS!$P$5:$P$597,community_cores_FS!$B$5:$B$597,$A15),""))</f>
        <v/>
      </c>
      <c r="S15" s="16" t="str">
        <f>IF($A15="","",IFERROR(SUMIFS(community_cores_FS!$Q$5:$Q$597,community_cores_FS!$B$5:$B$597,$A15),""))</f>
        <v/>
      </c>
      <c r="T15" s="16" t="str">
        <f t="shared" si="1"/>
        <v/>
      </c>
      <c r="U15" s="16" t="str">
        <f>IF($A15="","",IF(AND($B15&lt;&gt;"",COUNTIF('1. Plot &amp; Site Log'!$A$5:$A$64,$B15)=0),"Plot ID not in Plot &amp; Site Log. ","")&amp;IF(NOT(ISNUMBER($Q15)),"No peat sections logged for this core. ","")&amp;IF($T15="No","Core stops short of the reference depth, so its reference-depth stock is an underestimate. Its full-profile stock is still valid. ","")&amp;IF($L15="No","Core did not reach the mineral contact — the full-profile stock is a MINIMUM, not the whole store. ","")&amp;IF(AND(ISNUMBER($K15),$K15&lt;PEATLAND_MIN_DEPTH_CM),"Organic depth under "&amp;PEATLAND_MIN_DEPTH_CM&amp;" cm: by the guide's definition this is not peatland. Report it, but say so. ","")&amp;IF(AND(ISNUMBER($J15),$J15&lt;QC_RECOVERY_MIN),"Recovered only "&amp;TEXT($J15,"0%")&amp;" of the bore depth — the chamber probably did not fill completely. Material is missing, which is not the same as compaction. ","")&amp;IF(AND(ISNUMBER($J15),$J15&gt;1.05),"Recovered more than the bore depth — check the two measurements. ","")&amp;IF(AND(ISNUMBER($I15),$I15&gt;2),"Surface compaction of "&amp;$I15&amp;" cm: depths in this core sit shallower than in the ground, so depth-limited stock is biased. Full-profile stock is unaffected. ",""))</f>
        <v/>
      </c>
      <c r="V15" s="14"/>
    </row>
    <row r="16" spans="1:22" ht="14.5">
      <c r="A16" s="14"/>
      <c r="B16" s="14"/>
      <c r="C16" s="14"/>
      <c r="D16" s="14"/>
      <c r="E16" s="14"/>
      <c r="F16" s="14"/>
      <c r="G16" s="14"/>
      <c r="H16" s="14"/>
      <c r="I16" s="14"/>
      <c r="J16" s="16" t="str">
        <f t="shared" si="0"/>
        <v/>
      </c>
      <c r="K16" s="14"/>
      <c r="L16" s="14"/>
      <c r="M16" s="14"/>
      <c r="N16" s="14"/>
      <c r="O16" s="14"/>
      <c r="P16" s="14"/>
      <c r="Q16" s="16" t="str">
        <f>IF($A16="","",IF(SUMPRODUCT(MAX((community_cores_FS!$B$5:$B$597=$A16)*community_cores_FS!$F$5:$F$597))=0,"",SUMPRODUCT(MAX((community_cores_FS!$B$5:$B$597=$A16)*community_cores_FS!$F$5:$F$597))))</f>
        <v/>
      </c>
      <c r="R16" s="16" t="str">
        <f>IF($A16="","",IFERROR(SUMIFS(community_cores_FS!$P$5:$P$597,community_cores_FS!$B$5:$B$597,$A16),""))</f>
        <v/>
      </c>
      <c r="S16" s="16" t="str">
        <f>IF($A16="","",IFERROR(SUMIFS(community_cores_FS!$Q$5:$Q$597,community_cores_FS!$B$5:$B$597,$A16),""))</f>
        <v/>
      </c>
      <c r="T16" s="16" t="str">
        <f t="shared" si="1"/>
        <v/>
      </c>
      <c r="U16" s="16" t="str">
        <f>IF($A16="","",IF(AND($B16&lt;&gt;"",COUNTIF('1. Plot &amp; Site Log'!$A$5:$A$64,$B16)=0),"Plot ID not in Plot &amp; Site Log. ","")&amp;IF(NOT(ISNUMBER($Q16)),"No peat sections logged for this core. ","")&amp;IF($T16="No","Core stops short of the reference depth, so its reference-depth stock is an underestimate. Its full-profile stock is still valid. ","")&amp;IF($L16="No","Core did not reach the mineral contact — the full-profile stock is a MINIMUM, not the whole store. ","")&amp;IF(AND(ISNUMBER($K16),$K16&lt;PEATLAND_MIN_DEPTH_CM),"Organic depth under "&amp;PEATLAND_MIN_DEPTH_CM&amp;" cm: by the guide's definition this is not peatland. Report it, but say so. ","")&amp;IF(AND(ISNUMBER($J16),$J16&lt;QC_RECOVERY_MIN),"Recovered only "&amp;TEXT($J16,"0%")&amp;" of the bore depth — the chamber probably did not fill completely. Material is missing, which is not the same as compaction. ","")&amp;IF(AND(ISNUMBER($J16),$J16&gt;1.05),"Recovered more than the bore depth — check the two measurements. ","")&amp;IF(AND(ISNUMBER($I16),$I16&gt;2),"Surface compaction of "&amp;$I16&amp;" cm: depths in this core sit shallower than in the ground, so depth-limited stock is biased. Full-profile stock is unaffected. ",""))</f>
        <v/>
      </c>
      <c r="V16" s="14"/>
    </row>
    <row r="17" spans="1:22" ht="14.5">
      <c r="A17" s="14"/>
      <c r="B17" s="14"/>
      <c r="C17" s="14"/>
      <c r="D17" s="14"/>
      <c r="E17" s="14"/>
      <c r="F17" s="14"/>
      <c r="G17" s="14"/>
      <c r="H17" s="14"/>
      <c r="I17" s="14"/>
      <c r="J17" s="16" t="str">
        <f t="shared" si="0"/>
        <v/>
      </c>
      <c r="K17" s="14"/>
      <c r="L17" s="14"/>
      <c r="M17" s="14"/>
      <c r="N17" s="14"/>
      <c r="O17" s="14"/>
      <c r="P17" s="14"/>
      <c r="Q17" s="16" t="str">
        <f>IF($A17="","",IF(SUMPRODUCT(MAX((community_cores_FS!$B$5:$B$597=$A17)*community_cores_FS!$F$5:$F$597))=0,"",SUMPRODUCT(MAX((community_cores_FS!$B$5:$B$597=$A17)*community_cores_FS!$F$5:$F$597))))</f>
        <v/>
      </c>
      <c r="R17" s="16" t="str">
        <f>IF($A17="","",IFERROR(SUMIFS(community_cores_FS!$P$5:$P$597,community_cores_FS!$B$5:$B$597,$A17),""))</f>
        <v/>
      </c>
      <c r="S17" s="16" t="str">
        <f>IF($A17="","",IFERROR(SUMIFS(community_cores_FS!$Q$5:$Q$597,community_cores_FS!$B$5:$B$597,$A17),""))</f>
        <v/>
      </c>
      <c r="T17" s="16" t="str">
        <f t="shared" si="1"/>
        <v/>
      </c>
      <c r="U17" s="16" t="str">
        <f>IF($A17="","",IF(AND($B17&lt;&gt;"",COUNTIF('1. Plot &amp; Site Log'!$A$5:$A$64,$B17)=0),"Plot ID not in Plot &amp; Site Log. ","")&amp;IF(NOT(ISNUMBER($Q17)),"No peat sections logged for this core. ","")&amp;IF($T17="No","Core stops short of the reference depth, so its reference-depth stock is an underestimate. Its full-profile stock is still valid. ","")&amp;IF($L17="No","Core did not reach the mineral contact — the full-profile stock is a MINIMUM, not the whole store. ","")&amp;IF(AND(ISNUMBER($K17),$K17&lt;PEATLAND_MIN_DEPTH_CM),"Organic depth under "&amp;PEATLAND_MIN_DEPTH_CM&amp;" cm: by the guide's definition this is not peatland. Report it, but say so. ","")&amp;IF(AND(ISNUMBER($J17),$J17&lt;QC_RECOVERY_MIN),"Recovered only "&amp;TEXT($J17,"0%")&amp;" of the bore depth — the chamber probably did not fill completely. Material is missing, which is not the same as compaction. ","")&amp;IF(AND(ISNUMBER($J17),$J17&gt;1.05),"Recovered more than the bore depth — check the two measurements. ","")&amp;IF(AND(ISNUMBER($I17),$I17&gt;2),"Surface compaction of "&amp;$I17&amp;" cm: depths in this core sit shallower than in the ground, so depth-limited stock is biased. Full-profile stock is unaffected. ",""))</f>
        <v/>
      </c>
      <c r="V17" s="14"/>
    </row>
    <row r="18" spans="1:22" ht="14.5">
      <c r="A18" s="14"/>
      <c r="B18" s="14"/>
      <c r="C18" s="14"/>
      <c r="D18" s="14"/>
      <c r="E18" s="14"/>
      <c r="F18" s="14"/>
      <c r="G18" s="14"/>
      <c r="H18" s="14"/>
      <c r="I18" s="14"/>
      <c r="J18" s="16" t="str">
        <f t="shared" si="0"/>
        <v/>
      </c>
      <c r="K18" s="14"/>
      <c r="L18" s="14"/>
      <c r="M18" s="14"/>
      <c r="N18" s="14"/>
      <c r="O18" s="14"/>
      <c r="P18" s="14"/>
      <c r="Q18" s="16" t="str">
        <f>IF($A18="","",IF(SUMPRODUCT(MAX((community_cores_FS!$B$5:$B$597=$A18)*community_cores_FS!$F$5:$F$597))=0,"",SUMPRODUCT(MAX((community_cores_FS!$B$5:$B$597=$A18)*community_cores_FS!$F$5:$F$597))))</f>
        <v/>
      </c>
      <c r="R18" s="16" t="str">
        <f>IF($A18="","",IFERROR(SUMIFS(community_cores_FS!$P$5:$P$597,community_cores_FS!$B$5:$B$597,$A18),""))</f>
        <v/>
      </c>
      <c r="S18" s="16" t="str">
        <f>IF($A18="","",IFERROR(SUMIFS(community_cores_FS!$Q$5:$Q$597,community_cores_FS!$B$5:$B$597,$A18),""))</f>
        <v/>
      </c>
      <c r="T18" s="16" t="str">
        <f t="shared" si="1"/>
        <v/>
      </c>
      <c r="U18" s="16" t="str">
        <f>IF($A18="","",IF(AND($B18&lt;&gt;"",COUNTIF('1. Plot &amp; Site Log'!$A$5:$A$64,$B18)=0),"Plot ID not in Plot &amp; Site Log. ","")&amp;IF(NOT(ISNUMBER($Q18)),"No peat sections logged for this core. ","")&amp;IF($T18="No","Core stops short of the reference depth, so its reference-depth stock is an underestimate. Its full-profile stock is still valid. ","")&amp;IF($L18="No","Core did not reach the mineral contact — the full-profile stock is a MINIMUM, not the whole store. ","")&amp;IF(AND(ISNUMBER($K18),$K18&lt;PEATLAND_MIN_DEPTH_CM),"Organic depth under "&amp;PEATLAND_MIN_DEPTH_CM&amp;" cm: by the guide's definition this is not peatland. Report it, but say so. ","")&amp;IF(AND(ISNUMBER($J18),$J18&lt;QC_RECOVERY_MIN),"Recovered only "&amp;TEXT($J18,"0%")&amp;" of the bore depth — the chamber probably did not fill completely. Material is missing, which is not the same as compaction. ","")&amp;IF(AND(ISNUMBER($J18),$J18&gt;1.05),"Recovered more than the bore depth — check the two measurements. ","")&amp;IF(AND(ISNUMBER($I18),$I18&gt;2),"Surface compaction of "&amp;$I18&amp;" cm: depths in this core sit shallower than in the ground, so depth-limited stock is biased. Full-profile stock is unaffected. ",""))</f>
        <v/>
      </c>
      <c r="V18" s="14"/>
    </row>
    <row r="19" spans="1:22" ht="14.5">
      <c r="A19" s="14"/>
      <c r="B19" s="14"/>
      <c r="C19" s="14"/>
      <c r="D19" s="14"/>
      <c r="E19" s="14"/>
      <c r="F19" s="14"/>
      <c r="G19" s="14"/>
      <c r="H19" s="14"/>
      <c r="I19" s="14"/>
      <c r="J19" s="16" t="str">
        <f t="shared" si="0"/>
        <v/>
      </c>
      <c r="K19" s="14"/>
      <c r="L19" s="14"/>
      <c r="M19" s="14"/>
      <c r="N19" s="14"/>
      <c r="O19" s="14"/>
      <c r="P19" s="14"/>
      <c r="Q19" s="16" t="str">
        <f>IF($A19="","",IF(SUMPRODUCT(MAX((community_cores_FS!$B$5:$B$597=$A19)*community_cores_FS!$F$5:$F$597))=0,"",SUMPRODUCT(MAX((community_cores_FS!$B$5:$B$597=$A19)*community_cores_FS!$F$5:$F$597))))</f>
        <v/>
      </c>
      <c r="R19" s="16" t="str">
        <f>IF($A19="","",IFERROR(SUMIFS(community_cores_FS!$P$5:$P$597,community_cores_FS!$B$5:$B$597,$A19),""))</f>
        <v/>
      </c>
      <c r="S19" s="16" t="str">
        <f>IF($A19="","",IFERROR(SUMIFS(community_cores_FS!$Q$5:$Q$597,community_cores_FS!$B$5:$B$597,$A19),""))</f>
        <v/>
      </c>
      <c r="T19" s="16" t="str">
        <f t="shared" si="1"/>
        <v/>
      </c>
      <c r="U19" s="16" t="str">
        <f>IF($A19="","",IF(AND($B19&lt;&gt;"",COUNTIF('1. Plot &amp; Site Log'!$A$5:$A$64,$B19)=0),"Plot ID not in Plot &amp; Site Log. ","")&amp;IF(NOT(ISNUMBER($Q19)),"No peat sections logged for this core. ","")&amp;IF($T19="No","Core stops short of the reference depth, so its reference-depth stock is an underestimate. Its full-profile stock is still valid. ","")&amp;IF($L19="No","Core did not reach the mineral contact — the full-profile stock is a MINIMUM, not the whole store. ","")&amp;IF(AND(ISNUMBER($K19),$K19&lt;PEATLAND_MIN_DEPTH_CM),"Organic depth under "&amp;PEATLAND_MIN_DEPTH_CM&amp;" cm: by the guide's definition this is not peatland. Report it, but say so. ","")&amp;IF(AND(ISNUMBER($J19),$J19&lt;QC_RECOVERY_MIN),"Recovered only "&amp;TEXT($J19,"0%")&amp;" of the bore depth — the chamber probably did not fill completely. Material is missing, which is not the same as compaction. ","")&amp;IF(AND(ISNUMBER($J19),$J19&gt;1.05),"Recovered more than the bore depth — check the two measurements. ","")&amp;IF(AND(ISNUMBER($I19),$I19&gt;2),"Surface compaction of "&amp;$I19&amp;" cm: depths in this core sit shallower than in the ground, so depth-limited stock is biased. Full-profile stock is unaffected. ",""))</f>
        <v/>
      </c>
      <c r="V19" s="14"/>
    </row>
    <row r="20" spans="1:22" ht="14.5">
      <c r="A20" s="14"/>
      <c r="B20" s="14"/>
      <c r="C20" s="14"/>
      <c r="D20" s="14"/>
      <c r="E20" s="14"/>
      <c r="F20" s="14"/>
      <c r="G20" s="14"/>
      <c r="H20" s="14"/>
      <c r="I20" s="14"/>
      <c r="J20" s="16" t="str">
        <f t="shared" si="0"/>
        <v/>
      </c>
      <c r="K20" s="14"/>
      <c r="L20" s="14"/>
      <c r="M20" s="14"/>
      <c r="N20" s="14"/>
      <c r="O20" s="14"/>
      <c r="P20" s="14"/>
      <c r="Q20" s="16" t="str">
        <f>IF($A20="","",IF(SUMPRODUCT(MAX((community_cores_FS!$B$5:$B$597=$A20)*community_cores_FS!$F$5:$F$597))=0,"",SUMPRODUCT(MAX((community_cores_FS!$B$5:$B$597=$A20)*community_cores_FS!$F$5:$F$597))))</f>
        <v/>
      </c>
      <c r="R20" s="16" t="str">
        <f>IF($A20="","",IFERROR(SUMIFS(community_cores_FS!$P$5:$P$597,community_cores_FS!$B$5:$B$597,$A20),""))</f>
        <v/>
      </c>
      <c r="S20" s="16" t="str">
        <f>IF($A20="","",IFERROR(SUMIFS(community_cores_FS!$Q$5:$Q$597,community_cores_FS!$B$5:$B$597,$A20),""))</f>
        <v/>
      </c>
      <c r="T20" s="16" t="str">
        <f t="shared" si="1"/>
        <v/>
      </c>
      <c r="U20" s="16" t="str">
        <f>IF($A20="","",IF(AND($B20&lt;&gt;"",COUNTIF('1. Plot &amp; Site Log'!$A$5:$A$64,$B20)=0),"Plot ID not in Plot &amp; Site Log. ","")&amp;IF(NOT(ISNUMBER($Q20)),"No peat sections logged for this core. ","")&amp;IF($T20="No","Core stops short of the reference depth, so its reference-depth stock is an underestimate. Its full-profile stock is still valid. ","")&amp;IF($L20="No","Core did not reach the mineral contact — the full-profile stock is a MINIMUM, not the whole store. ","")&amp;IF(AND(ISNUMBER($K20),$K20&lt;PEATLAND_MIN_DEPTH_CM),"Organic depth under "&amp;PEATLAND_MIN_DEPTH_CM&amp;" cm: by the guide's definition this is not peatland. Report it, but say so. ","")&amp;IF(AND(ISNUMBER($J20),$J20&lt;QC_RECOVERY_MIN),"Recovered only "&amp;TEXT($J20,"0%")&amp;" of the bore depth — the chamber probably did not fill completely. Material is missing, which is not the same as compaction. ","")&amp;IF(AND(ISNUMBER($J20),$J20&gt;1.05),"Recovered more than the bore depth — check the two measurements. ","")&amp;IF(AND(ISNUMBER($I20),$I20&gt;2),"Surface compaction of "&amp;$I20&amp;" cm: depths in this core sit shallower than in the ground, so depth-limited stock is biased. Full-profile stock is unaffected. ",""))</f>
        <v/>
      </c>
      <c r="V20" s="14"/>
    </row>
    <row r="21" spans="1:22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6" t="str">
        <f t="shared" si="0"/>
        <v/>
      </c>
      <c r="K21" s="14"/>
      <c r="L21" s="14"/>
      <c r="M21" s="14"/>
      <c r="N21" s="14"/>
      <c r="O21" s="14"/>
      <c r="P21" s="14"/>
      <c r="Q21" s="16" t="str">
        <f>IF($A21="","",IF(SUMPRODUCT(MAX((community_cores_FS!$B$5:$B$597=$A21)*community_cores_FS!$F$5:$F$597))=0,"",SUMPRODUCT(MAX((community_cores_FS!$B$5:$B$597=$A21)*community_cores_FS!$F$5:$F$597))))</f>
        <v/>
      </c>
      <c r="R21" s="16" t="str">
        <f>IF($A21="","",IFERROR(SUMIFS(community_cores_FS!$P$5:$P$597,community_cores_FS!$B$5:$B$597,$A21),""))</f>
        <v/>
      </c>
      <c r="S21" s="16" t="str">
        <f>IF($A21="","",IFERROR(SUMIFS(community_cores_FS!$Q$5:$Q$597,community_cores_FS!$B$5:$B$597,$A21),""))</f>
        <v/>
      </c>
      <c r="T21" s="16" t="str">
        <f t="shared" si="1"/>
        <v/>
      </c>
      <c r="U21" s="16" t="str">
        <f>IF($A21="","",IF(AND($B21&lt;&gt;"",COUNTIF('1. Plot &amp; Site Log'!$A$5:$A$64,$B21)=0),"Plot ID not in Plot &amp; Site Log. ","")&amp;IF(NOT(ISNUMBER($Q21)),"No peat sections logged for this core. ","")&amp;IF($T21="No","Core stops short of the reference depth, so its reference-depth stock is an underestimate. Its full-profile stock is still valid. ","")&amp;IF($L21="No","Core did not reach the mineral contact — the full-profile stock is a MINIMUM, not the whole store. ","")&amp;IF(AND(ISNUMBER($K21),$K21&lt;PEATLAND_MIN_DEPTH_CM),"Organic depth under "&amp;PEATLAND_MIN_DEPTH_CM&amp;" cm: by the guide's definition this is not peatland. Report it, but say so. ","")&amp;IF(AND(ISNUMBER($J21),$J21&lt;QC_RECOVERY_MIN),"Recovered only "&amp;TEXT($J21,"0%")&amp;" of the bore depth — the chamber probably did not fill completely. Material is missing, which is not the same as compaction. ","")&amp;IF(AND(ISNUMBER($J21),$J21&gt;1.05),"Recovered more than the bore depth — check the two measurements. ","")&amp;IF(AND(ISNUMBER($I21),$I21&gt;2),"Surface compaction of "&amp;$I21&amp;" cm: depths in this core sit shallower than in the ground, so depth-limited stock is biased. Full-profile stock is unaffected. ",""))</f>
        <v/>
      </c>
      <c r="V21" s="14"/>
    </row>
    <row r="22" spans="1: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6" t="str">
        <f t="shared" si="0"/>
        <v/>
      </c>
      <c r="K22" s="14"/>
      <c r="L22" s="14"/>
      <c r="M22" s="14"/>
      <c r="N22" s="14"/>
      <c r="O22" s="14"/>
      <c r="P22" s="14"/>
      <c r="Q22" s="16" t="str">
        <f>IF($A22="","",IF(SUMPRODUCT(MAX((community_cores_FS!$B$5:$B$597=$A22)*community_cores_FS!$F$5:$F$597))=0,"",SUMPRODUCT(MAX((community_cores_FS!$B$5:$B$597=$A22)*community_cores_FS!$F$5:$F$597))))</f>
        <v/>
      </c>
      <c r="R22" s="16" t="str">
        <f>IF($A22="","",IFERROR(SUMIFS(community_cores_FS!$P$5:$P$597,community_cores_FS!$B$5:$B$597,$A22),""))</f>
        <v/>
      </c>
      <c r="S22" s="16" t="str">
        <f>IF($A22="","",IFERROR(SUMIFS(community_cores_FS!$Q$5:$Q$597,community_cores_FS!$B$5:$B$597,$A22),""))</f>
        <v/>
      </c>
      <c r="T22" s="16" t="str">
        <f t="shared" si="1"/>
        <v/>
      </c>
      <c r="U22" s="16" t="str">
        <f>IF($A22="","",IF(AND($B22&lt;&gt;"",COUNTIF('1. Plot &amp; Site Log'!$A$5:$A$64,$B22)=0),"Plot ID not in Plot &amp; Site Log. ","")&amp;IF(NOT(ISNUMBER($Q22)),"No peat sections logged for this core. ","")&amp;IF($T22="No","Core stops short of the reference depth, so its reference-depth stock is an underestimate. Its full-profile stock is still valid. ","")&amp;IF($L22="No","Core did not reach the mineral contact — the full-profile stock is a MINIMUM, not the whole store. ","")&amp;IF(AND(ISNUMBER($K22),$K22&lt;PEATLAND_MIN_DEPTH_CM),"Organic depth under "&amp;PEATLAND_MIN_DEPTH_CM&amp;" cm: by the guide's definition this is not peatland. Report it, but say so. ","")&amp;IF(AND(ISNUMBER($J22),$J22&lt;QC_RECOVERY_MIN),"Recovered only "&amp;TEXT($J22,"0%")&amp;" of the bore depth — the chamber probably did not fill completely. Material is missing, which is not the same as compaction. ","")&amp;IF(AND(ISNUMBER($J22),$J22&gt;1.05),"Recovered more than the bore depth — check the two measurements. ","")&amp;IF(AND(ISNUMBER($I22),$I22&gt;2),"Surface compaction of "&amp;$I22&amp;" cm: depths in this core sit shallower than in the ground, so depth-limited stock is biased. Full-profile stock is unaffected. ",""))</f>
        <v/>
      </c>
      <c r="V22" s="14"/>
    </row>
    <row r="23" spans="1:22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6" t="str">
        <f t="shared" si="0"/>
        <v/>
      </c>
      <c r="K23" s="14"/>
      <c r="L23" s="14"/>
      <c r="M23" s="14"/>
      <c r="N23" s="14"/>
      <c r="O23" s="14"/>
      <c r="P23" s="14"/>
      <c r="Q23" s="16" t="str">
        <f>IF($A23="","",IF(SUMPRODUCT(MAX((community_cores_FS!$B$5:$B$597=$A23)*community_cores_FS!$F$5:$F$597))=0,"",SUMPRODUCT(MAX((community_cores_FS!$B$5:$B$597=$A23)*community_cores_FS!$F$5:$F$597))))</f>
        <v/>
      </c>
      <c r="R23" s="16" t="str">
        <f>IF($A23="","",IFERROR(SUMIFS(community_cores_FS!$P$5:$P$597,community_cores_FS!$B$5:$B$597,$A23),""))</f>
        <v/>
      </c>
      <c r="S23" s="16" t="str">
        <f>IF($A23="","",IFERROR(SUMIFS(community_cores_FS!$Q$5:$Q$597,community_cores_FS!$B$5:$B$597,$A23),""))</f>
        <v/>
      </c>
      <c r="T23" s="16" t="str">
        <f t="shared" si="1"/>
        <v/>
      </c>
      <c r="U23" s="16" t="str">
        <f>IF($A23="","",IF(AND($B23&lt;&gt;"",COUNTIF('1. Plot &amp; Site Log'!$A$5:$A$64,$B23)=0),"Plot ID not in Plot &amp; Site Log. ","")&amp;IF(NOT(ISNUMBER($Q23)),"No peat sections logged for this core. ","")&amp;IF($T23="No","Core stops short of the reference depth, so its reference-depth stock is an underestimate. Its full-profile stock is still valid. ","")&amp;IF($L23="No","Core did not reach the mineral contact — the full-profile stock is a MINIMUM, not the whole store. ","")&amp;IF(AND(ISNUMBER($K23),$K23&lt;PEATLAND_MIN_DEPTH_CM),"Organic depth under "&amp;PEATLAND_MIN_DEPTH_CM&amp;" cm: by the guide's definition this is not peatland. Report it, but say so. ","")&amp;IF(AND(ISNUMBER($J23),$J23&lt;QC_RECOVERY_MIN),"Recovered only "&amp;TEXT($J23,"0%")&amp;" of the bore depth — the chamber probably did not fill completely. Material is missing, which is not the same as compaction. ","")&amp;IF(AND(ISNUMBER($J23),$J23&gt;1.05),"Recovered more than the bore depth — check the two measurements. ","")&amp;IF(AND(ISNUMBER($I23),$I23&gt;2),"Surface compaction of "&amp;$I23&amp;" cm: depths in this core sit shallower than in the ground, so depth-limited stock is biased. Full-profile stock is unaffected. ",""))</f>
        <v/>
      </c>
      <c r="V23" s="14"/>
    </row>
    <row r="24" spans="1:22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6" t="str">
        <f t="shared" si="0"/>
        <v/>
      </c>
      <c r="K24" s="14"/>
      <c r="L24" s="14"/>
      <c r="M24" s="14"/>
      <c r="N24" s="14"/>
      <c r="O24" s="14"/>
      <c r="P24" s="14"/>
      <c r="Q24" s="16" t="str">
        <f>IF($A24="","",IF(SUMPRODUCT(MAX((community_cores_FS!$B$5:$B$597=$A24)*community_cores_FS!$F$5:$F$597))=0,"",SUMPRODUCT(MAX((community_cores_FS!$B$5:$B$597=$A24)*community_cores_FS!$F$5:$F$597))))</f>
        <v/>
      </c>
      <c r="R24" s="16" t="str">
        <f>IF($A24="","",IFERROR(SUMIFS(community_cores_FS!$P$5:$P$597,community_cores_FS!$B$5:$B$597,$A24),""))</f>
        <v/>
      </c>
      <c r="S24" s="16" t="str">
        <f>IF($A24="","",IFERROR(SUMIFS(community_cores_FS!$Q$5:$Q$597,community_cores_FS!$B$5:$B$597,$A24),""))</f>
        <v/>
      </c>
      <c r="T24" s="16" t="str">
        <f t="shared" si="1"/>
        <v/>
      </c>
      <c r="U24" s="16" t="str">
        <f>IF($A24="","",IF(AND($B24&lt;&gt;"",COUNTIF('1. Plot &amp; Site Log'!$A$5:$A$64,$B24)=0),"Plot ID not in Plot &amp; Site Log. ","")&amp;IF(NOT(ISNUMBER($Q24)),"No peat sections logged for this core. ","")&amp;IF($T24="No","Core stops short of the reference depth, so its reference-depth stock is an underestimate. Its full-profile stock is still valid. ","")&amp;IF($L24="No","Core did not reach the mineral contact — the full-profile stock is a MINIMUM, not the whole store. ","")&amp;IF(AND(ISNUMBER($K24),$K24&lt;PEATLAND_MIN_DEPTH_CM),"Organic depth under "&amp;PEATLAND_MIN_DEPTH_CM&amp;" cm: by the guide's definition this is not peatland. Report it, but say so. ","")&amp;IF(AND(ISNUMBER($J24),$J24&lt;QC_RECOVERY_MIN),"Recovered only "&amp;TEXT($J24,"0%")&amp;" of the bore depth — the chamber probably did not fill completely. Material is missing, which is not the same as compaction. ","")&amp;IF(AND(ISNUMBER($J24),$J24&gt;1.05),"Recovered more than the bore depth — check the two measurements. ","")&amp;IF(AND(ISNUMBER($I24),$I24&gt;2),"Surface compaction of "&amp;$I24&amp;" cm: depths in this core sit shallower than in the ground, so depth-limited stock is biased. Full-profile stock is unaffected. ",""))</f>
        <v/>
      </c>
      <c r="V24" s="14"/>
    </row>
    <row r="25" spans="1:22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6" t="str">
        <f t="shared" si="0"/>
        <v/>
      </c>
      <c r="K25" s="14"/>
      <c r="L25" s="14"/>
      <c r="M25" s="14"/>
      <c r="N25" s="14"/>
      <c r="O25" s="14"/>
      <c r="P25" s="14"/>
      <c r="Q25" s="16" t="str">
        <f>IF($A25="","",IF(SUMPRODUCT(MAX((community_cores_FS!$B$5:$B$597=$A25)*community_cores_FS!$F$5:$F$597))=0,"",SUMPRODUCT(MAX((community_cores_FS!$B$5:$B$597=$A25)*community_cores_FS!$F$5:$F$597))))</f>
        <v/>
      </c>
      <c r="R25" s="16" t="str">
        <f>IF($A25="","",IFERROR(SUMIFS(community_cores_FS!$P$5:$P$597,community_cores_FS!$B$5:$B$597,$A25),""))</f>
        <v/>
      </c>
      <c r="S25" s="16" t="str">
        <f>IF($A25="","",IFERROR(SUMIFS(community_cores_FS!$Q$5:$Q$597,community_cores_FS!$B$5:$B$597,$A25),""))</f>
        <v/>
      </c>
      <c r="T25" s="16" t="str">
        <f t="shared" si="1"/>
        <v/>
      </c>
      <c r="U25" s="16" t="str">
        <f>IF($A25="","",IF(AND($B25&lt;&gt;"",COUNTIF('1. Plot &amp; Site Log'!$A$5:$A$64,$B25)=0),"Plot ID not in Plot &amp; Site Log. ","")&amp;IF(NOT(ISNUMBER($Q25)),"No peat sections logged for this core. ","")&amp;IF($T25="No","Core stops short of the reference depth, so its reference-depth stock is an underestimate. Its full-profile stock is still valid. ","")&amp;IF($L25="No","Core did not reach the mineral contact — the full-profile stock is a MINIMUM, not the whole store. ","")&amp;IF(AND(ISNUMBER($K25),$K25&lt;PEATLAND_MIN_DEPTH_CM),"Organic depth under "&amp;PEATLAND_MIN_DEPTH_CM&amp;" cm: by the guide's definition this is not peatland. Report it, but say so. ","")&amp;IF(AND(ISNUMBER($J25),$J25&lt;QC_RECOVERY_MIN),"Recovered only "&amp;TEXT($J25,"0%")&amp;" of the bore depth — the chamber probably did not fill completely. Material is missing, which is not the same as compaction. ","")&amp;IF(AND(ISNUMBER($J25),$J25&gt;1.05),"Recovered more than the bore depth — check the two measurements. ","")&amp;IF(AND(ISNUMBER($I25),$I25&gt;2),"Surface compaction of "&amp;$I25&amp;" cm: depths in this core sit shallower than in the ground, so depth-limited stock is biased. Full-profile stock is unaffected. ",""))</f>
        <v/>
      </c>
      <c r="V25" s="14"/>
    </row>
    <row r="26" spans="1:22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6" t="str">
        <f t="shared" si="0"/>
        <v/>
      </c>
      <c r="K26" s="14"/>
      <c r="L26" s="14"/>
      <c r="M26" s="14"/>
      <c r="N26" s="14"/>
      <c r="O26" s="14"/>
      <c r="P26" s="14"/>
      <c r="Q26" s="16" t="str">
        <f>IF($A26="","",IF(SUMPRODUCT(MAX((community_cores_FS!$B$5:$B$597=$A26)*community_cores_FS!$F$5:$F$597))=0,"",SUMPRODUCT(MAX((community_cores_FS!$B$5:$B$597=$A26)*community_cores_FS!$F$5:$F$597))))</f>
        <v/>
      </c>
      <c r="R26" s="16" t="str">
        <f>IF($A26="","",IFERROR(SUMIFS(community_cores_FS!$P$5:$P$597,community_cores_FS!$B$5:$B$597,$A26),""))</f>
        <v/>
      </c>
      <c r="S26" s="16" t="str">
        <f>IF($A26="","",IFERROR(SUMIFS(community_cores_FS!$Q$5:$Q$597,community_cores_FS!$B$5:$B$597,$A26),""))</f>
        <v/>
      </c>
      <c r="T26" s="16" t="str">
        <f t="shared" si="1"/>
        <v/>
      </c>
      <c r="U26" s="16" t="str">
        <f>IF($A26="","",IF(AND($B26&lt;&gt;"",COUNTIF('1. Plot &amp; Site Log'!$A$5:$A$64,$B26)=0),"Plot ID not in Plot &amp; Site Log. ","")&amp;IF(NOT(ISNUMBER($Q26)),"No peat sections logged for this core. ","")&amp;IF($T26="No","Core stops short of the reference depth, so its reference-depth stock is an underestimate. Its full-profile stock is still valid. ","")&amp;IF($L26="No","Core did not reach the mineral contact — the full-profile stock is a MINIMUM, not the whole store. ","")&amp;IF(AND(ISNUMBER($K26),$K26&lt;PEATLAND_MIN_DEPTH_CM),"Organic depth under "&amp;PEATLAND_MIN_DEPTH_CM&amp;" cm: by the guide's definition this is not peatland. Report it, but say so. ","")&amp;IF(AND(ISNUMBER($J26),$J26&lt;QC_RECOVERY_MIN),"Recovered only "&amp;TEXT($J26,"0%")&amp;" of the bore depth — the chamber probably did not fill completely. Material is missing, which is not the same as compaction. ","")&amp;IF(AND(ISNUMBER($J26),$J26&gt;1.05),"Recovered more than the bore depth — check the two measurements. ","")&amp;IF(AND(ISNUMBER($I26),$I26&gt;2),"Surface compaction of "&amp;$I26&amp;" cm: depths in this core sit shallower than in the ground, so depth-limited stock is biased. Full-profile stock is unaffected. ",""))</f>
        <v/>
      </c>
      <c r="V26" s="14"/>
    </row>
    <row r="27" spans="1:22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6" t="str">
        <f t="shared" si="0"/>
        <v/>
      </c>
      <c r="K27" s="14"/>
      <c r="L27" s="14"/>
      <c r="M27" s="14"/>
      <c r="N27" s="14"/>
      <c r="O27" s="14"/>
      <c r="P27" s="14"/>
      <c r="Q27" s="16" t="str">
        <f>IF($A27="","",IF(SUMPRODUCT(MAX((community_cores_FS!$B$5:$B$597=$A27)*community_cores_FS!$F$5:$F$597))=0,"",SUMPRODUCT(MAX((community_cores_FS!$B$5:$B$597=$A27)*community_cores_FS!$F$5:$F$597))))</f>
        <v/>
      </c>
      <c r="R27" s="16" t="str">
        <f>IF($A27="","",IFERROR(SUMIFS(community_cores_FS!$P$5:$P$597,community_cores_FS!$B$5:$B$597,$A27),""))</f>
        <v/>
      </c>
      <c r="S27" s="16" t="str">
        <f>IF($A27="","",IFERROR(SUMIFS(community_cores_FS!$Q$5:$Q$597,community_cores_FS!$B$5:$B$597,$A27),""))</f>
        <v/>
      </c>
      <c r="T27" s="16" t="str">
        <f t="shared" si="1"/>
        <v/>
      </c>
      <c r="U27" s="16" t="str">
        <f>IF($A27="","",IF(AND($B27&lt;&gt;"",COUNTIF('1. Plot &amp; Site Log'!$A$5:$A$64,$B27)=0),"Plot ID not in Plot &amp; Site Log. ","")&amp;IF(NOT(ISNUMBER($Q27)),"No peat sections logged for this core. ","")&amp;IF($T27="No","Core stops short of the reference depth, so its reference-depth stock is an underestimate. Its full-profile stock is still valid. ","")&amp;IF($L27="No","Core did not reach the mineral contact — the full-profile stock is a MINIMUM, not the whole store. ","")&amp;IF(AND(ISNUMBER($K27),$K27&lt;PEATLAND_MIN_DEPTH_CM),"Organic depth under "&amp;PEATLAND_MIN_DEPTH_CM&amp;" cm: by the guide's definition this is not peatland. Report it, but say so. ","")&amp;IF(AND(ISNUMBER($J27),$J27&lt;QC_RECOVERY_MIN),"Recovered only "&amp;TEXT($J27,"0%")&amp;" of the bore depth — the chamber probably did not fill completely. Material is missing, which is not the same as compaction. ","")&amp;IF(AND(ISNUMBER($J27),$J27&gt;1.05),"Recovered more than the bore depth — check the two measurements. ","")&amp;IF(AND(ISNUMBER($I27),$I27&gt;2),"Surface compaction of "&amp;$I27&amp;" cm: depths in this core sit shallower than in the ground, so depth-limited stock is biased. Full-profile stock is unaffected. ",""))</f>
        <v/>
      </c>
      <c r="V27" s="14"/>
    </row>
    <row r="28" spans="1:22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6" t="str">
        <f t="shared" si="0"/>
        <v/>
      </c>
      <c r="K28" s="14"/>
      <c r="L28" s="14"/>
      <c r="M28" s="14"/>
      <c r="N28" s="14"/>
      <c r="O28" s="14"/>
      <c r="P28" s="14"/>
      <c r="Q28" s="16" t="str">
        <f>IF($A28="","",IF(SUMPRODUCT(MAX((community_cores_FS!$B$5:$B$597=$A28)*community_cores_FS!$F$5:$F$597))=0,"",SUMPRODUCT(MAX((community_cores_FS!$B$5:$B$597=$A28)*community_cores_FS!$F$5:$F$597))))</f>
        <v/>
      </c>
      <c r="R28" s="16" t="str">
        <f>IF($A28="","",IFERROR(SUMIFS(community_cores_FS!$P$5:$P$597,community_cores_FS!$B$5:$B$597,$A28),""))</f>
        <v/>
      </c>
      <c r="S28" s="16" t="str">
        <f>IF($A28="","",IFERROR(SUMIFS(community_cores_FS!$Q$5:$Q$597,community_cores_FS!$B$5:$B$597,$A28),""))</f>
        <v/>
      </c>
      <c r="T28" s="16" t="str">
        <f t="shared" si="1"/>
        <v/>
      </c>
      <c r="U28" s="16" t="str">
        <f>IF($A28="","",IF(AND($B28&lt;&gt;"",COUNTIF('1. Plot &amp; Site Log'!$A$5:$A$64,$B28)=0),"Plot ID not in Plot &amp; Site Log. ","")&amp;IF(NOT(ISNUMBER($Q28)),"No peat sections logged for this core. ","")&amp;IF($T28="No","Core stops short of the reference depth, so its reference-depth stock is an underestimate. Its full-profile stock is still valid. ","")&amp;IF($L28="No","Core did not reach the mineral contact — the full-profile stock is a MINIMUM, not the whole store. ","")&amp;IF(AND(ISNUMBER($K28),$K28&lt;PEATLAND_MIN_DEPTH_CM),"Organic depth under "&amp;PEATLAND_MIN_DEPTH_CM&amp;" cm: by the guide's definition this is not peatland. Report it, but say so. ","")&amp;IF(AND(ISNUMBER($J28),$J28&lt;QC_RECOVERY_MIN),"Recovered only "&amp;TEXT($J28,"0%")&amp;" of the bore depth — the chamber probably did not fill completely. Material is missing, which is not the same as compaction. ","")&amp;IF(AND(ISNUMBER($J28),$J28&gt;1.05),"Recovered more than the bore depth — check the two measurements. ","")&amp;IF(AND(ISNUMBER($I28),$I28&gt;2),"Surface compaction of "&amp;$I28&amp;" cm: depths in this core sit shallower than in the ground, so depth-limited stock is biased. Full-profile stock is unaffected. ",""))</f>
        <v/>
      </c>
      <c r="V28" s="14"/>
    </row>
    <row r="29" spans="1:22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6" t="str">
        <f t="shared" si="0"/>
        <v/>
      </c>
      <c r="K29" s="14"/>
      <c r="L29" s="14"/>
      <c r="M29" s="14"/>
      <c r="N29" s="14"/>
      <c r="O29" s="14"/>
      <c r="P29" s="14"/>
      <c r="Q29" s="16" t="str">
        <f>IF($A29="","",IF(SUMPRODUCT(MAX((community_cores_FS!$B$5:$B$597=$A29)*community_cores_FS!$F$5:$F$597))=0,"",SUMPRODUCT(MAX((community_cores_FS!$B$5:$B$597=$A29)*community_cores_FS!$F$5:$F$597))))</f>
        <v/>
      </c>
      <c r="R29" s="16" t="str">
        <f>IF($A29="","",IFERROR(SUMIFS(community_cores_FS!$P$5:$P$597,community_cores_FS!$B$5:$B$597,$A29),""))</f>
        <v/>
      </c>
      <c r="S29" s="16" t="str">
        <f>IF($A29="","",IFERROR(SUMIFS(community_cores_FS!$Q$5:$Q$597,community_cores_FS!$B$5:$B$597,$A29),""))</f>
        <v/>
      </c>
      <c r="T29" s="16" t="str">
        <f t="shared" si="1"/>
        <v/>
      </c>
      <c r="U29" s="16" t="str">
        <f>IF($A29="","",IF(AND($B29&lt;&gt;"",COUNTIF('1. Plot &amp; Site Log'!$A$5:$A$64,$B29)=0),"Plot ID not in Plot &amp; Site Log. ","")&amp;IF(NOT(ISNUMBER($Q29)),"No peat sections logged for this core. ","")&amp;IF($T29="No","Core stops short of the reference depth, so its reference-depth stock is an underestimate. Its full-profile stock is still valid. ","")&amp;IF($L29="No","Core did not reach the mineral contact — the full-profile stock is a MINIMUM, not the whole store. ","")&amp;IF(AND(ISNUMBER($K29),$K29&lt;PEATLAND_MIN_DEPTH_CM),"Organic depth under "&amp;PEATLAND_MIN_DEPTH_CM&amp;" cm: by the guide's definition this is not peatland. Report it, but say so. ","")&amp;IF(AND(ISNUMBER($J29),$J29&lt;QC_RECOVERY_MIN),"Recovered only "&amp;TEXT($J29,"0%")&amp;" of the bore depth — the chamber probably did not fill completely. Material is missing, which is not the same as compaction. ","")&amp;IF(AND(ISNUMBER($J29),$J29&gt;1.05),"Recovered more than the bore depth — check the two measurements. ","")&amp;IF(AND(ISNUMBER($I29),$I29&gt;2),"Surface compaction of "&amp;$I29&amp;" cm: depths in this core sit shallower than in the ground, so depth-limited stock is biased. Full-profile stock is unaffected. ",""))</f>
        <v/>
      </c>
      <c r="V29" s="14"/>
    </row>
    <row r="30" spans="1:22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6" t="str">
        <f t="shared" si="0"/>
        <v/>
      </c>
      <c r="K30" s="14"/>
      <c r="L30" s="14"/>
      <c r="M30" s="14"/>
      <c r="N30" s="14"/>
      <c r="O30" s="14"/>
      <c r="P30" s="14"/>
      <c r="Q30" s="16" t="str">
        <f>IF($A30="","",IF(SUMPRODUCT(MAX((community_cores_FS!$B$5:$B$597=$A30)*community_cores_FS!$F$5:$F$597))=0,"",SUMPRODUCT(MAX((community_cores_FS!$B$5:$B$597=$A30)*community_cores_FS!$F$5:$F$597))))</f>
        <v/>
      </c>
      <c r="R30" s="16" t="str">
        <f>IF($A30="","",IFERROR(SUMIFS(community_cores_FS!$P$5:$P$597,community_cores_FS!$B$5:$B$597,$A30),""))</f>
        <v/>
      </c>
      <c r="S30" s="16" t="str">
        <f>IF($A30="","",IFERROR(SUMIFS(community_cores_FS!$Q$5:$Q$597,community_cores_FS!$B$5:$B$597,$A30),""))</f>
        <v/>
      </c>
      <c r="T30" s="16" t="str">
        <f t="shared" si="1"/>
        <v/>
      </c>
      <c r="U30" s="16" t="str">
        <f>IF($A30="","",IF(AND($B30&lt;&gt;"",COUNTIF('1. Plot &amp; Site Log'!$A$5:$A$64,$B30)=0),"Plot ID not in Plot &amp; Site Log. ","")&amp;IF(NOT(ISNUMBER($Q30)),"No peat sections logged for this core. ","")&amp;IF($T30="No","Core stops short of the reference depth, so its reference-depth stock is an underestimate. Its full-profile stock is still valid. ","")&amp;IF($L30="No","Core did not reach the mineral contact — the full-profile stock is a MINIMUM, not the whole store. ","")&amp;IF(AND(ISNUMBER($K30),$K30&lt;PEATLAND_MIN_DEPTH_CM),"Organic depth under "&amp;PEATLAND_MIN_DEPTH_CM&amp;" cm: by the guide's definition this is not peatland. Report it, but say so. ","")&amp;IF(AND(ISNUMBER($J30),$J30&lt;QC_RECOVERY_MIN),"Recovered only "&amp;TEXT($J30,"0%")&amp;" of the bore depth — the chamber probably did not fill completely. Material is missing, which is not the same as compaction. ","")&amp;IF(AND(ISNUMBER($J30),$J30&gt;1.05),"Recovered more than the bore depth — check the two measurements. ","")&amp;IF(AND(ISNUMBER($I30),$I30&gt;2),"Surface compaction of "&amp;$I30&amp;" cm: depths in this core sit shallower than in the ground, so depth-limited stock is biased. Full-profile stock is unaffected. ",""))</f>
        <v/>
      </c>
      <c r="V30" s="14"/>
    </row>
    <row r="31" spans="1:22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6" t="str">
        <f t="shared" si="0"/>
        <v/>
      </c>
      <c r="K31" s="14"/>
      <c r="L31" s="14"/>
      <c r="M31" s="14"/>
      <c r="N31" s="14"/>
      <c r="O31" s="14"/>
      <c r="P31" s="14"/>
      <c r="Q31" s="16" t="str">
        <f>IF($A31="","",IF(SUMPRODUCT(MAX((community_cores_FS!$B$5:$B$597=$A31)*community_cores_FS!$F$5:$F$597))=0,"",SUMPRODUCT(MAX((community_cores_FS!$B$5:$B$597=$A31)*community_cores_FS!$F$5:$F$597))))</f>
        <v/>
      </c>
      <c r="R31" s="16" t="str">
        <f>IF($A31="","",IFERROR(SUMIFS(community_cores_FS!$P$5:$P$597,community_cores_FS!$B$5:$B$597,$A31),""))</f>
        <v/>
      </c>
      <c r="S31" s="16" t="str">
        <f>IF($A31="","",IFERROR(SUMIFS(community_cores_FS!$Q$5:$Q$597,community_cores_FS!$B$5:$B$597,$A31),""))</f>
        <v/>
      </c>
      <c r="T31" s="16" t="str">
        <f t="shared" si="1"/>
        <v/>
      </c>
      <c r="U31" s="16" t="str">
        <f>IF($A31="","",IF(AND($B31&lt;&gt;"",COUNTIF('1. Plot &amp; Site Log'!$A$5:$A$64,$B31)=0),"Plot ID not in Plot &amp; Site Log. ","")&amp;IF(NOT(ISNUMBER($Q31)),"No peat sections logged for this core. ","")&amp;IF($T31="No","Core stops short of the reference depth, so its reference-depth stock is an underestimate. Its full-profile stock is still valid. ","")&amp;IF($L31="No","Core did not reach the mineral contact — the full-profile stock is a MINIMUM, not the whole store. ","")&amp;IF(AND(ISNUMBER($K31),$K31&lt;PEATLAND_MIN_DEPTH_CM),"Organic depth under "&amp;PEATLAND_MIN_DEPTH_CM&amp;" cm: by the guide's definition this is not peatland. Report it, but say so. ","")&amp;IF(AND(ISNUMBER($J31),$J31&lt;QC_RECOVERY_MIN),"Recovered only "&amp;TEXT($J31,"0%")&amp;" of the bore depth — the chamber probably did not fill completely. Material is missing, which is not the same as compaction. ","")&amp;IF(AND(ISNUMBER($J31),$J31&gt;1.05),"Recovered more than the bore depth — check the two measurements. ","")&amp;IF(AND(ISNUMBER($I31),$I31&gt;2),"Surface compaction of "&amp;$I31&amp;" cm: depths in this core sit shallower than in the ground, so depth-limited stock is biased. Full-profile stock is unaffected. ",""))</f>
        <v/>
      </c>
      <c r="V31" s="14"/>
    </row>
    <row r="32" spans="1:2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6" t="str">
        <f t="shared" si="0"/>
        <v/>
      </c>
      <c r="K32" s="14"/>
      <c r="L32" s="14"/>
      <c r="M32" s="14"/>
      <c r="N32" s="14"/>
      <c r="O32" s="14"/>
      <c r="P32" s="14"/>
      <c r="Q32" s="16" t="str">
        <f>IF($A32="","",IF(SUMPRODUCT(MAX((community_cores_FS!$B$5:$B$597=$A32)*community_cores_FS!$F$5:$F$597))=0,"",SUMPRODUCT(MAX((community_cores_FS!$B$5:$B$597=$A32)*community_cores_FS!$F$5:$F$597))))</f>
        <v/>
      </c>
      <c r="R32" s="16" t="str">
        <f>IF($A32="","",IFERROR(SUMIFS(community_cores_FS!$P$5:$P$597,community_cores_FS!$B$5:$B$597,$A32),""))</f>
        <v/>
      </c>
      <c r="S32" s="16" t="str">
        <f>IF($A32="","",IFERROR(SUMIFS(community_cores_FS!$Q$5:$Q$597,community_cores_FS!$B$5:$B$597,$A32),""))</f>
        <v/>
      </c>
      <c r="T32" s="16" t="str">
        <f t="shared" si="1"/>
        <v/>
      </c>
      <c r="U32" s="16" t="str">
        <f>IF($A32="","",IF(AND($B32&lt;&gt;"",COUNTIF('1. Plot &amp; Site Log'!$A$5:$A$64,$B32)=0),"Plot ID not in Plot &amp; Site Log. ","")&amp;IF(NOT(ISNUMBER($Q32)),"No peat sections logged for this core. ","")&amp;IF($T32="No","Core stops short of the reference depth, so its reference-depth stock is an underestimate. Its full-profile stock is still valid. ","")&amp;IF($L32="No","Core did not reach the mineral contact — the full-profile stock is a MINIMUM, not the whole store. ","")&amp;IF(AND(ISNUMBER($K32),$K32&lt;PEATLAND_MIN_DEPTH_CM),"Organic depth under "&amp;PEATLAND_MIN_DEPTH_CM&amp;" cm: by the guide's definition this is not peatland. Report it, but say so. ","")&amp;IF(AND(ISNUMBER($J32),$J32&lt;QC_RECOVERY_MIN),"Recovered only "&amp;TEXT($J32,"0%")&amp;" of the bore depth — the chamber probably did not fill completely. Material is missing, which is not the same as compaction. ","")&amp;IF(AND(ISNUMBER($J32),$J32&gt;1.05),"Recovered more than the bore depth — check the two measurements. ","")&amp;IF(AND(ISNUMBER($I32),$I32&gt;2),"Surface compaction of "&amp;$I32&amp;" cm: depths in this core sit shallower than in the ground, so depth-limited stock is biased. Full-profile stock is unaffected. ",""))</f>
        <v/>
      </c>
      <c r="V32" s="14"/>
    </row>
    <row r="33" spans="1:22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6" t="str">
        <f t="shared" si="0"/>
        <v/>
      </c>
      <c r="K33" s="14"/>
      <c r="L33" s="14"/>
      <c r="M33" s="14"/>
      <c r="N33" s="14"/>
      <c r="O33" s="14"/>
      <c r="P33" s="14"/>
      <c r="Q33" s="16" t="str">
        <f>IF($A33="","",IF(SUMPRODUCT(MAX((community_cores_FS!$B$5:$B$597=$A33)*community_cores_FS!$F$5:$F$597))=0,"",SUMPRODUCT(MAX((community_cores_FS!$B$5:$B$597=$A33)*community_cores_FS!$F$5:$F$597))))</f>
        <v/>
      </c>
      <c r="R33" s="16" t="str">
        <f>IF($A33="","",IFERROR(SUMIFS(community_cores_FS!$P$5:$P$597,community_cores_FS!$B$5:$B$597,$A33),""))</f>
        <v/>
      </c>
      <c r="S33" s="16" t="str">
        <f>IF($A33="","",IFERROR(SUMIFS(community_cores_FS!$Q$5:$Q$597,community_cores_FS!$B$5:$B$597,$A33),""))</f>
        <v/>
      </c>
      <c r="T33" s="16" t="str">
        <f t="shared" si="1"/>
        <v/>
      </c>
      <c r="U33" s="16" t="str">
        <f>IF($A33="","",IF(AND($B33&lt;&gt;"",COUNTIF('1. Plot &amp; Site Log'!$A$5:$A$64,$B33)=0),"Plot ID not in Plot &amp; Site Log. ","")&amp;IF(NOT(ISNUMBER($Q33)),"No peat sections logged for this core. ","")&amp;IF($T33="No","Core stops short of the reference depth, so its reference-depth stock is an underestimate. Its full-profile stock is still valid. ","")&amp;IF($L33="No","Core did not reach the mineral contact — the full-profile stock is a MINIMUM, not the whole store. ","")&amp;IF(AND(ISNUMBER($K33),$K33&lt;PEATLAND_MIN_DEPTH_CM),"Organic depth under "&amp;PEATLAND_MIN_DEPTH_CM&amp;" cm: by the guide's definition this is not peatland. Report it, but say so. ","")&amp;IF(AND(ISNUMBER($J33),$J33&lt;QC_RECOVERY_MIN),"Recovered only "&amp;TEXT($J33,"0%")&amp;" of the bore depth — the chamber probably did not fill completely. Material is missing, which is not the same as compaction. ","")&amp;IF(AND(ISNUMBER($J33),$J33&gt;1.05),"Recovered more than the bore depth — check the two measurements. ","")&amp;IF(AND(ISNUMBER($I33),$I33&gt;2),"Surface compaction of "&amp;$I33&amp;" cm: depths in this core sit shallower than in the ground, so depth-limited stock is biased. Full-profile stock is unaffected. ",""))</f>
        <v/>
      </c>
      <c r="V33" s="14"/>
    </row>
    <row r="34" spans="1:22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6" t="str">
        <f t="shared" si="0"/>
        <v/>
      </c>
      <c r="K34" s="14"/>
      <c r="L34" s="14"/>
      <c r="M34" s="14"/>
      <c r="N34" s="14"/>
      <c r="O34" s="14"/>
      <c r="P34" s="14"/>
      <c r="Q34" s="16" t="str">
        <f>IF($A34="","",IF(SUMPRODUCT(MAX((community_cores_FS!$B$5:$B$597=$A34)*community_cores_FS!$F$5:$F$597))=0,"",SUMPRODUCT(MAX((community_cores_FS!$B$5:$B$597=$A34)*community_cores_FS!$F$5:$F$597))))</f>
        <v/>
      </c>
      <c r="R34" s="16" t="str">
        <f>IF($A34="","",IFERROR(SUMIFS(community_cores_FS!$P$5:$P$597,community_cores_FS!$B$5:$B$597,$A34),""))</f>
        <v/>
      </c>
      <c r="S34" s="16" t="str">
        <f>IF($A34="","",IFERROR(SUMIFS(community_cores_FS!$Q$5:$Q$597,community_cores_FS!$B$5:$B$597,$A34),""))</f>
        <v/>
      </c>
      <c r="T34" s="16" t="str">
        <f t="shared" si="1"/>
        <v/>
      </c>
      <c r="U34" s="16" t="str">
        <f>IF($A34="","",IF(AND($B34&lt;&gt;"",COUNTIF('1. Plot &amp; Site Log'!$A$5:$A$64,$B34)=0),"Plot ID not in Plot &amp; Site Log. ","")&amp;IF(NOT(ISNUMBER($Q34)),"No peat sections logged for this core. ","")&amp;IF($T34="No","Core stops short of the reference depth, so its reference-depth stock is an underestimate. Its full-profile stock is still valid. ","")&amp;IF($L34="No","Core did not reach the mineral contact — the full-profile stock is a MINIMUM, not the whole store. ","")&amp;IF(AND(ISNUMBER($K34),$K34&lt;PEATLAND_MIN_DEPTH_CM),"Organic depth under "&amp;PEATLAND_MIN_DEPTH_CM&amp;" cm: by the guide's definition this is not peatland. Report it, but say so. ","")&amp;IF(AND(ISNUMBER($J34),$J34&lt;QC_RECOVERY_MIN),"Recovered only "&amp;TEXT($J34,"0%")&amp;" of the bore depth — the chamber probably did not fill completely. Material is missing, which is not the same as compaction. ","")&amp;IF(AND(ISNUMBER($J34),$J34&gt;1.05),"Recovered more than the bore depth — check the two measurements. ","")&amp;IF(AND(ISNUMBER($I34),$I34&gt;2),"Surface compaction of "&amp;$I34&amp;" cm: depths in this core sit shallower than in the ground, so depth-limited stock is biased. Full-profile stock is unaffected. ",""))</f>
        <v/>
      </c>
      <c r="V34" s="14"/>
    </row>
    <row r="35" spans="1:22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6" t="str">
        <f t="shared" si="0"/>
        <v/>
      </c>
      <c r="K35" s="14"/>
      <c r="L35" s="14"/>
      <c r="M35" s="14"/>
      <c r="N35" s="14"/>
      <c r="O35" s="14"/>
      <c r="P35" s="14"/>
      <c r="Q35" s="16" t="str">
        <f>IF($A35="","",IF(SUMPRODUCT(MAX((community_cores_FS!$B$5:$B$597=$A35)*community_cores_FS!$F$5:$F$597))=0,"",SUMPRODUCT(MAX((community_cores_FS!$B$5:$B$597=$A35)*community_cores_FS!$F$5:$F$597))))</f>
        <v/>
      </c>
      <c r="R35" s="16" t="str">
        <f>IF($A35="","",IFERROR(SUMIFS(community_cores_FS!$P$5:$P$597,community_cores_FS!$B$5:$B$597,$A35),""))</f>
        <v/>
      </c>
      <c r="S35" s="16" t="str">
        <f>IF($A35="","",IFERROR(SUMIFS(community_cores_FS!$Q$5:$Q$597,community_cores_FS!$B$5:$B$597,$A35),""))</f>
        <v/>
      </c>
      <c r="T35" s="16" t="str">
        <f t="shared" si="1"/>
        <v/>
      </c>
      <c r="U35" s="16" t="str">
        <f>IF($A35="","",IF(AND($B35&lt;&gt;"",COUNTIF('1. Plot &amp; Site Log'!$A$5:$A$64,$B35)=0),"Plot ID not in Plot &amp; Site Log. ","")&amp;IF(NOT(ISNUMBER($Q35)),"No peat sections logged for this core. ","")&amp;IF($T35="No","Core stops short of the reference depth, so its reference-depth stock is an underestimate. Its full-profile stock is still valid. ","")&amp;IF($L35="No","Core did not reach the mineral contact — the full-profile stock is a MINIMUM, not the whole store. ","")&amp;IF(AND(ISNUMBER($K35),$K35&lt;PEATLAND_MIN_DEPTH_CM),"Organic depth under "&amp;PEATLAND_MIN_DEPTH_CM&amp;" cm: by the guide's definition this is not peatland. Report it, but say so. ","")&amp;IF(AND(ISNUMBER($J35),$J35&lt;QC_RECOVERY_MIN),"Recovered only "&amp;TEXT($J35,"0%")&amp;" of the bore depth — the chamber probably did not fill completely. Material is missing, which is not the same as compaction. ","")&amp;IF(AND(ISNUMBER($J35),$J35&gt;1.05),"Recovered more than the bore depth — check the two measurements. ","")&amp;IF(AND(ISNUMBER($I35),$I35&gt;2),"Surface compaction of "&amp;$I35&amp;" cm: depths in this core sit shallower than in the ground, so depth-limited stock is biased. Full-profile stock is unaffected. ",""))</f>
        <v/>
      </c>
      <c r="V35" s="14"/>
    </row>
    <row r="36" spans="1:22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6" t="str">
        <f t="shared" si="0"/>
        <v/>
      </c>
      <c r="K36" s="14"/>
      <c r="L36" s="14"/>
      <c r="M36" s="14"/>
      <c r="N36" s="14"/>
      <c r="O36" s="14"/>
      <c r="P36" s="14"/>
      <c r="Q36" s="16" t="str">
        <f>IF($A36="","",IF(SUMPRODUCT(MAX((community_cores_FS!$B$5:$B$597=$A36)*community_cores_FS!$F$5:$F$597))=0,"",SUMPRODUCT(MAX((community_cores_FS!$B$5:$B$597=$A36)*community_cores_FS!$F$5:$F$597))))</f>
        <v/>
      </c>
      <c r="R36" s="16" t="str">
        <f>IF($A36="","",IFERROR(SUMIFS(community_cores_FS!$P$5:$P$597,community_cores_FS!$B$5:$B$597,$A36),""))</f>
        <v/>
      </c>
      <c r="S36" s="16" t="str">
        <f>IF($A36="","",IFERROR(SUMIFS(community_cores_FS!$Q$5:$Q$597,community_cores_FS!$B$5:$B$597,$A36),""))</f>
        <v/>
      </c>
      <c r="T36" s="16" t="str">
        <f t="shared" si="1"/>
        <v/>
      </c>
      <c r="U36" s="16" t="str">
        <f>IF($A36="","",IF(AND($B36&lt;&gt;"",COUNTIF('1. Plot &amp; Site Log'!$A$5:$A$64,$B36)=0),"Plot ID not in Plot &amp; Site Log. ","")&amp;IF(NOT(ISNUMBER($Q36)),"No peat sections logged for this core. ","")&amp;IF($T36="No","Core stops short of the reference depth, so its reference-depth stock is an underestimate. Its full-profile stock is still valid. ","")&amp;IF($L36="No","Core did not reach the mineral contact — the full-profile stock is a MINIMUM, not the whole store. ","")&amp;IF(AND(ISNUMBER($K36),$K36&lt;PEATLAND_MIN_DEPTH_CM),"Organic depth under "&amp;PEATLAND_MIN_DEPTH_CM&amp;" cm: by the guide's definition this is not peatland. Report it, but say so. ","")&amp;IF(AND(ISNUMBER($J36),$J36&lt;QC_RECOVERY_MIN),"Recovered only "&amp;TEXT($J36,"0%")&amp;" of the bore depth — the chamber probably did not fill completely. Material is missing, which is not the same as compaction. ","")&amp;IF(AND(ISNUMBER($J36),$J36&gt;1.05),"Recovered more than the bore depth — check the two measurements. ","")&amp;IF(AND(ISNUMBER($I36),$I36&gt;2),"Surface compaction of "&amp;$I36&amp;" cm: depths in this core sit shallower than in the ground, so depth-limited stock is biased. Full-profile stock is unaffected. ",""))</f>
        <v/>
      </c>
      <c r="V36" s="14"/>
    </row>
    <row r="37" spans="1:22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6" t="str">
        <f t="shared" si="0"/>
        <v/>
      </c>
      <c r="K37" s="14"/>
      <c r="L37" s="14"/>
      <c r="M37" s="14"/>
      <c r="N37" s="14"/>
      <c r="O37" s="14"/>
      <c r="P37" s="14"/>
      <c r="Q37" s="16" t="str">
        <f>IF($A37="","",IF(SUMPRODUCT(MAX((community_cores_FS!$B$5:$B$597=$A37)*community_cores_FS!$F$5:$F$597))=0,"",SUMPRODUCT(MAX((community_cores_FS!$B$5:$B$597=$A37)*community_cores_FS!$F$5:$F$597))))</f>
        <v/>
      </c>
      <c r="R37" s="16" t="str">
        <f>IF($A37="","",IFERROR(SUMIFS(community_cores_FS!$P$5:$P$597,community_cores_FS!$B$5:$B$597,$A37),""))</f>
        <v/>
      </c>
      <c r="S37" s="16" t="str">
        <f>IF($A37="","",IFERROR(SUMIFS(community_cores_FS!$Q$5:$Q$597,community_cores_FS!$B$5:$B$597,$A37),""))</f>
        <v/>
      </c>
      <c r="T37" s="16" t="str">
        <f t="shared" ref="T37:T68" si="2">IF(NOT(ISNUMBER($Q37)),"",IF($Q37&gt;=REFERENCE_DEPTH_CM,"Yes","No"))</f>
        <v/>
      </c>
      <c r="U37" s="16" t="str">
        <f>IF($A37="","",IF(AND($B37&lt;&gt;"",COUNTIF('1. Plot &amp; Site Log'!$A$5:$A$64,$B37)=0),"Plot ID not in Plot &amp; Site Log. ","")&amp;IF(NOT(ISNUMBER($Q37)),"No peat sections logged for this core. ","")&amp;IF($T37="No","Core stops short of the reference depth, so its reference-depth stock is an underestimate. Its full-profile stock is still valid. ","")&amp;IF($L37="No","Core did not reach the mineral contact — the full-profile stock is a MINIMUM, not the whole store. ","")&amp;IF(AND(ISNUMBER($K37),$K37&lt;PEATLAND_MIN_DEPTH_CM),"Organic depth under "&amp;PEATLAND_MIN_DEPTH_CM&amp;" cm: by the guide's definition this is not peatland. Report it, but say so. ","")&amp;IF(AND(ISNUMBER($J37),$J37&lt;QC_RECOVERY_MIN),"Recovered only "&amp;TEXT($J37,"0%")&amp;" of the bore depth — the chamber probably did not fill completely. Material is missing, which is not the same as compaction. ","")&amp;IF(AND(ISNUMBER($J37),$J37&gt;1.05),"Recovered more than the bore depth — check the two measurements. ","")&amp;IF(AND(ISNUMBER($I37),$I37&gt;2),"Surface compaction of "&amp;$I37&amp;" cm: depths in this core sit shallower than in the ground, so depth-limited stock is biased. Full-profile stock is unaffected. ",""))</f>
        <v/>
      </c>
      <c r="V37" s="14"/>
    </row>
    <row r="38" spans="1:22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6" t="str">
        <f t="shared" si="0"/>
        <v/>
      </c>
      <c r="K38" s="14"/>
      <c r="L38" s="14"/>
      <c r="M38" s="14"/>
      <c r="N38" s="14"/>
      <c r="O38" s="14"/>
      <c r="P38" s="14"/>
      <c r="Q38" s="16" t="str">
        <f>IF($A38="","",IF(SUMPRODUCT(MAX((community_cores_FS!$B$5:$B$597=$A38)*community_cores_FS!$F$5:$F$597))=0,"",SUMPRODUCT(MAX((community_cores_FS!$B$5:$B$597=$A38)*community_cores_FS!$F$5:$F$597))))</f>
        <v/>
      </c>
      <c r="R38" s="16" t="str">
        <f>IF($A38="","",IFERROR(SUMIFS(community_cores_FS!$P$5:$P$597,community_cores_FS!$B$5:$B$597,$A38),""))</f>
        <v/>
      </c>
      <c r="S38" s="16" t="str">
        <f>IF($A38="","",IFERROR(SUMIFS(community_cores_FS!$Q$5:$Q$597,community_cores_FS!$B$5:$B$597,$A38),""))</f>
        <v/>
      </c>
      <c r="T38" s="16" t="str">
        <f t="shared" si="2"/>
        <v/>
      </c>
      <c r="U38" s="16" t="str">
        <f>IF($A38="","",IF(AND($B38&lt;&gt;"",COUNTIF('1. Plot &amp; Site Log'!$A$5:$A$64,$B38)=0),"Plot ID not in Plot &amp; Site Log. ","")&amp;IF(NOT(ISNUMBER($Q38)),"No peat sections logged for this core. ","")&amp;IF($T38="No","Core stops short of the reference depth, so its reference-depth stock is an underestimate. Its full-profile stock is still valid. ","")&amp;IF($L38="No","Core did not reach the mineral contact — the full-profile stock is a MINIMUM, not the whole store. ","")&amp;IF(AND(ISNUMBER($K38),$K38&lt;PEATLAND_MIN_DEPTH_CM),"Organic depth under "&amp;PEATLAND_MIN_DEPTH_CM&amp;" cm: by the guide's definition this is not peatland. Report it, but say so. ","")&amp;IF(AND(ISNUMBER($J38),$J38&lt;QC_RECOVERY_MIN),"Recovered only "&amp;TEXT($J38,"0%")&amp;" of the bore depth — the chamber probably did not fill completely. Material is missing, which is not the same as compaction. ","")&amp;IF(AND(ISNUMBER($J38),$J38&gt;1.05),"Recovered more than the bore depth — check the two measurements. ","")&amp;IF(AND(ISNUMBER($I38),$I38&gt;2),"Surface compaction of "&amp;$I38&amp;" cm: depths in this core sit shallower than in the ground, so depth-limited stock is biased. Full-profile stock is unaffected. ",""))</f>
        <v/>
      </c>
      <c r="V38" s="14"/>
    </row>
    <row r="39" spans="1:22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6" t="str">
        <f t="shared" si="0"/>
        <v/>
      </c>
      <c r="K39" s="14"/>
      <c r="L39" s="14"/>
      <c r="M39" s="14"/>
      <c r="N39" s="14"/>
      <c r="O39" s="14"/>
      <c r="P39" s="14"/>
      <c r="Q39" s="16" t="str">
        <f>IF($A39="","",IF(SUMPRODUCT(MAX((community_cores_FS!$B$5:$B$597=$A39)*community_cores_FS!$F$5:$F$597))=0,"",SUMPRODUCT(MAX((community_cores_FS!$B$5:$B$597=$A39)*community_cores_FS!$F$5:$F$597))))</f>
        <v/>
      </c>
      <c r="R39" s="16" t="str">
        <f>IF($A39="","",IFERROR(SUMIFS(community_cores_FS!$P$5:$P$597,community_cores_FS!$B$5:$B$597,$A39),""))</f>
        <v/>
      </c>
      <c r="S39" s="16" t="str">
        <f>IF($A39="","",IFERROR(SUMIFS(community_cores_FS!$Q$5:$Q$597,community_cores_FS!$B$5:$B$597,$A39),""))</f>
        <v/>
      </c>
      <c r="T39" s="16" t="str">
        <f t="shared" si="2"/>
        <v/>
      </c>
      <c r="U39" s="16" t="str">
        <f>IF($A39="","",IF(AND($B39&lt;&gt;"",COUNTIF('1. Plot &amp; Site Log'!$A$5:$A$64,$B39)=0),"Plot ID not in Plot &amp; Site Log. ","")&amp;IF(NOT(ISNUMBER($Q39)),"No peat sections logged for this core. ","")&amp;IF($T39="No","Core stops short of the reference depth, so its reference-depth stock is an underestimate. Its full-profile stock is still valid. ","")&amp;IF($L39="No","Core did not reach the mineral contact — the full-profile stock is a MINIMUM, not the whole store. ","")&amp;IF(AND(ISNUMBER($K39),$K39&lt;PEATLAND_MIN_DEPTH_CM),"Organic depth under "&amp;PEATLAND_MIN_DEPTH_CM&amp;" cm: by the guide's definition this is not peatland. Report it, but say so. ","")&amp;IF(AND(ISNUMBER($J39),$J39&lt;QC_RECOVERY_MIN),"Recovered only "&amp;TEXT($J39,"0%")&amp;" of the bore depth — the chamber probably did not fill completely. Material is missing, which is not the same as compaction. ","")&amp;IF(AND(ISNUMBER($J39),$J39&gt;1.05),"Recovered more than the bore depth — check the two measurements. ","")&amp;IF(AND(ISNUMBER($I39),$I39&gt;2),"Surface compaction of "&amp;$I39&amp;" cm: depths in this core sit shallower than in the ground, so depth-limited stock is biased. Full-profile stock is unaffected. ",""))</f>
        <v/>
      </c>
      <c r="V39" s="14"/>
    </row>
    <row r="40" spans="1:22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6" t="str">
        <f t="shared" si="0"/>
        <v/>
      </c>
      <c r="K40" s="14"/>
      <c r="L40" s="14"/>
      <c r="M40" s="14"/>
      <c r="N40" s="14"/>
      <c r="O40" s="14"/>
      <c r="P40" s="14"/>
      <c r="Q40" s="16" t="str">
        <f>IF($A40="","",IF(SUMPRODUCT(MAX((community_cores_FS!$B$5:$B$597=$A40)*community_cores_FS!$F$5:$F$597))=0,"",SUMPRODUCT(MAX((community_cores_FS!$B$5:$B$597=$A40)*community_cores_FS!$F$5:$F$597))))</f>
        <v/>
      </c>
      <c r="R40" s="16" t="str">
        <f>IF($A40="","",IFERROR(SUMIFS(community_cores_FS!$P$5:$P$597,community_cores_FS!$B$5:$B$597,$A40),""))</f>
        <v/>
      </c>
      <c r="S40" s="16" t="str">
        <f>IF($A40="","",IFERROR(SUMIFS(community_cores_FS!$Q$5:$Q$597,community_cores_FS!$B$5:$B$597,$A40),""))</f>
        <v/>
      </c>
      <c r="T40" s="16" t="str">
        <f t="shared" si="2"/>
        <v/>
      </c>
      <c r="U40" s="16" t="str">
        <f>IF($A40="","",IF(AND($B40&lt;&gt;"",COUNTIF('1. Plot &amp; Site Log'!$A$5:$A$64,$B40)=0),"Plot ID not in Plot &amp; Site Log. ","")&amp;IF(NOT(ISNUMBER($Q40)),"No peat sections logged for this core. ","")&amp;IF($T40="No","Core stops short of the reference depth, so its reference-depth stock is an underestimate. Its full-profile stock is still valid. ","")&amp;IF($L40="No","Core did not reach the mineral contact — the full-profile stock is a MINIMUM, not the whole store. ","")&amp;IF(AND(ISNUMBER($K40),$K40&lt;PEATLAND_MIN_DEPTH_CM),"Organic depth under "&amp;PEATLAND_MIN_DEPTH_CM&amp;" cm: by the guide's definition this is not peatland. Report it, but say so. ","")&amp;IF(AND(ISNUMBER($J40),$J40&lt;QC_RECOVERY_MIN),"Recovered only "&amp;TEXT($J40,"0%")&amp;" of the bore depth — the chamber probably did not fill completely. Material is missing, which is not the same as compaction. ","")&amp;IF(AND(ISNUMBER($J40),$J40&gt;1.05),"Recovered more than the bore depth — check the two measurements. ","")&amp;IF(AND(ISNUMBER($I40),$I40&gt;2),"Surface compaction of "&amp;$I40&amp;" cm: depths in this core sit shallower than in the ground, so depth-limited stock is biased. Full-profile stock is unaffected. ",""))</f>
        <v/>
      </c>
      <c r="V40" s="14"/>
    </row>
    <row r="41" spans="1:22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6" t="str">
        <f t="shared" si="0"/>
        <v/>
      </c>
      <c r="K41" s="14"/>
      <c r="L41" s="14"/>
      <c r="M41" s="14"/>
      <c r="N41" s="14"/>
      <c r="O41" s="14"/>
      <c r="P41" s="14"/>
      <c r="Q41" s="16" t="str">
        <f>IF($A41="","",IF(SUMPRODUCT(MAX((community_cores_FS!$B$5:$B$597=$A41)*community_cores_FS!$F$5:$F$597))=0,"",SUMPRODUCT(MAX((community_cores_FS!$B$5:$B$597=$A41)*community_cores_FS!$F$5:$F$597))))</f>
        <v/>
      </c>
      <c r="R41" s="16" t="str">
        <f>IF($A41="","",IFERROR(SUMIFS(community_cores_FS!$P$5:$P$597,community_cores_FS!$B$5:$B$597,$A41),""))</f>
        <v/>
      </c>
      <c r="S41" s="16" t="str">
        <f>IF($A41="","",IFERROR(SUMIFS(community_cores_FS!$Q$5:$Q$597,community_cores_FS!$B$5:$B$597,$A41),""))</f>
        <v/>
      </c>
      <c r="T41" s="16" t="str">
        <f t="shared" si="2"/>
        <v/>
      </c>
      <c r="U41" s="16" t="str">
        <f>IF($A41="","",IF(AND($B41&lt;&gt;"",COUNTIF('1. Plot &amp; Site Log'!$A$5:$A$64,$B41)=0),"Plot ID not in Plot &amp; Site Log. ","")&amp;IF(NOT(ISNUMBER($Q41)),"No peat sections logged for this core. ","")&amp;IF($T41="No","Core stops short of the reference depth, so its reference-depth stock is an underestimate. Its full-profile stock is still valid. ","")&amp;IF($L41="No","Core did not reach the mineral contact — the full-profile stock is a MINIMUM, not the whole store. ","")&amp;IF(AND(ISNUMBER($K41),$K41&lt;PEATLAND_MIN_DEPTH_CM),"Organic depth under "&amp;PEATLAND_MIN_DEPTH_CM&amp;" cm: by the guide's definition this is not peatland. Report it, but say so. ","")&amp;IF(AND(ISNUMBER($J41),$J41&lt;QC_RECOVERY_MIN),"Recovered only "&amp;TEXT($J41,"0%")&amp;" of the bore depth — the chamber probably did not fill completely. Material is missing, which is not the same as compaction. ","")&amp;IF(AND(ISNUMBER($J41),$J41&gt;1.05),"Recovered more than the bore depth — check the two measurements. ","")&amp;IF(AND(ISNUMBER($I41),$I41&gt;2),"Surface compaction of "&amp;$I41&amp;" cm: depths in this core sit shallower than in the ground, so depth-limited stock is biased. Full-profile stock is unaffected. ",""))</f>
        <v/>
      </c>
      <c r="V41" s="14"/>
    </row>
    <row r="42" spans="1:2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6" t="str">
        <f t="shared" si="0"/>
        <v/>
      </c>
      <c r="K42" s="14"/>
      <c r="L42" s="14"/>
      <c r="M42" s="14"/>
      <c r="N42" s="14"/>
      <c r="O42" s="14"/>
      <c r="P42" s="14"/>
      <c r="Q42" s="16" t="str">
        <f>IF($A42="","",IF(SUMPRODUCT(MAX((community_cores_FS!$B$5:$B$597=$A42)*community_cores_FS!$F$5:$F$597))=0,"",SUMPRODUCT(MAX((community_cores_FS!$B$5:$B$597=$A42)*community_cores_FS!$F$5:$F$597))))</f>
        <v/>
      </c>
      <c r="R42" s="16" t="str">
        <f>IF($A42="","",IFERROR(SUMIFS(community_cores_FS!$P$5:$P$597,community_cores_FS!$B$5:$B$597,$A42),""))</f>
        <v/>
      </c>
      <c r="S42" s="16" t="str">
        <f>IF($A42="","",IFERROR(SUMIFS(community_cores_FS!$Q$5:$Q$597,community_cores_FS!$B$5:$B$597,$A42),""))</f>
        <v/>
      </c>
      <c r="T42" s="16" t="str">
        <f t="shared" si="2"/>
        <v/>
      </c>
      <c r="U42" s="16" t="str">
        <f>IF($A42="","",IF(AND($B42&lt;&gt;"",COUNTIF('1. Plot &amp; Site Log'!$A$5:$A$64,$B42)=0),"Plot ID not in Plot &amp; Site Log. ","")&amp;IF(NOT(ISNUMBER($Q42)),"No peat sections logged for this core. ","")&amp;IF($T42="No","Core stops short of the reference depth, so its reference-depth stock is an underestimate. Its full-profile stock is still valid. ","")&amp;IF($L42="No","Core did not reach the mineral contact — the full-profile stock is a MINIMUM, not the whole store. ","")&amp;IF(AND(ISNUMBER($K42),$K42&lt;PEATLAND_MIN_DEPTH_CM),"Organic depth under "&amp;PEATLAND_MIN_DEPTH_CM&amp;" cm: by the guide's definition this is not peatland. Report it, but say so. ","")&amp;IF(AND(ISNUMBER($J42),$J42&lt;QC_RECOVERY_MIN),"Recovered only "&amp;TEXT($J42,"0%")&amp;" of the bore depth — the chamber probably did not fill completely. Material is missing, which is not the same as compaction. ","")&amp;IF(AND(ISNUMBER($J42),$J42&gt;1.05),"Recovered more than the bore depth — check the two measurements. ","")&amp;IF(AND(ISNUMBER($I42),$I42&gt;2),"Surface compaction of "&amp;$I42&amp;" cm: depths in this core sit shallower than in the ground, so depth-limited stock is biased. Full-profile stock is unaffected. ",""))</f>
        <v/>
      </c>
      <c r="V42" s="14"/>
    </row>
    <row r="43" spans="1:22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6" t="str">
        <f t="shared" si="0"/>
        <v/>
      </c>
      <c r="K43" s="14"/>
      <c r="L43" s="14"/>
      <c r="M43" s="14"/>
      <c r="N43" s="14"/>
      <c r="O43" s="14"/>
      <c r="P43" s="14"/>
      <c r="Q43" s="16" t="str">
        <f>IF($A43="","",IF(SUMPRODUCT(MAX((community_cores_FS!$B$5:$B$597=$A43)*community_cores_FS!$F$5:$F$597))=0,"",SUMPRODUCT(MAX((community_cores_FS!$B$5:$B$597=$A43)*community_cores_FS!$F$5:$F$597))))</f>
        <v/>
      </c>
      <c r="R43" s="16" t="str">
        <f>IF($A43="","",IFERROR(SUMIFS(community_cores_FS!$P$5:$P$597,community_cores_FS!$B$5:$B$597,$A43),""))</f>
        <v/>
      </c>
      <c r="S43" s="16" t="str">
        <f>IF($A43="","",IFERROR(SUMIFS(community_cores_FS!$Q$5:$Q$597,community_cores_FS!$B$5:$B$597,$A43),""))</f>
        <v/>
      </c>
      <c r="T43" s="16" t="str">
        <f t="shared" si="2"/>
        <v/>
      </c>
      <c r="U43" s="16" t="str">
        <f>IF($A43="","",IF(AND($B43&lt;&gt;"",COUNTIF('1. Plot &amp; Site Log'!$A$5:$A$64,$B43)=0),"Plot ID not in Plot &amp; Site Log. ","")&amp;IF(NOT(ISNUMBER($Q43)),"No peat sections logged for this core. ","")&amp;IF($T43="No","Core stops short of the reference depth, so its reference-depth stock is an underestimate. Its full-profile stock is still valid. ","")&amp;IF($L43="No","Core did not reach the mineral contact — the full-profile stock is a MINIMUM, not the whole store. ","")&amp;IF(AND(ISNUMBER($K43),$K43&lt;PEATLAND_MIN_DEPTH_CM),"Organic depth under "&amp;PEATLAND_MIN_DEPTH_CM&amp;" cm: by the guide's definition this is not peatland. Report it, but say so. ","")&amp;IF(AND(ISNUMBER($J43),$J43&lt;QC_RECOVERY_MIN),"Recovered only "&amp;TEXT($J43,"0%")&amp;" of the bore depth — the chamber probably did not fill completely. Material is missing, which is not the same as compaction. ","")&amp;IF(AND(ISNUMBER($J43),$J43&gt;1.05),"Recovered more than the bore depth — check the two measurements. ","")&amp;IF(AND(ISNUMBER($I43),$I43&gt;2),"Surface compaction of "&amp;$I43&amp;" cm: depths in this core sit shallower than in the ground, so depth-limited stock is biased. Full-profile stock is unaffected. ",""))</f>
        <v/>
      </c>
      <c r="V43" s="14"/>
    </row>
    <row r="44" spans="1:22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6" t="str">
        <f t="shared" si="0"/>
        <v/>
      </c>
      <c r="K44" s="14"/>
      <c r="L44" s="14"/>
      <c r="M44" s="14"/>
      <c r="N44" s="14"/>
      <c r="O44" s="14"/>
      <c r="P44" s="14"/>
      <c r="Q44" s="16" t="str">
        <f>IF($A44="","",IF(SUMPRODUCT(MAX((community_cores_FS!$B$5:$B$597=$A44)*community_cores_FS!$F$5:$F$597))=0,"",SUMPRODUCT(MAX((community_cores_FS!$B$5:$B$597=$A44)*community_cores_FS!$F$5:$F$597))))</f>
        <v/>
      </c>
      <c r="R44" s="16" t="str">
        <f>IF($A44="","",IFERROR(SUMIFS(community_cores_FS!$P$5:$P$597,community_cores_FS!$B$5:$B$597,$A44),""))</f>
        <v/>
      </c>
      <c r="S44" s="16" t="str">
        <f>IF($A44="","",IFERROR(SUMIFS(community_cores_FS!$Q$5:$Q$597,community_cores_FS!$B$5:$B$597,$A44),""))</f>
        <v/>
      </c>
      <c r="T44" s="16" t="str">
        <f t="shared" si="2"/>
        <v/>
      </c>
      <c r="U44" s="16" t="str">
        <f>IF($A44="","",IF(AND($B44&lt;&gt;"",COUNTIF('1. Plot &amp; Site Log'!$A$5:$A$64,$B44)=0),"Plot ID not in Plot &amp; Site Log. ","")&amp;IF(NOT(ISNUMBER($Q44)),"No peat sections logged for this core. ","")&amp;IF($T44="No","Core stops short of the reference depth, so its reference-depth stock is an underestimate. Its full-profile stock is still valid. ","")&amp;IF($L44="No","Core did not reach the mineral contact — the full-profile stock is a MINIMUM, not the whole store. ","")&amp;IF(AND(ISNUMBER($K44),$K44&lt;PEATLAND_MIN_DEPTH_CM),"Organic depth under "&amp;PEATLAND_MIN_DEPTH_CM&amp;" cm: by the guide's definition this is not peatland. Report it, but say so. ","")&amp;IF(AND(ISNUMBER($J44),$J44&lt;QC_RECOVERY_MIN),"Recovered only "&amp;TEXT($J44,"0%")&amp;" of the bore depth — the chamber probably did not fill completely. Material is missing, which is not the same as compaction. ","")&amp;IF(AND(ISNUMBER($J44),$J44&gt;1.05),"Recovered more than the bore depth — check the two measurements. ","")&amp;IF(AND(ISNUMBER($I44),$I44&gt;2),"Surface compaction of "&amp;$I44&amp;" cm: depths in this core sit shallower than in the ground, so depth-limited stock is biased. Full-profile stock is unaffected. ",""))</f>
        <v/>
      </c>
      <c r="V44" s="14"/>
    </row>
    <row r="45" spans="1:22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6" t="str">
        <f t="shared" si="0"/>
        <v/>
      </c>
      <c r="K45" s="14"/>
      <c r="L45" s="14"/>
      <c r="M45" s="14"/>
      <c r="N45" s="14"/>
      <c r="O45" s="14"/>
      <c r="P45" s="14"/>
      <c r="Q45" s="16" t="str">
        <f>IF($A45="","",IF(SUMPRODUCT(MAX((community_cores_FS!$B$5:$B$597=$A45)*community_cores_FS!$F$5:$F$597))=0,"",SUMPRODUCT(MAX((community_cores_FS!$B$5:$B$597=$A45)*community_cores_FS!$F$5:$F$597))))</f>
        <v/>
      </c>
      <c r="R45" s="16" t="str">
        <f>IF($A45="","",IFERROR(SUMIFS(community_cores_FS!$P$5:$P$597,community_cores_FS!$B$5:$B$597,$A45),""))</f>
        <v/>
      </c>
      <c r="S45" s="16" t="str">
        <f>IF($A45="","",IFERROR(SUMIFS(community_cores_FS!$Q$5:$Q$597,community_cores_FS!$B$5:$B$597,$A45),""))</f>
        <v/>
      </c>
      <c r="T45" s="16" t="str">
        <f t="shared" si="2"/>
        <v/>
      </c>
      <c r="U45" s="16" t="str">
        <f>IF($A45="","",IF(AND($B45&lt;&gt;"",COUNTIF('1. Plot &amp; Site Log'!$A$5:$A$64,$B45)=0),"Plot ID not in Plot &amp; Site Log. ","")&amp;IF(NOT(ISNUMBER($Q45)),"No peat sections logged for this core. ","")&amp;IF($T45="No","Core stops short of the reference depth, so its reference-depth stock is an underestimate. Its full-profile stock is still valid. ","")&amp;IF($L45="No","Core did not reach the mineral contact — the full-profile stock is a MINIMUM, not the whole store. ","")&amp;IF(AND(ISNUMBER($K45),$K45&lt;PEATLAND_MIN_DEPTH_CM),"Organic depth under "&amp;PEATLAND_MIN_DEPTH_CM&amp;" cm: by the guide's definition this is not peatland. Report it, but say so. ","")&amp;IF(AND(ISNUMBER($J45),$J45&lt;QC_RECOVERY_MIN),"Recovered only "&amp;TEXT($J45,"0%")&amp;" of the bore depth — the chamber probably did not fill completely. Material is missing, which is not the same as compaction. ","")&amp;IF(AND(ISNUMBER($J45),$J45&gt;1.05),"Recovered more than the bore depth — check the two measurements. ","")&amp;IF(AND(ISNUMBER($I45),$I45&gt;2),"Surface compaction of "&amp;$I45&amp;" cm: depths in this core sit shallower than in the ground, so depth-limited stock is biased. Full-profile stock is unaffected. ",""))</f>
        <v/>
      </c>
      <c r="V45" s="14"/>
    </row>
    <row r="46" spans="1:22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6" t="str">
        <f t="shared" si="0"/>
        <v/>
      </c>
      <c r="K46" s="14"/>
      <c r="L46" s="14"/>
      <c r="M46" s="14"/>
      <c r="N46" s="14"/>
      <c r="O46" s="14"/>
      <c r="P46" s="14"/>
      <c r="Q46" s="16" t="str">
        <f>IF($A46="","",IF(SUMPRODUCT(MAX((community_cores_FS!$B$5:$B$597=$A46)*community_cores_FS!$F$5:$F$597))=0,"",SUMPRODUCT(MAX((community_cores_FS!$B$5:$B$597=$A46)*community_cores_FS!$F$5:$F$597))))</f>
        <v/>
      </c>
      <c r="R46" s="16" t="str">
        <f>IF($A46="","",IFERROR(SUMIFS(community_cores_FS!$P$5:$P$597,community_cores_FS!$B$5:$B$597,$A46),""))</f>
        <v/>
      </c>
      <c r="S46" s="16" t="str">
        <f>IF($A46="","",IFERROR(SUMIFS(community_cores_FS!$Q$5:$Q$597,community_cores_FS!$B$5:$B$597,$A46),""))</f>
        <v/>
      </c>
      <c r="T46" s="16" t="str">
        <f t="shared" si="2"/>
        <v/>
      </c>
      <c r="U46" s="16" t="str">
        <f>IF($A46="","",IF(AND($B46&lt;&gt;"",COUNTIF('1. Plot &amp; Site Log'!$A$5:$A$64,$B46)=0),"Plot ID not in Plot &amp; Site Log. ","")&amp;IF(NOT(ISNUMBER($Q46)),"No peat sections logged for this core. ","")&amp;IF($T46="No","Core stops short of the reference depth, so its reference-depth stock is an underestimate. Its full-profile stock is still valid. ","")&amp;IF($L46="No","Core did not reach the mineral contact — the full-profile stock is a MINIMUM, not the whole store. ","")&amp;IF(AND(ISNUMBER($K46),$K46&lt;PEATLAND_MIN_DEPTH_CM),"Organic depth under "&amp;PEATLAND_MIN_DEPTH_CM&amp;" cm: by the guide's definition this is not peatland. Report it, but say so. ","")&amp;IF(AND(ISNUMBER($J46),$J46&lt;QC_RECOVERY_MIN),"Recovered only "&amp;TEXT($J46,"0%")&amp;" of the bore depth — the chamber probably did not fill completely. Material is missing, which is not the same as compaction. ","")&amp;IF(AND(ISNUMBER($J46),$J46&gt;1.05),"Recovered more than the bore depth — check the two measurements. ","")&amp;IF(AND(ISNUMBER($I46),$I46&gt;2),"Surface compaction of "&amp;$I46&amp;" cm: depths in this core sit shallower than in the ground, so depth-limited stock is biased. Full-profile stock is unaffected. ",""))</f>
        <v/>
      </c>
      <c r="V46" s="14"/>
    </row>
    <row r="47" spans="1:22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6" t="str">
        <f t="shared" si="0"/>
        <v/>
      </c>
      <c r="K47" s="14"/>
      <c r="L47" s="14"/>
      <c r="M47" s="14"/>
      <c r="N47" s="14"/>
      <c r="O47" s="14"/>
      <c r="P47" s="14"/>
      <c r="Q47" s="16" t="str">
        <f>IF($A47="","",IF(SUMPRODUCT(MAX((community_cores_FS!$B$5:$B$597=$A47)*community_cores_FS!$F$5:$F$597))=0,"",SUMPRODUCT(MAX((community_cores_FS!$B$5:$B$597=$A47)*community_cores_FS!$F$5:$F$597))))</f>
        <v/>
      </c>
      <c r="R47" s="16" t="str">
        <f>IF($A47="","",IFERROR(SUMIFS(community_cores_FS!$P$5:$P$597,community_cores_FS!$B$5:$B$597,$A47),""))</f>
        <v/>
      </c>
      <c r="S47" s="16" t="str">
        <f>IF($A47="","",IFERROR(SUMIFS(community_cores_FS!$Q$5:$Q$597,community_cores_FS!$B$5:$B$597,$A47),""))</f>
        <v/>
      </c>
      <c r="T47" s="16" t="str">
        <f t="shared" si="2"/>
        <v/>
      </c>
      <c r="U47" s="16" t="str">
        <f>IF($A47="","",IF(AND($B47&lt;&gt;"",COUNTIF('1. Plot &amp; Site Log'!$A$5:$A$64,$B47)=0),"Plot ID not in Plot &amp; Site Log. ","")&amp;IF(NOT(ISNUMBER($Q47)),"No peat sections logged for this core. ","")&amp;IF($T47="No","Core stops short of the reference depth, so its reference-depth stock is an underestimate. Its full-profile stock is still valid. ","")&amp;IF($L47="No","Core did not reach the mineral contact — the full-profile stock is a MINIMUM, not the whole store. ","")&amp;IF(AND(ISNUMBER($K47),$K47&lt;PEATLAND_MIN_DEPTH_CM),"Organic depth under "&amp;PEATLAND_MIN_DEPTH_CM&amp;" cm: by the guide's definition this is not peatland. Report it, but say so. ","")&amp;IF(AND(ISNUMBER($J47),$J47&lt;QC_RECOVERY_MIN),"Recovered only "&amp;TEXT($J47,"0%")&amp;" of the bore depth — the chamber probably did not fill completely. Material is missing, which is not the same as compaction. ","")&amp;IF(AND(ISNUMBER($J47),$J47&gt;1.05),"Recovered more than the bore depth — check the two measurements. ","")&amp;IF(AND(ISNUMBER($I47),$I47&gt;2),"Surface compaction of "&amp;$I47&amp;" cm: depths in this core sit shallower than in the ground, so depth-limited stock is biased. Full-profile stock is unaffected. ",""))</f>
        <v/>
      </c>
      <c r="V47" s="14"/>
    </row>
    <row r="48" spans="1:22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6" t="str">
        <f t="shared" si="0"/>
        <v/>
      </c>
      <c r="K48" s="14"/>
      <c r="L48" s="14"/>
      <c r="M48" s="14"/>
      <c r="N48" s="14"/>
      <c r="O48" s="14"/>
      <c r="P48" s="14"/>
      <c r="Q48" s="16" t="str">
        <f>IF($A48="","",IF(SUMPRODUCT(MAX((community_cores_FS!$B$5:$B$597=$A48)*community_cores_FS!$F$5:$F$597))=0,"",SUMPRODUCT(MAX((community_cores_FS!$B$5:$B$597=$A48)*community_cores_FS!$F$5:$F$597))))</f>
        <v/>
      </c>
      <c r="R48" s="16" t="str">
        <f>IF($A48="","",IFERROR(SUMIFS(community_cores_FS!$P$5:$P$597,community_cores_FS!$B$5:$B$597,$A48),""))</f>
        <v/>
      </c>
      <c r="S48" s="16" t="str">
        <f>IF($A48="","",IFERROR(SUMIFS(community_cores_FS!$Q$5:$Q$597,community_cores_FS!$B$5:$B$597,$A48),""))</f>
        <v/>
      </c>
      <c r="T48" s="16" t="str">
        <f t="shared" si="2"/>
        <v/>
      </c>
      <c r="U48" s="16" t="str">
        <f>IF($A48="","",IF(AND($B48&lt;&gt;"",COUNTIF('1. Plot &amp; Site Log'!$A$5:$A$64,$B48)=0),"Plot ID not in Plot &amp; Site Log. ","")&amp;IF(NOT(ISNUMBER($Q48)),"No peat sections logged for this core. ","")&amp;IF($T48="No","Core stops short of the reference depth, so its reference-depth stock is an underestimate. Its full-profile stock is still valid. ","")&amp;IF($L48="No","Core did not reach the mineral contact — the full-profile stock is a MINIMUM, not the whole store. ","")&amp;IF(AND(ISNUMBER($K48),$K48&lt;PEATLAND_MIN_DEPTH_CM),"Organic depth under "&amp;PEATLAND_MIN_DEPTH_CM&amp;" cm: by the guide's definition this is not peatland. Report it, but say so. ","")&amp;IF(AND(ISNUMBER($J48),$J48&lt;QC_RECOVERY_MIN),"Recovered only "&amp;TEXT($J48,"0%")&amp;" of the bore depth — the chamber probably did not fill completely. Material is missing, which is not the same as compaction. ","")&amp;IF(AND(ISNUMBER($J48),$J48&gt;1.05),"Recovered more than the bore depth — check the two measurements. ","")&amp;IF(AND(ISNUMBER($I48),$I48&gt;2),"Surface compaction of "&amp;$I48&amp;" cm: depths in this core sit shallower than in the ground, so depth-limited stock is biased. Full-profile stock is unaffected. ",""))</f>
        <v/>
      </c>
      <c r="V48" s="14"/>
    </row>
    <row r="49" spans="1:22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6" t="str">
        <f t="shared" si="0"/>
        <v/>
      </c>
      <c r="K49" s="14"/>
      <c r="L49" s="14"/>
      <c r="M49" s="14"/>
      <c r="N49" s="14"/>
      <c r="O49" s="14"/>
      <c r="P49" s="14"/>
      <c r="Q49" s="16" t="str">
        <f>IF($A49="","",IF(SUMPRODUCT(MAX((community_cores_FS!$B$5:$B$597=$A49)*community_cores_FS!$F$5:$F$597))=0,"",SUMPRODUCT(MAX((community_cores_FS!$B$5:$B$597=$A49)*community_cores_FS!$F$5:$F$597))))</f>
        <v/>
      </c>
      <c r="R49" s="16" t="str">
        <f>IF($A49="","",IFERROR(SUMIFS(community_cores_FS!$P$5:$P$597,community_cores_FS!$B$5:$B$597,$A49),""))</f>
        <v/>
      </c>
      <c r="S49" s="16" t="str">
        <f>IF($A49="","",IFERROR(SUMIFS(community_cores_FS!$Q$5:$Q$597,community_cores_FS!$B$5:$B$597,$A49),""))</f>
        <v/>
      </c>
      <c r="T49" s="16" t="str">
        <f t="shared" si="2"/>
        <v/>
      </c>
      <c r="U49" s="16" t="str">
        <f>IF($A49="","",IF(AND($B49&lt;&gt;"",COUNTIF('1. Plot &amp; Site Log'!$A$5:$A$64,$B49)=0),"Plot ID not in Plot &amp; Site Log. ","")&amp;IF(NOT(ISNUMBER($Q49)),"No peat sections logged for this core. ","")&amp;IF($T49="No","Core stops short of the reference depth, so its reference-depth stock is an underestimate. Its full-profile stock is still valid. ","")&amp;IF($L49="No","Core did not reach the mineral contact — the full-profile stock is a MINIMUM, not the whole store. ","")&amp;IF(AND(ISNUMBER($K49),$K49&lt;PEATLAND_MIN_DEPTH_CM),"Organic depth under "&amp;PEATLAND_MIN_DEPTH_CM&amp;" cm: by the guide's definition this is not peatland. Report it, but say so. ","")&amp;IF(AND(ISNUMBER($J49),$J49&lt;QC_RECOVERY_MIN),"Recovered only "&amp;TEXT($J49,"0%")&amp;" of the bore depth — the chamber probably did not fill completely. Material is missing, which is not the same as compaction. ","")&amp;IF(AND(ISNUMBER($J49),$J49&gt;1.05),"Recovered more than the bore depth — check the two measurements. ","")&amp;IF(AND(ISNUMBER($I49),$I49&gt;2),"Surface compaction of "&amp;$I49&amp;" cm: depths in this core sit shallower than in the ground, so depth-limited stock is biased. Full-profile stock is unaffected. ",""))</f>
        <v/>
      </c>
      <c r="V49" s="14"/>
    </row>
    <row r="50" spans="1:22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6" t="str">
        <f t="shared" si="0"/>
        <v/>
      </c>
      <c r="K50" s="14"/>
      <c r="L50" s="14"/>
      <c r="M50" s="14"/>
      <c r="N50" s="14"/>
      <c r="O50" s="14"/>
      <c r="P50" s="14"/>
      <c r="Q50" s="16" t="str">
        <f>IF($A50="","",IF(SUMPRODUCT(MAX((community_cores_FS!$B$5:$B$597=$A50)*community_cores_FS!$F$5:$F$597))=0,"",SUMPRODUCT(MAX((community_cores_FS!$B$5:$B$597=$A50)*community_cores_FS!$F$5:$F$597))))</f>
        <v/>
      </c>
      <c r="R50" s="16" t="str">
        <f>IF($A50="","",IFERROR(SUMIFS(community_cores_FS!$P$5:$P$597,community_cores_FS!$B$5:$B$597,$A50),""))</f>
        <v/>
      </c>
      <c r="S50" s="16" t="str">
        <f>IF($A50="","",IFERROR(SUMIFS(community_cores_FS!$Q$5:$Q$597,community_cores_FS!$B$5:$B$597,$A50),""))</f>
        <v/>
      </c>
      <c r="T50" s="16" t="str">
        <f t="shared" si="2"/>
        <v/>
      </c>
      <c r="U50" s="16" t="str">
        <f>IF($A50="","",IF(AND($B50&lt;&gt;"",COUNTIF('1. Plot &amp; Site Log'!$A$5:$A$64,$B50)=0),"Plot ID not in Plot &amp; Site Log. ","")&amp;IF(NOT(ISNUMBER($Q50)),"No peat sections logged for this core. ","")&amp;IF($T50="No","Core stops short of the reference depth, so its reference-depth stock is an underestimate. Its full-profile stock is still valid. ","")&amp;IF($L50="No","Core did not reach the mineral contact — the full-profile stock is a MINIMUM, not the whole store. ","")&amp;IF(AND(ISNUMBER($K50),$K50&lt;PEATLAND_MIN_DEPTH_CM),"Organic depth under "&amp;PEATLAND_MIN_DEPTH_CM&amp;" cm: by the guide's definition this is not peatland. Report it, but say so. ","")&amp;IF(AND(ISNUMBER($J50),$J50&lt;QC_RECOVERY_MIN),"Recovered only "&amp;TEXT($J50,"0%")&amp;" of the bore depth — the chamber probably did not fill completely. Material is missing, which is not the same as compaction. ","")&amp;IF(AND(ISNUMBER($J50),$J50&gt;1.05),"Recovered more than the bore depth — check the two measurements. ","")&amp;IF(AND(ISNUMBER($I50),$I50&gt;2),"Surface compaction of "&amp;$I50&amp;" cm: depths in this core sit shallower than in the ground, so depth-limited stock is biased. Full-profile stock is unaffected. ",""))</f>
        <v/>
      </c>
      <c r="V50" s="14"/>
    </row>
    <row r="51" spans="1:22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6" t="str">
        <f t="shared" si="0"/>
        <v/>
      </c>
      <c r="K51" s="14"/>
      <c r="L51" s="14"/>
      <c r="M51" s="14"/>
      <c r="N51" s="14"/>
      <c r="O51" s="14"/>
      <c r="P51" s="14"/>
      <c r="Q51" s="16" t="str">
        <f>IF($A51="","",IF(SUMPRODUCT(MAX((community_cores_FS!$B$5:$B$597=$A51)*community_cores_FS!$F$5:$F$597))=0,"",SUMPRODUCT(MAX((community_cores_FS!$B$5:$B$597=$A51)*community_cores_FS!$F$5:$F$597))))</f>
        <v/>
      </c>
      <c r="R51" s="16" t="str">
        <f>IF($A51="","",IFERROR(SUMIFS(community_cores_FS!$P$5:$P$597,community_cores_FS!$B$5:$B$597,$A51),""))</f>
        <v/>
      </c>
      <c r="S51" s="16" t="str">
        <f>IF($A51="","",IFERROR(SUMIFS(community_cores_FS!$Q$5:$Q$597,community_cores_FS!$B$5:$B$597,$A51),""))</f>
        <v/>
      </c>
      <c r="T51" s="16" t="str">
        <f t="shared" si="2"/>
        <v/>
      </c>
      <c r="U51" s="16" t="str">
        <f>IF($A51="","",IF(AND($B51&lt;&gt;"",COUNTIF('1. Plot &amp; Site Log'!$A$5:$A$64,$B51)=0),"Plot ID not in Plot &amp; Site Log. ","")&amp;IF(NOT(ISNUMBER($Q51)),"No peat sections logged for this core. ","")&amp;IF($T51="No","Core stops short of the reference depth, so its reference-depth stock is an underestimate. Its full-profile stock is still valid. ","")&amp;IF($L51="No","Core did not reach the mineral contact — the full-profile stock is a MINIMUM, not the whole store. ","")&amp;IF(AND(ISNUMBER($K51),$K51&lt;PEATLAND_MIN_DEPTH_CM),"Organic depth under "&amp;PEATLAND_MIN_DEPTH_CM&amp;" cm: by the guide's definition this is not peatland. Report it, but say so. ","")&amp;IF(AND(ISNUMBER($J51),$J51&lt;QC_RECOVERY_MIN),"Recovered only "&amp;TEXT($J51,"0%")&amp;" of the bore depth — the chamber probably did not fill completely. Material is missing, which is not the same as compaction. ","")&amp;IF(AND(ISNUMBER($J51),$J51&gt;1.05),"Recovered more than the bore depth — check the two measurements. ","")&amp;IF(AND(ISNUMBER($I51),$I51&gt;2),"Surface compaction of "&amp;$I51&amp;" cm: depths in this core sit shallower than in the ground, so depth-limited stock is biased. Full-profile stock is unaffected. ",""))</f>
        <v/>
      </c>
      <c r="V51" s="14"/>
    </row>
    <row r="52" spans="1:2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6" t="str">
        <f t="shared" si="0"/>
        <v/>
      </c>
      <c r="K52" s="14"/>
      <c r="L52" s="14"/>
      <c r="M52" s="14"/>
      <c r="N52" s="14"/>
      <c r="O52" s="14"/>
      <c r="P52" s="14"/>
      <c r="Q52" s="16" t="str">
        <f>IF($A52="","",IF(SUMPRODUCT(MAX((community_cores_FS!$B$5:$B$597=$A52)*community_cores_FS!$F$5:$F$597))=0,"",SUMPRODUCT(MAX((community_cores_FS!$B$5:$B$597=$A52)*community_cores_FS!$F$5:$F$597))))</f>
        <v/>
      </c>
      <c r="R52" s="16" t="str">
        <f>IF($A52="","",IFERROR(SUMIFS(community_cores_FS!$P$5:$P$597,community_cores_FS!$B$5:$B$597,$A52),""))</f>
        <v/>
      </c>
      <c r="S52" s="16" t="str">
        <f>IF($A52="","",IFERROR(SUMIFS(community_cores_FS!$Q$5:$Q$597,community_cores_FS!$B$5:$B$597,$A52),""))</f>
        <v/>
      </c>
      <c r="T52" s="16" t="str">
        <f t="shared" si="2"/>
        <v/>
      </c>
      <c r="U52" s="16" t="str">
        <f>IF($A52="","",IF(AND($B52&lt;&gt;"",COUNTIF('1. Plot &amp; Site Log'!$A$5:$A$64,$B52)=0),"Plot ID not in Plot &amp; Site Log. ","")&amp;IF(NOT(ISNUMBER($Q52)),"No peat sections logged for this core. ","")&amp;IF($T52="No","Core stops short of the reference depth, so its reference-depth stock is an underestimate. Its full-profile stock is still valid. ","")&amp;IF($L52="No","Core did not reach the mineral contact — the full-profile stock is a MINIMUM, not the whole store. ","")&amp;IF(AND(ISNUMBER($K52),$K52&lt;PEATLAND_MIN_DEPTH_CM),"Organic depth under "&amp;PEATLAND_MIN_DEPTH_CM&amp;" cm: by the guide's definition this is not peatland. Report it, but say so. ","")&amp;IF(AND(ISNUMBER($J52),$J52&lt;QC_RECOVERY_MIN),"Recovered only "&amp;TEXT($J52,"0%")&amp;" of the bore depth — the chamber probably did not fill completely. Material is missing, which is not the same as compaction. ","")&amp;IF(AND(ISNUMBER($J52),$J52&gt;1.05),"Recovered more than the bore depth — check the two measurements. ","")&amp;IF(AND(ISNUMBER($I52),$I52&gt;2),"Surface compaction of "&amp;$I52&amp;" cm: depths in this core sit shallower than in the ground, so depth-limited stock is biased. Full-profile stock is unaffected. ",""))</f>
        <v/>
      </c>
      <c r="V52" s="14"/>
    </row>
    <row r="53" spans="1:22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6" t="str">
        <f t="shared" si="0"/>
        <v/>
      </c>
      <c r="K53" s="14"/>
      <c r="L53" s="14"/>
      <c r="M53" s="14"/>
      <c r="N53" s="14"/>
      <c r="O53" s="14"/>
      <c r="P53" s="14"/>
      <c r="Q53" s="16" t="str">
        <f>IF($A53="","",IF(SUMPRODUCT(MAX((community_cores_FS!$B$5:$B$597=$A53)*community_cores_FS!$F$5:$F$597))=0,"",SUMPRODUCT(MAX((community_cores_FS!$B$5:$B$597=$A53)*community_cores_FS!$F$5:$F$597))))</f>
        <v/>
      </c>
      <c r="R53" s="16" t="str">
        <f>IF($A53="","",IFERROR(SUMIFS(community_cores_FS!$P$5:$P$597,community_cores_FS!$B$5:$B$597,$A53),""))</f>
        <v/>
      </c>
      <c r="S53" s="16" t="str">
        <f>IF($A53="","",IFERROR(SUMIFS(community_cores_FS!$Q$5:$Q$597,community_cores_FS!$B$5:$B$597,$A53),""))</f>
        <v/>
      </c>
      <c r="T53" s="16" t="str">
        <f t="shared" si="2"/>
        <v/>
      </c>
      <c r="U53" s="16" t="str">
        <f>IF($A53="","",IF(AND($B53&lt;&gt;"",COUNTIF('1. Plot &amp; Site Log'!$A$5:$A$64,$B53)=0),"Plot ID not in Plot &amp; Site Log. ","")&amp;IF(NOT(ISNUMBER($Q53)),"No peat sections logged for this core. ","")&amp;IF($T53="No","Core stops short of the reference depth, so its reference-depth stock is an underestimate. Its full-profile stock is still valid. ","")&amp;IF($L53="No","Core did not reach the mineral contact — the full-profile stock is a MINIMUM, not the whole store. ","")&amp;IF(AND(ISNUMBER($K53),$K53&lt;PEATLAND_MIN_DEPTH_CM),"Organic depth under "&amp;PEATLAND_MIN_DEPTH_CM&amp;" cm: by the guide's definition this is not peatland. Report it, but say so. ","")&amp;IF(AND(ISNUMBER($J53),$J53&lt;QC_RECOVERY_MIN),"Recovered only "&amp;TEXT($J53,"0%")&amp;" of the bore depth — the chamber probably did not fill completely. Material is missing, which is not the same as compaction. ","")&amp;IF(AND(ISNUMBER($J53),$J53&gt;1.05),"Recovered more than the bore depth — check the two measurements. ","")&amp;IF(AND(ISNUMBER($I53),$I53&gt;2),"Surface compaction of "&amp;$I53&amp;" cm: depths in this core sit shallower than in the ground, so depth-limited stock is biased. Full-profile stock is unaffected. ",""))</f>
        <v/>
      </c>
      <c r="V53" s="14"/>
    </row>
    <row r="54" spans="1:22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6" t="str">
        <f t="shared" si="0"/>
        <v/>
      </c>
      <c r="K54" s="14"/>
      <c r="L54" s="14"/>
      <c r="M54" s="14"/>
      <c r="N54" s="14"/>
      <c r="O54" s="14"/>
      <c r="P54" s="14"/>
      <c r="Q54" s="16" t="str">
        <f>IF($A54="","",IF(SUMPRODUCT(MAX((community_cores_FS!$B$5:$B$597=$A54)*community_cores_FS!$F$5:$F$597))=0,"",SUMPRODUCT(MAX((community_cores_FS!$B$5:$B$597=$A54)*community_cores_FS!$F$5:$F$597))))</f>
        <v/>
      </c>
      <c r="R54" s="16" t="str">
        <f>IF($A54="","",IFERROR(SUMIFS(community_cores_FS!$P$5:$P$597,community_cores_FS!$B$5:$B$597,$A54),""))</f>
        <v/>
      </c>
      <c r="S54" s="16" t="str">
        <f>IF($A54="","",IFERROR(SUMIFS(community_cores_FS!$Q$5:$Q$597,community_cores_FS!$B$5:$B$597,$A54),""))</f>
        <v/>
      </c>
      <c r="T54" s="16" t="str">
        <f t="shared" si="2"/>
        <v/>
      </c>
      <c r="U54" s="16" t="str">
        <f>IF($A54="","",IF(AND($B54&lt;&gt;"",COUNTIF('1. Plot &amp; Site Log'!$A$5:$A$64,$B54)=0),"Plot ID not in Plot &amp; Site Log. ","")&amp;IF(NOT(ISNUMBER($Q54)),"No peat sections logged for this core. ","")&amp;IF($T54="No","Core stops short of the reference depth, so its reference-depth stock is an underestimate. Its full-profile stock is still valid. ","")&amp;IF($L54="No","Core did not reach the mineral contact — the full-profile stock is a MINIMUM, not the whole store. ","")&amp;IF(AND(ISNUMBER($K54),$K54&lt;PEATLAND_MIN_DEPTH_CM),"Organic depth under "&amp;PEATLAND_MIN_DEPTH_CM&amp;" cm: by the guide's definition this is not peatland. Report it, but say so. ","")&amp;IF(AND(ISNUMBER($J54),$J54&lt;QC_RECOVERY_MIN),"Recovered only "&amp;TEXT($J54,"0%")&amp;" of the bore depth — the chamber probably did not fill completely. Material is missing, which is not the same as compaction. ","")&amp;IF(AND(ISNUMBER($J54),$J54&gt;1.05),"Recovered more than the bore depth — check the two measurements. ","")&amp;IF(AND(ISNUMBER($I54),$I54&gt;2),"Surface compaction of "&amp;$I54&amp;" cm: depths in this core sit shallower than in the ground, so depth-limited stock is biased. Full-profile stock is unaffected. ",""))</f>
        <v/>
      </c>
      <c r="V54" s="14"/>
    </row>
    <row r="55" spans="1:22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6" t="str">
        <f t="shared" si="0"/>
        <v/>
      </c>
      <c r="K55" s="14"/>
      <c r="L55" s="14"/>
      <c r="M55" s="14"/>
      <c r="N55" s="14"/>
      <c r="O55" s="14"/>
      <c r="P55" s="14"/>
      <c r="Q55" s="16" t="str">
        <f>IF($A55="","",IF(SUMPRODUCT(MAX((community_cores_FS!$B$5:$B$597=$A55)*community_cores_FS!$F$5:$F$597))=0,"",SUMPRODUCT(MAX((community_cores_FS!$B$5:$B$597=$A55)*community_cores_FS!$F$5:$F$597))))</f>
        <v/>
      </c>
      <c r="R55" s="16" t="str">
        <f>IF($A55="","",IFERROR(SUMIFS(community_cores_FS!$P$5:$P$597,community_cores_FS!$B$5:$B$597,$A55),""))</f>
        <v/>
      </c>
      <c r="S55" s="16" t="str">
        <f>IF($A55="","",IFERROR(SUMIFS(community_cores_FS!$Q$5:$Q$597,community_cores_FS!$B$5:$B$597,$A55),""))</f>
        <v/>
      </c>
      <c r="T55" s="16" t="str">
        <f t="shared" si="2"/>
        <v/>
      </c>
      <c r="U55" s="16" t="str">
        <f>IF($A55="","",IF(AND($B55&lt;&gt;"",COUNTIF('1. Plot &amp; Site Log'!$A$5:$A$64,$B55)=0),"Plot ID not in Plot &amp; Site Log. ","")&amp;IF(NOT(ISNUMBER($Q55)),"No peat sections logged for this core. ","")&amp;IF($T55="No","Core stops short of the reference depth, so its reference-depth stock is an underestimate. Its full-profile stock is still valid. ","")&amp;IF($L55="No","Core did not reach the mineral contact — the full-profile stock is a MINIMUM, not the whole store. ","")&amp;IF(AND(ISNUMBER($K55),$K55&lt;PEATLAND_MIN_DEPTH_CM),"Organic depth under "&amp;PEATLAND_MIN_DEPTH_CM&amp;" cm: by the guide's definition this is not peatland. Report it, but say so. ","")&amp;IF(AND(ISNUMBER($J55),$J55&lt;QC_RECOVERY_MIN),"Recovered only "&amp;TEXT($J55,"0%")&amp;" of the bore depth — the chamber probably did not fill completely. Material is missing, which is not the same as compaction. ","")&amp;IF(AND(ISNUMBER($J55),$J55&gt;1.05),"Recovered more than the bore depth — check the two measurements. ","")&amp;IF(AND(ISNUMBER($I55),$I55&gt;2),"Surface compaction of "&amp;$I55&amp;" cm: depths in this core sit shallower than in the ground, so depth-limited stock is biased. Full-profile stock is unaffected. ",""))</f>
        <v/>
      </c>
      <c r="V55" s="14"/>
    </row>
    <row r="56" spans="1:22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6" t="str">
        <f t="shared" si="0"/>
        <v/>
      </c>
      <c r="K56" s="14"/>
      <c r="L56" s="14"/>
      <c r="M56" s="14"/>
      <c r="N56" s="14"/>
      <c r="O56" s="14"/>
      <c r="P56" s="14"/>
      <c r="Q56" s="16" t="str">
        <f>IF($A56="","",IF(SUMPRODUCT(MAX((community_cores_FS!$B$5:$B$597=$A56)*community_cores_FS!$F$5:$F$597))=0,"",SUMPRODUCT(MAX((community_cores_FS!$B$5:$B$597=$A56)*community_cores_FS!$F$5:$F$597))))</f>
        <v/>
      </c>
      <c r="R56" s="16" t="str">
        <f>IF($A56="","",IFERROR(SUMIFS(community_cores_FS!$P$5:$P$597,community_cores_FS!$B$5:$B$597,$A56),""))</f>
        <v/>
      </c>
      <c r="S56" s="16" t="str">
        <f>IF($A56="","",IFERROR(SUMIFS(community_cores_FS!$Q$5:$Q$597,community_cores_FS!$B$5:$B$597,$A56),""))</f>
        <v/>
      </c>
      <c r="T56" s="16" t="str">
        <f t="shared" si="2"/>
        <v/>
      </c>
      <c r="U56" s="16" t="str">
        <f>IF($A56="","",IF(AND($B56&lt;&gt;"",COUNTIF('1. Plot &amp; Site Log'!$A$5:$A$64,$B56)=0),"Plot ID not in Plot &amp; Site Log. ","")&amp;IF(NOT(ISNUMBER($Q56)),"No peat sections logged for this core. ","")&amp;IF($T56="No","Core stops short of the reference depth, so its reference-depth stock is an underestimate. Its full-profile stock is still valid. ","")&amp;IF($L56="No","Core did not reach the mineral contact — the full-profile stock is a MINIMUM, not the whole store. ","")&amp;IF(AND(ISNUMBER($K56),$K56&lt;PEATLAND_MIN_DEPTH_CM),"Organic depth under "&amp;PEATLAND_MIN_DEPTH_CM&amp;" cm: by the guide's definition this is not peatland. Report it, but say so. ","")&amp;IF(AND(ISNUMBER($J56),$J56&lt;QC_RECOVERY_MIN),"Recovered only "&amp;TEXT($J56,"0%")&amp;" of the bore depth — the chamber probably did not fill completely. Material is missing, which is not the same as compaction. ","")&amp;IF(AND(ISNUMBER($J56),$J56&gt;1.05),"Recovered more than the bore depth — check the two measurements. ","")&amp;IF(AND(ISNUMBER($I56),$I56&gt;2),"Surface compaction of "&amp;$I56&amp;" cm: depths in this core sit shallower than in the ground, so depth-limited stock is biased. Full-profile stock is unaffected. ",""))</f>
        <v/>
      </c>
      <c r="V56" s="14"/>
    </row>
    <row r="57" spans="1:22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6" t="str">
        <f t="shared" si="0"/>
        <v/>
      </c>
      <c r="K57" s="14"/>
      <c r="L57" s="14"/>
      <c r="M57" s="14"/>
      <c r="N57" s="14"/>
      <c r="O57" s="14"/>
      <c r="P57" s="14"/>
      <c r="Q57" s="16" t="str">
        <f>IF($A57="","",IF(SUMPRODUCT(MAX((community_cores_FS!$B$5:$B$597=$A57)*community_cores_FS!$F$5:$F$597))=0,"",SUMPRODUCT(MAX((community_cores_FS!$B$5:$B$597=$A57)*community_cores_FS!$F$5:$F$597))))</f>
        <v/>
      </c>
      <c r="R57" s="16" t="str">
        <f>IF($A57="","",IFERROR(SUMIFS(community_cores_FS!$P$5:$P$597,community_cores_FS!$B$5:$B$597,$A57),""))</f>
        <v/>
      </c>
      <c r="S57" s="16" t="str">
        <f>IF($A57="","",IFERROR(SUMIFS(community_cores_FS!$Q$5:$Q$597,community_cores_FS!$B$5:$B$597,$A57),""))</f>
        <v/>
      </c>
      <c r="T57" s="16" t="str">
        <f t="shared" si="2"/>
        <v/>
      </c>
      <c r="U57" s="16" t="str">
        <f>IF($A57="","",IF(AND($B57&lt;&gt;"",COUNTIF('1. Plot &amp; Site Log'!$A$5:$A$64,$B57)=0),"Plot ID not in Plot &amp; Site Log. ","")&amp;IF(NOT(ISNUMBER($Q57)),"No peat sections logged for this core. ","")&amp;IF($T57="No","Core stops short of the reference depth, so its reference-depth stock is an underestimate. Its full-profile stock is still valid. ","")&amp;IF($L57="No","Core did not reach the mineral contact — the full-profile stock is a MINIMUM, not the whole store. ","")&amp;IF(AND(ISNUMBER($K57),$K57&lt;PEATLAND_MIN_DEPTH_CM),"Organic depth under "&amp;PEATLAND_MIN_DEPTH_CM&amp;" cm: by the guide's definition this is not peatland. Report it, but say so. ","")&amp;IF(AND(ISNUMBER($J57),$J57&lt;QC_RECOVERY_MIN),"Recovered only "&amp;TEXT($J57,"0%")&amp;" of the bore depth — the chamber probably did not fill completely. Material is missing, which is not the same as compaction. ","")&amp;IF(AND(ISNUMBER($J57),$J57&gt;1.05),"Recovered more than the bore depth — check the two measurements. ","")&amp;IF(AND(ISNUMBER($I57),$I57&gt;2),"Surface compaction of "&amp;$I57&amp;" cm: depths in this core sit shallower than in the ground, so depth-limited stock is biased. Full-profile stock is unaffected. ",""))</f>
        <v/>
      </c>
      <c r="V57" s="14"/>
    </row>
    <row r="58" spans="1:22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6" t="str">
        <f t="shared" si="0"/>
        <v/>
      </c>
      <c r="K58" s="14"/>
      <c r="L58" s="14"/>
      <c r="M58" s="14"/>
      <c r="N58" s="14"/>
      <c r="O58" s="14"/>
      <c r="P58" s="14"/>
      <c r="Q58" s="16" t="str">
        <f>IF($A58="","",IF(SUMPRODUCT(MAX((community_cores_FS!$B$5:$B$597=$A58)*community_cores_FS!$F$5:$F$597))=0,"",SUMPRODUCT(MAX((community_cores_FS!$B$5:$B$597=$A58)*community_cores_FS!$F$5:$F$597))))</f>
        <v/>
      </c>
      <c r="R58" s="16" t="str">
        <f>IF($A58="","",IFERROR(SUMIFS(community_cores_FS!$P$5:$P$597,community_cores_FS!$B$5:$B$597,$A58),""))</f>
        <v/>
      </c>
      <c r="S58" s="16" t="str">
        <f>IF($A58="","",IFERROR(SUMIFS(community_cores_FS!$Q$5:$Q$597,community_cores_FS!$B$5:$B$597,$A58),""))</f>
        <v/>
      </c>
      <c r="T58" s="16" t="str">
        <f t="shared" si="2"/>
        <v/>
      </c>
      <c r="U58" s="16" t="str">
        <f>IF($A58="","",IF(AND($B58&lt;&gt;"",COUNTIF('1. Plot &amp; Site Log'!$A$5:$A$64,$B58)=0),"Plot ID not in Plot &amp; Site Log. ","")&amp;IF(NOT(ISNUMBER($Q58)),"No peat sections logged for this core. ","")&amp;IF($T58="No","Core stops short of the reference depth, so its reference-depth stock is an underestimate. Its full-profile stock is still valid. ","")&amp;IF($L58="No","Core did not reach the mineral contact — the full-profile stock is a MINIMUM, not the whole store. ","")&amp;IF(AND(ISNUMBER($K58),$K58&lt;PEATLAND_MIN_DEPTH_CM),"Organic depth under "&amp;PEATLAND_MIN_DEPTH_CM&amp;" cm: by the guide's definition this is not peatland. Report it, but say so. ","")&amp;IF(AND(ISNUMBER($J58),$J58&lt;QC_RECOVERY_MIN),"Recovered only "&amp;TEXT($J58,"0%")&amp;" of the bore depth — the chamber probably did not fill completely. Material is missing, which is not the same as compaction. ","")&amp;IF(AND(ISNUMBER($J58),$J58&gt;1.05),"Recovered more than the bore depth — check the two measurements. ","")&amp;IF(AND(ISNUMBER($I58),$I58&gt;2),"Surface compaction of "&amp;$I58&amp;" cm: depths in this core sit shallower than in the ground, so depth-limited stock is biased. Full-profile stock is unaffected. ",""))</f>
        <v/>
      </c>
      <c r="V58" s="14"/>
    </row>
    <row r="59" spans="1:22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6" t="str">
        <f t="shared" si="0"/>
        <v/>
      </c>
      <c r="K59" s="14"/>
      <c r="L59" s="14"/>
      <c r="M59" s="14"/>
      <c r="N59" s="14"/>
      <c r="O59" s="14"/>
      <c r="P59" s="14"/>
      <c r="Q59" s="16" t="str">
        <f>IF($A59="","",IF(SUMPRODUCT(MAX((community_cores_FS!$B$5:$B$597=$A59)*community_cores_FS!$F$5:$F$597))=0,"",SUMPRODUCT(MAX((community_cores_FS!$B$5:$B$597=$A59)*community_cores_FS!$F$5:$F$597))))</f>
        <v/>
      </c>
      <c r="R59" s="16" t="str">
        <f>IF($A59="","",IFERROR(SUMIFS(community_cores_FS!$P$5:$P$597,community_cores_FS!$B$5:$B$597,$A59),""))</f>
        <v/>
      </c>
      <c r="S59" s="16" t="str">
        <f>IF($A59="","",IFERROR(SUMIFS(community_cores_FS!$Q$5:$Q$597,community_cores_FS!$B$5:$B$597,$A59),""))</f>
        <v/>
      </c>
      <c r="T59" s="16" t="str">
        <f t="shared" si="2"/>
        <v/>
      </c>
      <c r="U59" s="16" t="str">
        <f>IF($A59="","",IF(AND($B59&lt;&gt;"",COUNTIF('1. Plot &amp; Site Log'!$A$5:$A$64,$B59)=0),"Plot ID not in Plot &amp; Site Log. ","")&amp;IF(NOT(ISNUMBER($Q59)),"No peat sections logged for this core. ","")&amp;IF($T59="No","Core stops short of the reference depth, so its reference-depth stock is an underestimate. Its full-profile stock is still valid. ","")&amp;IF($L59="No","Core did not reach the mineral contact — the full-profile stock is a MINIMUM, not the whole store. ","")&amp;IF(AND(ISNUMBER($K59),$K59&lt;PEATLAND_MIN_DEPTH_CM),"Organic depth under "&amp;PEATLAND_MIN_DEPTH_CM&amp;" cm: by the guide's definition this is not peatland. Report it, but say so. ","")&amp;IF(AND(ISNUMBER($J59),$J59&lt;QC_RECOVERY_MIN),"Recovered only "&amp;TEXT($J59,"0%")&amp;" of the bore depth — the chamber probably did not fill completely. Material is missing, which is not the same as compaction. ","")&amp;IF(AND(ISNUMBER($J59),$J59&gt;1.05),"Recovered more than the bore depth — check the two measurements. ","")&amp;IF(AND(ISNUMBER($I59),$I59&gt;2),"Surface compaction of "&amp;$I59&amp;" cm: depths in this core sit shallower than in the ground, so depth-limited stock is biased. Full-profile stock is unaffected. ",""))</f>
        <v/>
      </c>
      <c r="V59" s="14"/>
    </row>
    <row r="60" spans="1:22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6" t="str">
        <f t="shared" si="0"/>
        <v/>
      </c>
      <c r="K60" s="14"/>
      <c r="L60" s="14"/>
      <c r="M60" s="14"/>
      <c r="N60" s="14"/>
      <c r="O60" s="14"/>
      <c r="P60" s="14"/>
      <c r="Q60" s="16" t="str">
        <f>IF($A60="","",IF(SUMPRODUCT(MAX((community_cores_FS!$B$5:$B$597=$A60)*community_cores_FS!$F$5:$F$597))=0,"",SUMPRODUCT(MAX((community_cores_FS!$B$5:$B$597=$A60)*community_cores_FS!$F$5:$F$597))))</f>
        <v/>
      </c>
      <c r="R60" s="16" t="str">
        <f>IF($A60="","",IFERROR(SUMIFS(community_cores_FS!$P$5:$P$597,community_cores_FS!$B$5:$B$597,$A60),""))</f>
        <v/>
      </c>
      <c r="S60" s="16" t="str">
        <f>IF($A60="","",IFERROR(SUMIFS(community_cores_FS!$Q$5:$Q$597,community_cores_FS!$B$5:$B$597,$A60),""))</f>
        <v/>
      </c>
      <c r="T60" s="16" t="str">
        <f t="shared" si="2"/>
        <v/>
      </c>
      <c r="U60" s="16" t="str">
        <f>IF($A60="","",IF(AND($B60&lt;&gt;"",COUNTIF('1. Plot &amp; Site Log'!$A$5:$A$64,$B60)=0),"Plot ID not in Plot &amp; Site Log. ","")&amp;IF(NOT(ISNUMBER($Q60)),"No peat sections logged for this core. ","")&amp;IF($T60="No","Core stops short of the reference depth, so its reference-depth stock is an underestimate. Its full-profile stock is still valid. ","")&amp;IF($L60="No","Core did not reach the mineral contact — the full-profile stock is a MINIMUM, not the whole store. ","")&amp;IF(AND(ISNUMBER($K60),$K60&lt;PEATLAND_MIN_DEPTH_CM),"Organic depth under "&amp;PEATLAND_MIN_DEPTH_CM&amp;" cm: by the guide's definition this is not peatland. Report it, but say so. ","")&amp;IF(AND(ISNUMBER($J60),$J60&lt;QC_RECOVERY_MIN),"Recovered only "&amp;TEXT($J60,"0%")&amp;" of the bore depth — the chamber probably did not fill completely. Material is missing, which is not the same as compaction. ","")&amp;IF(AND(ISNUMBER($J60),$J60&gt;1.05),"Recovered more than the bore depth — check the two measurements. ","")&amp;IF(AND(ISNUMBER($I60),$I60&gt;2),"Surface compaction of "&amp;$I60&amp;" cm: depths in this core sit shallower than in the ground, so depth-limited stock is biased. Full-profile stock is unaffected. ",""))</f>
        <v/>
      </c>
      <c r="V60" s="14"/>
    </row>
    <row r="61" spans="1:22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6" t="str">
        <f t="shared" si="0"/>
        <v/>
      </c>
      <c r="K61" s="14"/>
      <c r="L61" s="14"/>
      <c r="M61" s="14"/>
      <c r="N61" s="14"/>
      <c r="O61" s="14"/>
      <c r="P61" s="14"/>
      <c r="Q61" s="16" t="str">
        <f>IF($A61="","",IF(SUMPRODUCT(MAX((community_cores_FS!$B$5:$B$597=$A61)*community_cores_FS!$F$5:$F$597))=0,"",SUMPRODUCT(MAX((community_cores_FS!$B$5:$B$597=$A61)*community_cores_FS!$F$5:$F$597))))</f>
        <v/>
      </c>
      <c r="R61" s="16" t="str">
        <f>IF($A61="","",IFERROR(SUMIFS(community_cores_FS!$P$5:$P$597,community_cores_FS!$B$5:$B$597,$A61),""))</f>
        <v/>
      </c>
      <c r="S61" s="16" t="str">
        <f>IF($A61="","",IFERROR(SUMIFS(community_cores_FS!$Q$5:$Q$597,community_cores_FS!$B$5:$B$597,$A61),""))</f>
        <v/>
      </c>
      <c r="T61" s="16" t="str">
        <f t="shared" si="2"/>
        <v/>
      </c>
      <c r="U61" s="16" t="str">
        <f>IF($A61="","",IF(AND($B61&lt;&gt;"",COUNTIF('1. Plot &amp; Site Log'!$A$5:$A$64,$B61)=0),"Plot ID not in Plot &amp; Site Log. ","")&amp;IF(NOT(ISNUMBER($Q61)),"No peat sections logged for this core. ","")&amp;IF($T61="No","Core stops short of the reference depth, so its reference-depth stock is an underestimate. Its full-profile stock is still valid. ","")&amp;IF($L61="No","Core did not reach the mineral contact — the full-profile stock is a MINIMUM, not the whole store. ","")&amp;IF(AND(ISNUMBER($K61),$K61&lt;PEATLAND_MIN_DEPTH_CM),"Organic depth under "&amp;PEATLAND_MIN_DEPTH_CM&amp;" cm: by the guide's definition this is not peatland. Report it, but say so. ","")&amp;IF(AND(ISNUMBER($J61),$J61&lt;QC_RECOVERY_MIN),"Recovered only "&amp;TEXT($J61,"0%")&amp;" of the bore depth — the chamber probably did not fill completely. Material is missing, which is not the same as compaction. ","")&amp;IF(AND(ISNUMBER($J61),$J61&gt;1.05),"Recovered more than the bore depth — check the two measurements. ","")&amp;IF(AND(ISNUMBER($I61),$I61&gt;2),"Surface compaction of "&amp;$I61&amp;" cm: depths in this core sit shallower than in the ground, so depth-limited stock is biased. Full-profile stock is unaffected. ",""))</f>
        <v/>
      </c>
      <c r="V61" s="14"/>
    </row>
    <row r="62" spans="1:2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6" t="str">
        <f t="shared" si="0"/>
        <v/>
      </c>
      <c r="K62" s="14"/>
      <c r="L62" s="14"/>
      <c r="M62" s="14"/>
      <c r="N62" s="14"/>
      <c r="O62" s="14"/>
      <c r="P62" s="14"/>
      <c r="Q62" s="16" t="str">
        <f>IF($A62="","",IF(SUMPRODUCT(MAX((community_cores_FS!$B$5:$B$597=$A62)*community_cores_FS!$F$5:$F$597))=0,"",SUMPRODUCT(MAX((community_cores_FS!$B$5:$B$597=$A62)*community_cores_FS!$F$5:$F$597))))</f>
        <v/>
      </c>
      <c r="R62" s="16" t="str">
        <f>IF($A62="","",IFERROR(SUMIFS(community_cores_FS!$P$5:$P$597,community_cores_FS!$B$5:$B$597,$A62),""))</f>
        <v/>
      </c>
      <c r="S62" s="16" t="str">
        <f>IF($A62="","",IFERROR(SUMIFS(community_cores_FS!$Q$5:$Q$597,community_cores_FS!$B$5:$B$597,$A62),""))</f>
        <v/>
      </c>
      <c r="T62" s="16" t="str">
        <f t="shared" si="2"/>
        <v/>
      </c>
      <c r="U62" s="16" t="str">
        <f>IF($A62="","",IF(AND($B62&lt;&gt;"",COUNTIF('1. Plot &amp; Site Log'!$A$5:$A$64,$B62)=0),"Plot ID not in Plot &amp; Site Log. ","")&amp;IF(NOT(ISNUMBER($Q62)),"No peat sections logged for this core. ","")&amp;IF($T62="No","Core stops short of the reference depth, so its reference-depth stock is an underestimate. Its full-profile stock is still valid. ","")&amp;IF($L62="No","Core did not reach the mineral contact — the full-profile stock is a MINIMUM, not the whole store. ","")&amp;IF(AND(ISNUMBER($K62),$K62&lt;PEATLAND_MIN_DEPTH_CM),"Organic depth under "&amp;PEATLAND_MIN_DEPTH_CM&amp;" cm: by the guide's definition this is not peatland. Report it, but say so. ","")&amp;IF(AND(ISNUMBER($J62),$J62&lt;QC_RECOVERY_MIN),"Recovered only "&amp;TEXT($J62,"0%")&amp;" of the bore depth — the chamber probably did not fill completely. Material is missing, which is not the same as compaction. ","")&amp;IF(AND(ISNUMBER($J62),$J62&gt;1.05),"Recovered more than the bore depth — check the two measurements. ","")&amp;IF(AND(ISNUMBER($I62),$I62&gt;2),"Surface compaction of "&amp;$I62&amp;" cm: depths in this core sit shallower than in the ground, so depth-limited stock is biased. Full-profile stock is unaffected. ",""))</f>
        <v/>
      </c>
      <c r="V62" s="14"/>
    </row>
    <row r="63" spans="1:22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6" t="str">
        <f t="shared" si="0"/>
        <v/>
      </c>
      <c r="K63" s="14"/>
      <c r="L63" s="14"/>
      <c r="M63" s="14"/>
      <c r="N63" s="14"/>
      <c r="O63" s="14"/>
      <c r="P63" s="14"/>
      <c r="Q63" s="16" t="str">
        <f>IF($A63="","",IF(SUMPRODUCT(MAX((community_cores_FS!$B$5:$B$597=$A63)*community_cores_FS!$F$5:$F$597))=0,"",SUMPRODUCT(MAX((community_cores_FS!$B$5:$B$597=$A63)*community_cores_FS!$F$5:$F$597))))</f>
        <v/>
      </c>
      <c r="R63" s="16" t="str">
        <f>IF($A63="","",IFERROR(SUMIFS(community_cores_FS!$P$5:$P$597,community_cores_FS!$B$5:$B$597,$A63),""))</f>
        <v/>
      </c>
      <c r="S63" s="16" t="str">
        <f>IF($A63="","",IFERROR(SUMIFS(community_cores_FS!$Q$5:$Q$597,community_cores_FS!$B$5:$B$597,$A63),""))</f>
        <v/>
      </c>
      <c r="T63" s="16" t="str">
        <f t="shared" si="2"/>
        <v/>
      </c>
      <c r="U63" s="16" t="str">
        <f>IF($A63="","",IF(AND($B63&lt;&gt;"",COUNTIF('1. Plot &amp; Site Log'!$A$5:$A$64,$B63)=0),"Plot ID not in Plot &amp; Site Log. ","")&amp;IF(NOT(ISNUMBER($Q63)),"No peat sections logged for this core. ","")&amp;IF($T63="No","Core stops short of the reference depth, so its reference-depth stock is an underestimate. Its full-profile stock is still valid. ","")&amp;IF($L63="No","Core did not reach the mineral contact — the full-profile stock is a MINIMUM, not the whole store. ","")&amp;IF(AND(ISNUMBER($K63),$K63&lt;PEATLAND_MIN_DEPTH_CM),"Organic depth under "&amp;PEATLAND_MIN_DEPTH_CM&amp;" cm: by the guide's definition this is not peatland. Report it, but say so. ","")&amp;IF(AND(ISNUMBER($J63),$J63&lt;QC_RECOVERY_MIN),"Recovered only "&amp;TEXT($J63,"0%")&amp;" of the bore depth — the chamber probably did not fill completely. Material is missing, which is not the same as compaction. ","")&amp;IF(AND(ISNUMBER($J63),$J63&gt;1.05),"Recovered more than the bore depth — check the two measurements. ","")&amp;IF(AND(ISNUMBER($I63),$I63&gt;2),"Surface compaction of "&amp;$I63&amp;" cm: depths in this core sit shallower than in the ground, so depth-limited stock is biased. Full-profile stock is unaffected. ",""))</f>
        <v/>
      </c>
      <c r="V63" s="14"/>
    </row>
    <row r="64" spans="1:22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6" t="str">
        <f t="shared" si="0"/>
        <v/>
      </c>
      <c r="K64" s="14"/>
      <c r="L64" s="14"/>
      <c r="M64" s="14"/>
      <c r="N64" s="14"/>
      <c r="O64" s="14"/>
      <c r="P64" s="14"/>
      <c r="Q64" s="16" t="str">
        <f>IF($A64="","",IF(SUMPRODUCT(MAX((community_cores_FS!$B$5:$B$597=$A64)*community_cores_FS!$F$5:$F$597))=0,"",SUMPRODUCT(MAX((community_cores_FS!$B$5:$B$597=$A64)*community_cores_FS!$F$5:$F$597))))</f>
        <v/>
      </c>
      <c r="R64" s="16" t="str">
        <f>IF($A64="","",IFERROR(SUMIFS(community_cores_FS!$P$5:$P$597,community_cores_FS!$B$5:$B$597,$A64),""))</f>
        <v/>
      </c>
      <c r="S64" s="16" t="str">
        <f>IF($A64="","",IFERROR(SUMIFS(community_cores_FS!$Q$5:$Q$597,community_cores_FS!$B$5:$B$597,$A64),""))</f>
        <v/>
      </c>
      <c r="T64" s="16" t="str">
        <f t="shared" si="2"/>
        <v/>
      </c>
      <c r="U64" s="16" t="str">
        <f>IF($A64="","",IF(AND($B64&lt;&gt;"",COUNTIF('1. Plot &amp; Site Log'!$A$5:$A$64,$B64)=0),"Plot ID not in Plot &amp; Site Log. ","")&amp;IF(NOT(ISNUMBER($Q64)),"No peat sections logged for this core. ","")&amp;IF($T64="No","Core stops short of the reference depth, so its reference-depth stock is an underestimate. Its full-profile stock is still valid. ","")&amp;IF($L64="No","Core did not reach the mineral contact — the full-profile stock is a MINIMUM, not the whole store. ","")&amp;IF(AND(ISNUMBER($K64),$K64&lt;PEATLAND_MIN_DEPTH_CM),"Organic depth under "&amp;PEATLAND_MIN_DEPTH_CM&amp;" cm: by the guide's definition this is not peatland. Report it, but say so. ","")&amp;IF(AND(ISNUMBER($J64),$J64&lt;QC_RECOVERY_MIN),"Recovered only "&amp;TEXT($J64,"0%")&amp;" of the bore depth — the chamber probably did not fill completely. Material is missing, which is not the same as compaction. ","")&amp;IF(AND(ISNUMBER($J64),$J64&gt;1.05),"Recovered more than the bore depth — check the two measurements. ","")&amp;IF(AND(ISNUMBER($I64),$I64&gt;2),"Surface compaction of "&amp;$I64&amp;" cm: depths in this core sit shallower than in the ground, so depth-limited stock is biased. Full-profile stock is unaffected. ",""))</f>
        <v/>
      </c>
      <c r="V64" s="14"/>
    </row>
    <row r="65" spans="1:22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6" t="str">
        <f t="shared" si="0"/>
        <v/>
      </c>
      <c r="K65" s="14"/>
      <c r="L65" s="14"/>
      <c r="M65" s="14"/>
      <c r="N65" s="14"/>
      <c r="O65" s="14"/>
      <c r="P65" s="14"/>
      <c r="Q65" s="16" t="str">
        <f>IF($A65="","",IF(SUMPRODUCT(MAX((community_cores_FS!$B$5:$B$597=$A65)*community_cores_FS!$F$5:$F$597))=0,"",SUMPRODUCT(MAX((community_cores_FS!$B$5:$B$597=$A65)*community_cores_FS!$F$5:$F$597))))</f>
        <v/>
      </c>
      <c r="R65" s="16" t="str">
        <f>IF($A65="","",IFERROR(SUMIFS(community_cores_FS!$P$5:$P$597,community_cores_FS!$B$5:$B$597,$A65),""))</f>
        <v/>
      </c>
      <c r="S65" s="16" t="str">
        <f>IF($A65="","",IFERROR(SUMIFS(community_cores_FS!$Q$5:$Q$597,community_cores_FS!$B$5:$B$597,$A65),""))</f>
        <v/>
      </c>
      <c r="T65" s="16" t="str">
        <f t="shared" si="2"/>
        <v/>
      </c>
      <c r="U65" s="16" t="str">
        <f>IF($A65="","",IF(AND($B65&lt;&gt;"",COUNTIF('1. Plot &amp; Site Log'!$A$5:$A$64,$B65)=0),"Plot ID not in Plot &amp; Site Log. ","")&amp;IF(NOT(ISNUMBER($Q65)),"No peat sections logged for this core. ","")&amp;IF($T65="No","Core stops short of the reference depth, so its reference-depth stock is an underestimate. Its full-profile stock is still valid. ","")&amp;IF($L65="No","Core did not reach the mineral contact — the full-profile stock is a MINIMUM, not the whole store. ","")&amp;IF(AND(ISNUMBER($K65),$K65&lt;PEATLAND_MIN_DEPTH_CM),"Organic depth under "&amp;PEATLAND_MIN_DEPTH_CM&amp;" cm: by the guide's definition this is not peatland. Report it, but say so. ","")&amp;IF(AND(ISNUMBER($J65),$J65&lt;QC_RECOVERY_MIN),"Recovered only "&amp;TEXT($J65,"0%")&amp;" of the bore depth — the chamber probably did not fill completely. Material is missing, which is not the same as compaction. ","")&amp;IF(AND(ISNUMBER($J65),$J65&gt;1.05),"Recovered more than the bore depth — check the two measurements. ","")&amp;IF(AND(ISNUMBER($I65),$I65&gt;2),"Surface compaction of "&amp;$I65&amp;" cm: depths in this core sit shallower than in the ground, so depth-limited stock is biased. Full-profile stock is unaffected. ",""))</f>
        <v/>
      </c>
      <c r="V65" s="14"/>
    </row>
    <row r="66" spans="1:22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6" t="str">
        <f t="shared" si="0"/>
        <v/>
      </c>
      <c r="K66" s="14"/>
      <c r="L66" s="14"/>
      <c r="M66" s="14"/>
      <c r="N66" s="14"/>
      <c r="O66" s="14"/>
      <c r="P66" s="14"/>
      <c r="Q66" s="16" t="str">
        <f>IF($A66="","",IF(SUMPRODUCT(MAX((community_cores_FS!$B$5:$B$597=$A66)*community_cores_FS!$F$5:$F$597))=0,"",SUMPRODUCT(MAX((community_cores_FS!$B$5:$B$597=$A66)*community_cores_FS!$F$5:$F$597))))</f>
        <v/>
      </c>
      <c r="R66" s="16" t="str">
        <f>IF($A66="","",IFERROR(SUMIFS(community_cores_FS!$P$5:$P$597,community_cores_FS!$B$5:$B$597,$A66),""))</f>
        <v/>
      </c>
      <c r="S66" s="16" t="str">
        <f>IF($A66="","",IFERROR(SUMIFS(community_cores_FS!$Q$5:$Q$597,community_cores_FS!$B$5:$B$597,$A66),""))</f>
        <v/>
      </c>
      <c r="T66" s="16" t="str">
        <f t="shared" si="2"/>
        <v/>
      </c>
      <c r="U66" s="16" t="str">
        <f>IF($A66="","",IF(AND($B66&lt;&gt;"",COUNTIF('1. Plot &amp; Site Log'!$A$5:$A$64,$B66)=0),"Plot ID not in Plot &amp; Site Log. ","")&amp;IF(NOT(ISNUMBER($Q66)),"No peat sections logged for this core. ","")&amp;IF($T66="No","Core stops short of the reference depth, so its reference-depth stock is an underestimate. Its full-profile stock is still valid. ","")&amp;IF($L66="No","Core did not reach the mineral contact — the full-profile stock is a MINIMUM, not the whole store. ","")&amp;IF(AND(ISNUMBER($K66),$K66&lt;PEATLAND_MIN_DEPTH_CM),"Organic depth under "&amp;PEATLAND_MIN_DEPTH_CM&amp;" cm: by the guide's definition this is not peatland. Report it, but say so. ","")&amp;IF(AND(ISNUMBER($J66),$J66&lt;QC_RECOVERY_MIN),"Recovered only "&amp;TEXT($J66,"0%")&amp;" of the bore depth — the chamber probably did not fill completely. Material is missing, which is not the same as compaction. ","")&amp;IF(AND(ISNUMBER($J66),$J66&gt;1.05),"Recovered more than the bore depth — check the two measurements. ","")&amp;IF(AND(ISNUMBER($I66),$I66&gt;2),"Surface compaction of "&amp;$I66&amp;" cm: depths in this core sit shallower than in the ground, so depth-limited stock is biased. Full-profile stock is unaffected. ",""))</f>
        <v/>
      </c>
      <c r="V66" s="14"/>
    </row>
    <row r="67" spans="1:22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6" t="str">
        <f t="shared" si="0"/>
        <v/>
      </c>
      <c r="K67" s="14"/>
      <c r="L67" s="14"/>
      <c r="M67" s="14"/>
      <c r="N67" s="14"/>
      <c r="O67" s="14"/>
      <c r="P67" s="14"/>
      <c r="Q67" s="16" t="str">
        <f>IF($A67="","",IF(SUMPRODUCT(MAX((community_cores_FS!$B$5:$B$597=$A67)*community_cores_FS!$F$5:$F$597))=0,"",SUMPRODUCT(MAX((community_cores_FS!$B$5:$B$597=$A67)*community_cores_FS!$F$5:$F$597))))</f>
        <v/>
      </c>
      <c r="R67" s="16" t="str">
        <f>IF($A67="","",IFERROR(SUMIFS(community_cores_FS!$P$5:$P$597,community_cores_FS!$B$5:$B$597,$A67),""))</f>
        <v/>
      </c>
      <c r="S67" s="16" t="str">
        <f>IF($A67="","",IFERROR(SUMIFS(community_cores_FS!$Q$5:$Q$597,community_cores_FS!$B$5:$B$597,$A67),""))</f>
        <v/>
      </c>
      <c r="T67" s="16" t="str">
        <f t="shared" si="2"/>
        <v/>
      </c>
      <c r="U67" s="16" t="str">
        <f>IF($A67="","",IF(AND($B67&lt;&gt;"",COUNTIF('1. Plot &amp; Site Log'!$A$5:$A$64,$B67)=0),"Plot ID not in Plot &amp; Site Log. ","")&amp;IF(NOT(ISNUMBER($Q67)),"No peat sections logged for this core. ","")&amp;IF($T67="No","Core stops short of the reference depth, so its reference-depth stock is an underestimate. Its full-profile stock is still valid. ","")&amp;IF($L67="No","Core did not reach the mineral contact — the full-profile stock is a MINIMUM, not the whole store. ","")&amp;IF(AND(ISNUMBER($K67),$K67&lt;PEATLAND_MIN_DEPTH_CM),"Organic depth under "&amp;PEATLAND_MIN_DEPTH_CM&amp;" cm: by the guide's definition this is not peatland. Report it, but say so. ","")&amp;IF(AND(ISNUMBER($J67),$J67&lt;QC_RECOVERY_MIN),"Recovered only "&amp;TEXT($J67,"0%")&amp;" of the bore depth — the chamber probably did not fill completely. Material is missing, which is not the same as compaction. ","")&amp;IF(AND(ISNUMBER($J67),$J67&gt;1.05),"Recovered more than the bore depth — check the two measurements. ","")&amp;IF(AND(ISNUMBER($I67),$I67&gt;2),"Surface compaction of "&amp;$I67&amp;" cm: depths in this core sit shallower than in the ground, so depth-limited stock is biased. Full-profile stock is unaffected. ",""))</f>
        <v/>
      </c>
      <c r="V67" s="14"/>
    </row>
    <row r="68" spans="1:22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6" t="str">
        <f t="shared" si="0"/>
        <v/>
      </c>
      <c r="K68" s="14"/>
      <c r="L68" s="14"/>
      <c r="M68" s="14"/>
      <c r="N68" s="14"/>
      <c r="O68" s="14"/>
      <c r="P68" s="14"/>
      <c r="Q68" s="16" t="str">
        <f>IF($A68="","",IF(SUMPRODUCT(MAX((community_cores_FS!$B$5:$B$597=$A68)*community_cores_FS!$F$5:$F$597))=0,"",SUMPRODUCT(MAX((community_cores_FS!$B$5:$B$597=$A68)*community_cores_FS!$F$5:$F$597))))</f>
        <v/>
      </c>
      <c r="R68" s="16" t="str">
        <f>IF($A68="","",IFERROR(SUMIFS(community_cores_FS!$P$5:$P$597,community_cores_FS!$B$5:$B$597,$A68),""))</f>
        <v/>
      </c>
      <c r="S68" s="16" t="str">
        <f>IF($A68="","",IFERROR(SUMIFS(community_cores_FS!$Q$5:$Q$597,community_cores_FS!$B$5:$B$597,$A68),""))</f>
        <v/>
      </c>
      <c r="T68" s="16" t="str">
        <f t="shared" si="2"/>
        <v/>
      </c>
      <c r="U68" s="16" t="str">
        <f>IF($A68="","",IF(AND($B68&lt;&gt;"",COUNTIF('1. Plot &amp; Site Log'!$A$5:$A$64,$B68)=0),"Plot ID not in Plot &amp; Site Log. ","")&amp;IF(NOT(ISNUMBER($Q68)),"No peat sections logged for this core. ","")&amp;IF($T68="No","Core stops short of the reference depth, so its reference-depth stock is an underestimate. Its full-profile stock is still valid. ","")&amp;IF($L68="No","Core did not reach the mineral contact — the full-profile stock is a MINIMUM, not the whole store. ","")&amp;IF(AND(ISNUMBER($K68),$K68&lt;PEATLAND_MIN_DEPTH_CM),"Organic depth under "&amp;PEATLAND_MIN_DEPTH_CM&amp;" cm: by the guide's definition this is not peatland. Report it, but say so. ","")&amp;IF(AND(ISNUMBER($J68),$J68&lt;QC_RECOVERY_MIN),"Recovered only "&amp;TEXT($J68,"0%")&amp;" of the bore depth — the chamber probably did not fill completely. Material is missing, which is not the same as compaction. ","")&amp;IF(AND(ISNUMBER($J68),$J68&gt;1.05),"Recovered more than the bore depth — check the two measurements. ","")&amp;IF(AND(ISNUMBER($I68),$I68&gt;2),"Surface compaction of "&amp;$I68&amp;" cm: depths in this core sit shallower than in the ground, so depth-limited stock is biased. Full-profile stock is unaffected. ",""))</f>
        <v/>
      </c>
      <c r="V68" s="14"/>
    </row>
    <row r="69" spans="1:22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6" t="str">
        <f t="shared" si="0"/>
        <v/>
      </c>
      <c r="K69" s="14"/>
      <c r="L69" s="14"/>
      <c r="M69" s="14"/>
      <c r="N69" s="14"/>
      <c r="O69" s="14"/>
      <c r="P69" s="14"/>
      <c r="Q69" s="16" t="str">
        <f>IF($A69="","",IF(SUMPRODUCT(MAX((community_cores_FS!$B$5:$B$597=$A69)*community_cores_FS!$F$5:$F$597))=0,"",SUMPRODUCT(MAX((community_cores_FS!$B$5:$B$597=$A69)*community_cores_FS!$F$5:$F$597))))</f>
        <v/>
      </c>
      <c r="R69" s="16" t="str">
        <f>IF($A69="","",IFERROR(SUMIFS(community_cores_FS!$P$5:$P$597,community_cores_FS!$B$5:$B$597,$A69),""))</f>
        <v/>
      </c>
      <c r="S69" s="16" t="str">
        <f>IF($A69="","",IFERROR(SUMIFS(community_cores_FS!$Q$5:$Q$597,community_cores_FS!$B$5:$B$597,$A69),""))</f>
        <v/>
      </c>
      <c r="T69" s="16" t="str">
        <f t="shared" ref="T69:T100" si="3">IF(NOT(ISNUMBER($Q69)),"",IF($Q69&gt;=REFERENCE_DEPTH_CM,"Yes","No"))</f>
        <v/>
      </c>
      <c r="U69" s="16" t="str">
        <f>IF($A69="","",IF(AND($B69&lt;&gt;"",COUNTIF('1. Plot &amp; Site Log'!$A$5:$A$64,$B69)=0),"Plot ID not in Plot &amp; Site Log. ","")&amp;IF(NOT(ISNUMBER($Q69)),"No peat sections logged for this core. ","")&amp;IF($T69="No","Core stops short of the reference depth, so its reference-depth stock is an underestimate. Its full-profile stock is still valid. ","")&amp;IF($L69="No","Core did not reach the mineral contact — the full-profile stock is a MINIMUM, not the whole store. ","")&amp;IF(AND(ISNUMBER($K69),$K69&lt;PEATLAND_MIN_DEPTH_CM),"Organic depth under "&amp;PEATLAND_MIN_DEPTH_CM&amp;" cm: by the guide's definition this is not peatland. Report it, but say so. ","")&amp;IF(AND(ISNUMBER($J69),$J69&lt;QC_RECOVERY_MIN),"Recovered only "&amp;TEXT($J69,"0%")&amp;" of the bore depth — the chamber probably did not fill completely. Material is missing, which is not the same as compaction. ","")&amp;IF(AND(ISNUMBER($J69),$J69&gt;1.05),"Recovered more than the bore depth — check the two measurements. ","")&amp;IF(AND(ISNUMBER($I69),$I69&gt;2),"Surface compaction of "&amp;$I69&amp;" cm: depths in this core sit shallower than in the ground, so depth-limited stock is biased. Full-profile stock is unaffected. ",""))</f>
        <v/>
      </c>
      <c r="V69" s="14"/>
    </row>
    <row r="70" spans="1:22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6" t="str">
        <f t="shared" si="0"/>
        <v/>
      </c>
      <c r="K70" s="14"/>
      <c r="L70" s="14"/>
      <c r="M70" s="14"/>
      <c r="N70" s="14"/>
      <c r="O70" s="14"/>
      <c r="P70" s="14"/>
      <c r="Q70" s="16" t="str">
        <f>IF($A70="","",IF(SUMPRODUCT(MAX((community_cores_FS!$B$5:$B$597=$A70)*community_cores_FS!$F$5:$F$597))=0,"",SUMPRODUCT(MAX((community_cores_FS!$B$5:$B$597=$A70)*community_cores_FS!$F$5:$F$597))))</f>
        <v/>
      </c>
      <c r="R70" s="16" t="str">
        <f>IF($A70="","",IFERROR(SUMIFS(community_cores_FS!$P$5:$P$597,community_cores_FS!$B$5:$B$597,$A70),""))</f>
        <v/>
      </c>
      <c r="S70" s="16" t="str">
        <f>IF($A70="","",IFERROR(SUMIFS(community_cores_FS!$Q$5:$Q$597,community_cores_FS!$B$5:$B$597,$A70),""))</f>
        <v/>
      </c>
      <c r="T70" s="16" t="str">
        <f t="shared" si="3"/>
        <v/>
      </c>
      <c r="U70" s="16" t="str">
        <f>IF($A70="","",IF(AND($B70&lt;&gt;"",COUNTIF('1. Plot &amp; Site Log'!$A$5:$A$64,$B70)=0),"Plot ID not in Plot &amp; Site Log. ","")&amp;IF(NOT(ISNUMBER($Q70)),"No peat sections logged for this core. ","")&amp;IF($T70="No","Core stops short of the reference depth, so its reference-depth stock is an underestimate. Its full-profile stock is still valid. ","")&amp;IF($L70="No","Core did not reach the mineral contact — the full-profile stock is a MINIMUM, not the whole store. ","")&amp;IF(AND(ISNUMBER($K70),$K70&lt;PEATLAND_MIN_DEPTH_CM),"Organic depth under "&amp;PEATLAND_MIN_DEPTH_CM&amp;" cm: by the guide's definition this is not peatland. Report it, but say so. ","")&amp;IF(AND(ISNUMBER($J70),$J70&lt;QC_RECOVERY_MIN),"Recovered only "&amp;TEXT($J70,"0%")&amp;" of the bore depth — the chamber probably did not fill completely. Material is missing, which is not the same as compaction. ","")&amp;IF(AND(ISNUMBER($J70),$J70&gt;1.05),"Recovered more than the bore depth — check the two measurements. ","")&amp;IF(AND(ISNUMBER($I70),$I70&gt;2),"Surface compaction of "&amp;$I70&amp;" cm: depths in this core sit shallower than in the ground, so depth-limited stock is biased. Full-profile stock is unaffected. ",""))</f>
        <v/>
      </c>
      <c r="V70" s="14"/>
    </row>
    <row r="71" spans="1:22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6" t="str">
        <f t="shared" si="0"/>
        <v/>
      </c>
      <c r="K71" s="14"/>
      <c r="L71" s="14"/>
      <c r="M71" s="14"/>
      <c r="N71" s="14"/>
      <c r="O71" s="14"/>
      <c r="P71" s="14"/>
      <c r="Q71" s="16" t="str">
        <f>IF($A71="","",IF(SUMPRODUCT(MAX((community_cores_FS!$B$5:$B$597=$A71)*community_cores_FS!$F$5:$F$597))=0,"",SUMPRODUCT(MAX((community_cores_FS!$B$5:$B$597=$A71)*community_cores_FS!$F$5:$F$597))))</f>
        <v/>
      </c>
      <c r="R71" s="16" t="str">
        <f>IF($A71="","",IFERROR(SUMIFS(community_cores_FS!$P$5:$P$597,community_cores_FS!$B$5:$B$597,$A71),""))</f>
        <v/>
      </c>
      <c r="S71" s="16" t="str">
        <f>IF($A71="","",IFERROR(SUMIFS(community_cores_FS!$Q$5:$Q$597,community_cores_FS!$B$5:$B$597,$A71),""))</f>
        <v/>
      </c>
      <c r="T71" s="16" t="str">
        <f t="shared" si="3"/>
        <v/>
      </c>
      <c r="U71" s="16" t="str">
        <f>IF($A71="","",IF(AND($B71&lt;&gt;"",COUNTIF('1. Plot &amp; Site Log'!$A$5:$A$64,$B71)=0),"Plot ID not in Plot &amp; Site Log. ","")&amp;IF(NOT(ISNUMBER($Q71)),"No peat sections logged for this core. ","")&amp;IF($T71="No","Core stops short of the reference depth, so its reference-depth stock is an underestimate. Its full-profile stock is still valid. ","")&amp;IF($L71="No","Core did not reach the mineral contact — the full-profile stock is a MINIMUM, not the whole store. ","")&amp;IF(AND(ISNUMBER($K71),$K71&lt;PEATLAND_MIN_DEPTH_CM),"Organic depth under "&amp;PEATLAND_MIN_DEPTH_CM&amp;" cm: by the guide's definition this is not peatland. Report it, but say so. ","")&amp;IF(AND(ISNUMBER($J71),$J71&lt;QC_RECOVERY_MIN),"Recovered only "&amp;TEXT($J71,"0%")&amp;" of the bore depth — the chamber probably did not fill completely. Material is missing, which is not the same as compaction. ","")&amp;IF(AND(ISNUMBER($J71),$J71&gt;1.05),"Recovered more than the bore depth — check the two measurements. ","")&amp;IF(AND(ISNUMBER($I71),$I71&gt;2),"Surface compaction of "&amp;$I71&amp;" cm: depths in this core sit shallower than in the ground, so depth-limited stock is biased. Full-profile stock is unaffected. ",""))</f>
        <v/>
      </c>
      <c r="V71" s="14"/>
    </row>
    <row r="72" spans="1:2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6" t="str">
        <f t="shared" si="0"/>
        <v/>
      </c>
      <c r="K72" s="14"/>
      <c r="L72" s="14"/>
      <c r="M72" s="14"/>
      <c r="N72" s="14"/>
      <c r="O72" s="14"/>
      <c r="P72" s="14"/>
      <c r="Q72" s="16" t="str">
        <f>IF($A72="","",IF(SUMPRODUCT(MAX((community_cores_FS!$B$5:$B$597=$A72)*community_cores_FS!$F$5:$F$597))=0,"",SUMPRODUCT(MAX((community_cores_FS!$B$5:$B$597=$A72)*community_cores_FS!$F$5:$F$597))))</f>
        <v/>
      </c>
      <c r="R72" s="16" t="str">
        <f>IF($A72="","",IFERROR(SUMIFS(community_cores_FS!$P$5:$P$597,community_cores_FS!$B$5:$B$597,$A72),""))</f>
        <v/>
      </c>
      <c r="S72" s="16" t="str">
        <f>IF($A72="","",IFERROR(SUMIFS(community_cores_FS!$Q$5:$Q$597,community_cores_FS!$B$5:$B$597,$A72),""))</f>
        <v/>
      </c>
      <c r="T72" s="16" t="str">
        <f t="shared" si="3"/>
        <v/>
      </c>
      <c r="U72" s="16" t="str">
        <f>IF($A72="","",IF(AND($B72&lt;&gt;"",COUNTIF('1. Plot &amp; Site Log'!$A$5:$A$64,$B72)=0),"Plot ID not in Plot &amp; Site Log. ","")&amp;IF(NOT(ISNUMBER($Q72)),"No peat sections logged for this core. ","")&amp;IF($T72="No","Core stops short of the reference depth, so its reference-depth stock is an underestimate. Its full-profile stock is still valid. ","")&amp;IF($L72="No","Core did not reach the mineral contact — the full-profile stock is a MINIMUM, not the whole store. ","")&amp;IF(AND(ISNUMBER($K72),$K72&lt;PEATLAND_MIN_DEPTH_CM),"Organic depth under "&amp;PEATLAND_MIN_DEPTH_CM&amp;" cm: by the guide's definition this is not peatland. Report it, but say so. ","")&amp;IF(AND(ISNUMBER($J72),$J72&lt;QC_RECOVERY_MIN),"Recovered only "&amp;TEXT($J72,"0%")&amp;" of the bore depth — the chamber probably did not fill completely. Material is missing, which is not the same as compaction. ","")&amp;IF(AND(ISNUMBER($J72),$J72&gt;1.05),"Recovered more than the bore depth — check the two measurements. ","")&amp;IF(AND(ISNUMBER($I72),$I72&gt;2),"Surface compaction of "&amp;$I72&amp;" cm: depths in this core sit shallower than in the ground, so depth-limited stock is biased. Full-profile stock is unaffected. ",""))</f>
        <v/>
      </c>
      <c r="V72" s="14"/>
    </row>
    <row r="73" spans="1:22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6" t="str">
        <f t="shared" si="0"/>
        <v/>
      </c>
      <c r="K73" s="14"/>
      <c r="L73" s="14"/>
      <c r="M73" s="14"/>
      <c r="N73" s="14"/>
      <c r="O73" s="14"/>
      <c r="P73" s="14"/>
      <c r="Q73" s="16" t="str">
        <f>IF($A73="","",IF(SUMPRODUCT(MAX((community_cores_FS!$B$5:$B$597=$A73)*community_cores_FS!$F$5:$F$597))=0,"",SUMPRODUCT(MAX((community_cores_FS!$B$5:$B$597=$A73)*community_cores_FS!$F$5:$F$597))))</f>
        <v/>
      </c>
      <c r="R73" s="16" t="str">
        <f>IF($A73="","",IFERROR(SUMIFS(community_cores_FS!$P$5:$P$597,community_cores_FS!$B$5:$B$597,$A73),""))</f>
        <v/>
      </c>
      <c r="S73" s="16" t="str">
        <f>IF($A73="","",IFERROR(SUMIFS(community_cores_FS!$Q$5:$Q$597,community_cores_FS!$B$5:$B$597,$A73),""))</f>
        <v/>
      </c>
      <c r="T73" s="16" t="str">
        <f t="shared" si="3"/>
        <v/>
      </c>
      <c r="U73" s="16" t="str">
        <f>IF($A73="","",IF(AND($B73&lt;&gt;"",COUNTIF('1. Plot &amp; Site Log'!$A$5:$A$64,$B73)=0),"Plot ID not in Plot &amp; Site Log. ","")&amp;IF(NOT(ISNUMBER($Q73)),"No peat sections logged for this core. ","")&amp;IF($T73="No","Core stops short of the reference depth, so its reference-depth stock is an underestimate. Its full-profile stock is still valid. ","")&amp;IF($L73="No","Core did not reach the mineral contact — the full-profile stock is a MINIMUM, not the whole store. ","")&amp;IF(AND(ISNUMBER($K73),$K73&lt;PEATLAND_MIN_DEPTH_CM),"Organic depth under "&amp;PEATLAND_MIN_DEPTH_CM&amp;" cm: by the guide's definition this is not peatland. Report it, but say so. ","")&amp;IF(AND(ISNUMBER($J73),$J73&lt;QC_RECOVERY_MIN),"Recovered only "&amp;TEXT($J73,"0%")&amp;" of the bore depth — the chamber probably did not fill completely. Material is missing, which is not the same as compaction. ","")&amp;IF(AND(ISNUMBER($J73),$J73&gt;1.05),"Recovered more than the bore depth — check the two measurements. ","")&amp;IF(AND(ISNUMBER($I73),$I73&gt;2),"Surface compaction of "&amp;$I73&amp;" cm: depths in this core sit shallower than in the ground, so depth-limited stock is biased. Full-profile stock is unaffected. ",""))</f>
        <v/>
      </c>
      <c r="V73" s="14"/>
    </row>
    <row r="74" spans="1:22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6" t="str">
        <f t="shared" si="0"/>
        <v/>
      </c>
      <c r="K74" s="14"/>
      <c r="L74" s="14"/>
      <c r="M74" s="14"/>
      <c r="N74" s="14"/>
      <c r="O74" s="14"/>
      <c r="P74" s="14"/>
      <c r="Q74" s="16" t="str">
        <f>IF($A74="","",IF(SUMPRODUCT(MAX((community_cores_FS!$B$5:$B$597=$A74)*community_cores_FS!$F$5:$F$597))=0,"",SUMPRODUCT(MAX((community_cores_FS!$B$5:$B$597=$A74)*community_cores_FS!$F$5:$F$597))))</f>
        <v/>
      </c>
      <c r="R74" s="16" t="str">
        <f>IF($A74="","",IFERROR(SUMIFS(community_cores_FS!$P$5:$P$597,community_cores_FS!$B$5:$B$597,$A74),""))</f>
        <v/>
      </c>
      <c r="S74" s="16" t="str">
        <f>IF($A74="","",IFERROR(SUMIFS(community_cores_FS!$Q$5:$Q$597,community_cores_FS!$B$5:$B$597,$A74),""))</f>
        <v/>
      </c>
      <c r="T74" s="16" t="str">
        <f t="shared" si="3"/>
        <v/>
      </c>
      <c r="U74" s="16" t="str">
        <f>IF($A74="","",IF(AND($B74&lt;&gt;"",COUNTIF('1. Plot &amp; Site Log'!$A$5:$A$64,$B74)=0),"Plot ID not in Plot &amp; Site Log. ","")&amp;IF(NOT(ISNUMBER($Q74)),"No peat sections logged for this core. ","")&amp;IF($T74="No","Core stops short of the reference depth, so its reference-depth stock is an underestimate. Its full-profile stock is still valid. ","")&amp;IF($L74="No","Core did not reach the mineral contact — the full-profile stock is a MINIMUM, not the whole store. ","")&amp;IF(AND(ISNUMBER($K74),$K74&lt;PEATLAND_MIN_DEPTH_CM),"Organic depth under "&amp;PEATLAND_MIN_DEPTH_CM&amp;" cm: by the guide's definition this is not peatland. Report it, but say so. ","")&amp;IF(AND(ISNUMBER($J74),$J74&lt;QC_RECOVERY_MIN),"Recovered only "&amp;TEXT($J74,"0%")&amp;" of the bore depth — the chamber probably did not fill completely. Material is missing, which is not the same as compaction. ","")&amp;IF(AND(ISNUMBER($J74),$J74&gt;1.05),"Recovered more than the bore depth — check the two measurements. ","")&amp;IF(AND(ISNUMBER($I74),$I74&gt;2),"Surface compaction of "&amp;$I74&amp;" cm: depths in this core sit shallower than in the ground, so depth-limited stock is biased. Full-profile stock is unaffected. ",""))</f>
        <v/>
      </c>
      <c r="V74" s="14"/>
    </row>
    <row r="75" spans="1:22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6" t="str">
        <f t="shared" si="0"/>
        <v/>
      </c>
      <c r="K75" s="14"/>
      <c r="L75" s="14"/>
      <c r="M75" s="14"/>
      <c r="N75" s="14"/>
      <c r="O75" s="14"/>
      <c r="P75" s="14"/>
      <c r="Q75" s="16" t="str">
        <f>IF($A75="","",IF(SUMPRODUCT(MAX((community_cores_FS!$B$5:$B$597=$A75)*community_cores_FS!$F$5:$F$597))=0,"",SUMPRODUCT(MAX((community_cores_FS!$B$5:$B$597=$A75)*community_cores_FS!$F$5:$F$597))))</f>
        <v/>
      </c>
      <c r="R75" s="16" t="str">
        <f>IF($A75="","",IFERROR(SUMIFS(community_cores_FS!$P$5:$P$597,community_cores_FS!$B$5:$B$597,$A75),""))</f>
        <v/>
      </c>
      <c r="S75" s="16" t="str">
        <f>IF($A75="","",IFERROR(SUMIFS(community_cores_FS!$Q$5:$Q$597,community_cores_FS!$B$5:$B$597,$A75),""))</f>
        <v/>
      </c>
      <c r="T75" s="16" t="str">
        <f t="shared" si="3"/>
        <v/>
      </c>
      <c r="U75" s="16" t="str">
        <f>IF($A75="","",IF(AND($B75&lt;&gt;"",COUNTIF('1. Plot &amp; Site Log'!$A$5:$A$64,$B75)=0),"Plot ID not in Plot &amp; Site Log. ","")&amp;IF(NOT(ISNUMBER($Q75)),"No peat sections logged for this core. ","")&amp;IF($T75="No","Core stops short of the reference depth, so its reference-depth stock is an underestimate. Its full-profile stock is still valid. ","")&amp;IF($L75="No","Core did not reach the mineral contact — the full-profile stock is a MINIMUM, not the whole store. ","")&amp;IF(AND(ISNUMBER($K75),$K75&lt;PEATLAND_MIN_DEPTH_CM),"Organic depth under "&amp;PEATLAND_MIN_DEPTH_CM&amp;" cm: by the guide's definition this is not peatland. Report it, but say so. ","")&amp;IF(AND(ISNUMBER($J75),$J75&lt;QC_RECOVERY_MIN),"Recovered only "&amp;TEXT($J75,"0%")&amp;" of the bore depth — the chamber probably did not fill completely. Material is missing, which is not the same as compaction. ","")&amp;IF(AND(ISNUMBER($J75),$J75&gt;1.05),"Recovered more than the bore depth — check the two measurements. ","")&amp;IF(AND(ISNUMBER($I75),$I75&gt;2),"Surface compaction of "&amp;$I75&amp;" cm: depths in this core sit shallower than in the ground, so depth-limited stock is biased. Full-profile stock is unaffected. ",""))</f>
        <v/>
      </c>
      <c r="V75" s="14"/>
    </row>
    <row r="76" spans="1:22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6" t="str">
        <f t="shared" si="0"/>
        <v/>
      </c>
      <c r="K76" s="14"/>
      <c r="L76" s="14"/>
      <c r="M76" s="14"/>
      <c r="N76" s="14"/>
      <c r="O76" s="14"/>
      <c r="P76" s="14"/>
      <c r="Q76" s="16" t="str">
        <f>IF($A76="","",IF(SUMPRODUCT(MAX((community_cores_FS!$B$5:$B$597=$A76)*community_cores_FS!$F$5:$F$597))=0,"",SUMPRODUCT(MAX((community_cores_FS!$B$5:$B$597=$A76)*community_cores_FS!$F$5:$F$597))))</f>
        <v/>
      </c>
      <c r="R76" s="16" t="str">
        <f>IF($A76="","",IFERROR(SUMIFS(community_cores_FS!$P$5:$P$597,community_cores_FS!$B$5:$B$597,$A76),""))</f>
        <v/>
      </c>
      <c r="S76" s="16" t="str">
        <f>IF($A76="","",IFERROR(SUMIFS(community_cores_FS!$Q$5:$Q$597,community_cores_FS!$B$5:$B$597,$A76),""))</f>
        <v/>
      </c>
      <c r="T76" s="16" t="str">
        <f t="shared" si="3"/>
        <v/>
      </c>
      <c r="U76" s="16" t="str">
        <f>IF($A76="","",IF(AND($B76&lt;&gt;"",COUNTIF('1. Plot &amp; Site Log'!$A$5:$A$64,$B76)=0),"Plot ID not in Plot &amp; Site Log. ","")&amp;IF(NOT(ISNUMBER($Q76)),"No peat sections logged for this core. ","")&amp;IF($T76="No","Core stops short of the reference depth, so its reference-depth stock is an underestimate. Its full-profile stock is still valid. ","")&amp;IF($L76="No","Core did not reach the mineral contact — the full-profile stock is a MINIMUM, not the whole store. ","")&amp;IF(AND(ISNUMBER($K76),$K76&lt;PEATLAND_MIN_DEPTH_CM),"Organic depth under "&amp;PEATLAND_MIN_DEPTH_CM&amp;" cm: by the guide's definition this is not peatland. Report it, but say so. ","")&amp;IF(AND(ISNUMBER($J76),$J76&lt;QC_RECOVERY_MIN),"Recovered only "&amp;TEXT($J76,"0%")&amp;" of the bore depth — the chamber probably did not fill completely. Material is missing, which is not the same as compaction. ","")&amp;IF(AND(ISNUMBER($J76),$J76&gt;1.05),"Recovered more than the bore depth — check the two measurements. ","")&amp;IF(AND(ISNUMBER($I76),$I76&gt;2),"Surface compaction of "&amp;$I76&amp;" cm: depths in this core sit shallower than in the ground, so depth-limited stock is biased. Full-profile stock is unaffected. ",""))</f>
        <v/>
      </c>
      <c r="V76" s="14"/>
    </row>
    <row r="77" spans="1:22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6" t="str">
        <f t="shared" si="0"/>
        <v/>
      </c>
      <c r="K77" s="14"/>
      <c r="L77" s="14"/>
      <c r="M77" s="14"/>
      <c r="N77" s="14"/>
      <c r="O77" s="14"/>
      <c r="P77" s="14"/>
      <c r="Q77" s="16" t="str">
        <f>IF($A77="","",IF(SUMPRODUCT(MAX((community_cores_FS!$B$5:$B$597=$A77)*community_cores_FS!$F$5:$F$597))=0,"",SUMPRODUCT(MAX((community_cores_FS!$B$5:$B$597=$A77)*community_cores_FS!$F$5:$F$597))))</f>
        <v/>
      </c>
      <c r="R77" s="16" t="str">
        <f>IF($A77="","",IFERROR(SUMIFS(community_cores_FS!$P$5:$P$597,community_cores_FS!$B$5:$B$597,$A77),""))</f>
        <v/>
      </c>
      <c r="S77" s="16" t="str">
        <f>IF($A77="","",IFERROR(SUMIFS(community_cores_FS!$Q$5:$Q$597,community_cores_FS!$B$5:$B$597,$A77),""))</f>
        <v/>
      </c>
      <c r="T77" s="16" t="str">
        <f t="shared" si="3"/>
        <v/>
      </c>
      <c r="U77" s="16" t="str">
        <f>IF($A77="","",IF(AND($B77&lt;&gt;"",COUNTIF('1. Plot &amp; Site Log'!$A$5:$A$64,$B77)=0),"Plot ID not in Plot &amp; Site Log. ","")&amp;IF(NOT(ISNUMBER($Q77)),"No peat sections logged for this core. ","")&amp;IF($T77="No","Core stops short of the reference depth, so its reference-depth stock is an underestimate. Its full-profile stock is still valid. ","")&amp;IF($L77="No","Core did not reach the mineral contact — the full-profile stock is a MINIMUM, not the whole store. ","")&amp;IF(AND(ISNUMBER($K77),$K77&lt;PEATLAND_MIN_DEPTH_CM),"Organic depth under "&amp;PEATLAND_MIN_DEPTH_CM&amp;" cm: by the guide's definition this is not peatland. Report it, but say so. ","")&amp;IF(AND(ISNUMBER($J77),$J77&lt;QC_RECOVERY_MIN),"Recovered only "&amp;TEXT($J77,"0%")&amp;" of the bore depth — the chamber probably did not fill completely. Material is missing, which is not the same as compaction. ","")&amp;IF(AND(ISNUMBER($J77),$J77&gt;1.05),"Recovered more than the bore depth — check the two measurements. ","")&amp;IF(AND(ISNUMBER($I77),$I77&gt;2),"Surface compaction of "&amp;$I77&amp;" cm: depths in this core sit shallower than in the ground, so depth-limited stock is biased. Full-profile stock is unaffected. ",""))</f>
        <v/>
      </c>
      <c r="V77" s="14"/>
    </row>
    <row r="78" spans="1:22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6" t="str">
        <f t="shared" si="0"/>
        <v/>
      </c>
      <c r="K78" s="14"/>
      <c r="L78" s="14"/>
      <c r="M78" s="14"/>
      <c r="N78" s="14"/>
      <c r="O78" s="14"/>
      <c r="P78" s="14"/>
      <c r="Q78" s="16" t="str">
        <f>IF($A78="","",IF(SUMPRODUCT(MAX((community_cores_FS!$B$5:$B$597=$A78)*community_cores_FS!$F$5:$F$597))=0,"",SUMPRODUCT(MAX((community_cores_FS!$B$5:$B$597=$A78)*community_cores_FS!$F$5:$F$597))))</f>
        <v/>
      </c>
      <c r="R78" s="16" t="str">
        <f>IF($A78="","",IFERROR(SUMIFS(community_cores_FS!$P$5:$P$597,community_cores_FS!$B$5:$B$597,$A78),""))</f>
        <v/>
      </c>
      <c r="S78" s="16" t="str">
        <f>IF($A78="","",IFERROR(SUMIFS(community_cores_FS!$Q$5:$Q$597,community_cores_FS!$B$5:$B$597,$A78),""))</f>
        <v/>
      </c>
      <c r="T78" s="16" t="str">
        <f t="shared" si="3"/>
        <v/>
      </c>
      <c r="U78" s="16" t="str">
        <f>IF($A78="","",IF(AND($B78&lt;&gt;"",COUNTIF('1. Plot &amp; Site Log'!$A$5:$A$64,$B78)=0),"Plot ID not in Plot &amp; Site Log. ","")&amp;IF(NOT(ISNUMBER($Q78)),"No peat sections logged for this core. ","")&amp;IF($T78="No","Core stops short of the reference depth, so its reference-depth stock is an underestimate. Its full-profile stock is still valid. ","")&amp;IF($L78="No","Core did not reach the mineral contact — the full-profile stock is a MINIMUM, not the whole store. ","")&amp;IF(AND(ISNUMBER($K78),$K78&lt;PEATLAND_MIN_DEPTH_CM),"Organic depth under "&amp;PEATLAND_MIN_DEPTH_CM&amp;" cm: by the guide's definition this is not peatland. Report it, but say so. ","")&amp;IF(AND(ISNUMBER($J78),$J78&lt;QC_RECOVERY_MIN),"Recovered only "&amp;TEXT($J78,"0%")&amp;" of the bore depth — the chamber probably did not fill completely. Material is missing, which is not the same as compaction. ","")&amp;IF(AND(ISNUMBER($J78),$J78&gt;1.05),"Recovered more than the bore depth — check the two measurements. ","")&amp;IF(AND(ISNUMBER($I78),$I78&gt;2),"Surface compaction of "&amp;$I78&amp;" cm: depths in this core sit shallower than in the ground, so depth-limited stock is biased. Full-profile stock is unaffected. ",""))</f>
        <v/>
      </c>
      <c r="V78" s="14"/>
    </row>
    <row r="79" spans="1:22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6" t="str">
        <f t="shared" si="0"/>
        <v/>
      </c>
      <c r="K79" s="14"/>
      <c r="L79" s="14"/>
      <c r="M79" s="14"/>
      <c r="N79" s="14"/>
      <c r="O79" s="14"/>
      <c r="P79" s="14"/>
      <c r="Q79" s="16" t="str">
        <f>IF($A79="","",IF(SUMPRODUCT(MAX((community_cores_FS!$B$5:$B$597=$A79)*community_cores_FS!$F$5:$F$597))=0,"",SUMPRODUCT(MAX((community_cores_FS!$B$5:$B$597=$A79)*community_cores_FS!$F$5:$F$597))))</f>
        <v/>
      </c>
      <c r="R79" s="16" t="str">
        <f>IF($A79="","",IFERROR(SUMIFS(community_cores_FS!$P$5:$P$597,community_cores_FS!$B$5:$B$597,$A79),""))</f>
        <v/>
      </c>
      <c r="S79" s="16" t="str">
        <f>IF($A79="","",IFERROR(SUMIFS(community_cores_FS!$Q$5:$Q$597,community_cores_FS!$B$5:$B$597,$A79),""))</f>
        <v/>
      </c>
      <c r="T79" s="16" t="str">
        <f t="shared" si="3"/>
        <v/>
      </c>
      <c r="U79" s="16" t="str">
        <f>IF($A79="","",IF(AND($B79&lt;&gt;"",COUNTIF('1. Plot &amp; Site Log'!$A$5:$A$64,$B79)=0),"Plot ID not in Plot &amp; Site Log. ","")&amp;IF(NOT(ISNUMBER($Q79)),"No peat sections logged for this core. ","")&amp;IF($T79="No","Core stops short of the reference depth, so its reference-depth stock is an underestimate. Its full-profile stock is still valid. ","")&amp;IF($L79="No","Core did not reach the mineral contact — the full-profile stock is a MINIMUM, not the whole store. ","")&amp;IF(AND(ISNUMBER($K79),$K79&lt;PEATLAND_MIN_DEPTH_CM),"Organic depth under "&amp;PEATLAND_MIN_DEPTH_CM&amp;" cm: by the guide's definition this is not peatland. Report it, but say so. ","")&amp;IF(AND(ISNUMBER($J79),$J79&lt;QC_RECOVERY_MIN),"Recovered only "&amp;TEXT($J79,"0%")&amp;" of the bore depth — the chamber probably did not fill completely. Material is missing, which is not the same as compaction. ","")&amp;IF(AND(ISNUMBER($J79),$J79&gt;1.05),"Recovered more than the bore depth — check the two measurements. ","")&amp;IF(AND(ISNUMBER($I79),$I79&gt;2),"Surface compaction of "&amp;$I79&amp;" cm: depths in this core sit shallower than in the ground, so depth-limited stock is biased. Full-profile stock is unaffected. ",""))</f>
        <v/>
      </c>
      <c r="V79" s="14"/>
    </row>
    <row r="80" spans="1:22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6" t="str">
        <f t="shared" si="0"/>
        <v/>
      </c>
      <c r="K80" s="14"/>
      <c r="L80" s="14"/>
      <c r="M80" s="14"/>
      <c r="N80" s="14"/>
      <c r="O80" s="14"/>
      <c r="P80" s="14"/>
      <c r="Q80" s="16" t="str">
        <f>IF($A80="","",IF(SUMPRODUCT(MAX((community_cores_FS!$B$5:$B$597=$A80)*community_cores_FS!$F$5:$F$597))=0,"",SUMPRODUCT(MAX((community_cores_FS!$B$5:$B$597=$A80)*community_cores_FS!$F$5:$F$597))))</f>
        <v/>
      </c>
      <c r="R80" s="16" t="str">
        <f>IF($A80="","",IFERROR(SUMIFS(community_cores_FS!$P$5:$P$597,community_cores_FS!$B$5:$B$597,$A80),""))</f>
        <v/>
      </c>
      <c r="S80" s="16" t="str">
        <f>IF($A80="","",IFERROR(SUMIFS(community_cores_FS!$Q$5:$Q$597,community_cores_FS!$B$5:$B$597,$A80),""))</f>
        <v/>
      </c>
      <c r="T80" s="16" t="str">
        <f t="shared" si="3"/>
        <v/>
      </c>
      <c r="U80" s="16" t="str">
        <f>IF($A80="","",IF(AND($B80&lt;&gt;"",COUNTIF('1. Plot &amp; Site Log'!$A$5:$A$64,$B80)=0),"Plot ID not in Plot &amp; Site Log. ","")&amp;IF(NOT(ISNUMBER($Q80)),"No peat sections logged for this core. ","")&amp;IF($T80="No","Core stops short of the reference depth, so its reference-depth stock is an underestimate. Its full-profile stock is still valid. ","")&amp;IF($L80="No","Core did not reach the mineral contact — the full-profile stock is a MINIMUM, not the whole store. ","")&amp;IF(AND(ISNUMBER($K80),$K80&lt;PEATLAND_MIN_DEPTH_CM),"Organic depth under "&amp;PEATLAND_MIN_DEPTH_CM&amp;" cm: by the guide's definition this is not peatland. Report it, but say so. ","")&amp;IF(AND(ISNUMBER($J80),$J80&lt;QC_RECOVERY_MIN),"Recovered only "&amp;TEXT($J80,"0%")&amp;" of the bore depth — the chamber probably did not fill completely. Material is missing, which is not the same as compaction. ","")&amp;IF(AND(ISNUMBER($J80),$J80&gt;1.05),"Recovered more than the bore depth — check the two measurements. ","")&amp;IF(AND(ISNUMBER($I80),$I80&gt;2),"Surface compaction of "&amp;$I80&amp;" cm: depths in this core sit shallower than in the ground, so depth-limited stock is biased. Full-profile stock is unaffected. ",""))</f>
        <v/>
      </c>
      <c r="V80" s="14"/>
    </row>
    <row r="81" spans="1:22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6" t="str">
        <f t="shared" si="0"/>
        <v/>
      </c>
      <c r="K81" s="14"/>
      <c r="L81" s="14"/>
      <c r="M81" s="14"/>
      <c r="N81" s="14"/>
      <c r="O81" s="14"/>
      <c r="P81" s="14"/>
      <c r="Q81" s="16" t="str">
        <f>IF($A81="","",IF(SUMPRODUCT(MAX((community_cores_FS!$B$5:$B$597=$A81)*community_cores_FS!$F$5:$F$597))=0,"",SUMPRODUCT(MAX((community_cores_FS!$B$5:$B$597=$A81)*community_cores_FS!$F$5:$F$597))))</f>
        <v/>
      </c>
      <c r="R81" s="16" t="str">
        <f>IF($A81="","",IFERROR(SUMIFS(community_cores_FS!$P$5:$P$597,community_cores_FS!$B$5:$B$597,$A81),""))</f>
        <v/>
      </c>
      <c r="S81" s="16" t="str">
        <f>IF($A81="","",IFERROR(SUMIFS(community_cores_FS!$Q$5:$Q$597,community_cores_FS!$B$5:$B$597,$A81),""))</f>
        <v/>
      </c>
      <c r="T81" s="16" t="str">
        <f t="shared" si="3"/>
        <v/>
      </c>
      <c r="U81" s="16" t="str">
        <f>IF($A81="","",IF(AND($B81&lt;&gt;"",COUNTIF('1. Plot &amp; Site Log'!$A$5:$A$64,$B81)=0),"Plot ID not in Plot &amp; Site Log. ","")&amp;IF(NOT(ISNUMBER($Q81)),"No peat sections logged for this core. ","")&amp;IF($T81="No","Core stops short of the reference depth, so its reference-depth stock is an underestimate. Its full-profile stock is still valid. ","")&amp;IF($L81="No","Core did not reach the mineral contact — the full-profile stock is a MINIMUM, not the whole store. ","")&amp;IF(AND(ISNUMBER($K81),$K81&lt;PEATLAND_MIN_DEPTH_CM),"Organic depth under "&amp;PEATLAND_MIN_DEPTH_CM&amp;" cm: by the guide's definition this is not peatland. Report it, but say so. ","")&amp;IF(AND(ISNUMBER($J81),$J81&lt;QC_RECOVERY_MIN),"Recovered only "&amp;TEXT($J81,"0%")&amp;" of the bore depth — the chamber probably did not fill completely. Material is missing, which is not the same as compaction. ","")&amp;IF(AND(ISNUMBER($J81),$J81&gt;1.05),"Recovered more than the bore depth — check the two measurements. ","")&amp;IF(AND(ISNUMBER($I81),$I81&gt;2),"Surface compaction of "&amp;$I81&amp;" cm: depths in this core sit shallower than in the ground, so depth-limited stock is biased. Full-profile stock is unaffected. ",""))</f>
        <v/>
      </c>
      <c r="V81" s="14"/>
    </row>
    <row r="82" spans="1:2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6" t="str">
        <f t="shared" si="0"/>
        <v/>
      </c>
      <c r="K82" s="14"/>
      <c r="L82" s="14"/>
      <c r="M82" s="14"/>
      <c r="N82" s="14"/>
      <c r="O82" s="14"/>
      <c r="P82" s="14"/>
      <c r="Q82" s="16" t="str">
        <f>IF($A82="","",IF(SUMPRODUCT(MAX((community_cores_FS!$B$5:$B$597=$A82)*community_cores_FS!$F$5:$F$597))=0,"",SUMPRODUCT(MAX((community_cores_FS!$B$5:$B$597=$A82)*community_cores_FS!$F$5:$F$597))))</f>
        <v/>
      </c>
      <c r="R82" s="16" t="str">
        <f>IF($A82="","",IFERROR(SUMIFS(community_cores_FS!$P$5:$P$597,community_cores_FS!$B$5:$B$597,$A82),""))</f>
        <v/>
      </c>
      <c r="S82" s="16" t="str">
        <f>IF($A82="","",IFERROR(SUMIFS(community_cores_FS!$Q$5:$Q$597,community_cores_FS!$B$5:$B$597,$A82),""))</f>
        <v/>
      </c>
      <c r="T82" s="16" t="str">
        <f t="shared" si="3"/>
        <v/>
      </c>
      <c r="U82" s="16" t="str">
        <f>IF($A82="","",IF(AND($B82&lt;&gt;"",COUNTIF('1. Plot &amp; Site Log'!$A$5:$A$64,$B82)=0),"Plot ID not in Plot &amp; Site Log. ","")&amp;IF(NOT(ISNUMBER($Q82)),"No peat sections logged for this core. ","")&amp;IF($T82="No","Core stops short of the reference depth, so its reference-depth stock is an underestimate. Its full-profile stock is still valid. ","")&amp;IF($L82="No","Core did not reach the mineral contact — the full-profile stock is a MINIMUM, not the whole store. ","")&amp;IF(AND(ISNUMBER($K82),$K82&lt;PEATLAND_MIN_DEPTH_CM),"Organic depth under "&amp;PEATLAND_MIN_DEPTH_CM&amp;" cm: by the guide's definition this is not peatland. Report it, but say so. ","")&amp;IF(AND(ISNUMBER($J82),$J82&lt;QC_RECOVERY_MIN),"Recovered only "&amp;TEXT($J82,"0%")&amp;" of the bore depth — the chamber probably did not fill completely. Material is missing, which is not the same as compaction. ","")&amp;IF(AND(ISNUMBER($J82),$J82&gt;1.05),"Recovered more than the bore depth — check the two measurements. ","")&amp;IF(AND(ISNUMBER($I82),$I82&gt;2),"Surface compaction of "&amp;$I82&amp;" cm: depths in this core sit shallower than in the ground, so depth-limited stock is biased. Full-profile stock is unaffected. ",""))</f>
        <v/>
      </c>
      <c r="V82" s="14"/>
    </row>
    <row r="83" spans="1:22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6" t="str">
        <f t="shared" si="0"/>
        <v/>
      </c>
      <c r="K83" s="14"/>
      <c r="L83" s="14"/>
      <c r="M83" s="14"/>
      <c r="N83" s="14"/>
      <c r="O83" s="14"/>
      <c r="P83" s="14"/>
      <c r="Q83" s="16" t="str">
        <f>IF($A83="","",IF(SUMPRODUCT(MAX((community_cores_FS!$B$5:$B$597=$A83)*community_cores_FS!$F$5:$F$597))=0,"",SUMPRODUCT(MAX((community_cores_FS!$B$5:$B$597=$A83)*community_cores_FS!$F$5:$F$597))))</f>
        <v/>
      </c>
      <c r="R83" s="16" t="str">
        <f>IF($A83="","",IFERROR(SUMIFS(community_cores_FS!$P$5:$P$597,community_cores_FS!$B$5:$B$597,$A83),""))</f>
        <v/>
      </c>
      <c r="S83" s="16" t="str">
        <f>IF($A83="","",IFERROR(SUMIFS(community_cores_FS!$Q$5:$Q$597,community_cores_FS!$B$5:$B$597,$A83),""))</f>
        <v/>
      </c>
      <c r="T83" s="16" t="str">
        <f t="shared" si="3"/>
        <v/>
      </c>
      <c r="U83" s="16" t="str">
        <f>IF($A83="","",IF(AND($B83&lt;&gt;"",COUNTIF('1. Plot &amp; Site Log'!$A$5:$A$64,$B83)=0),"Plot ID not in Plot &amp; Site Log. ","")&amp;IF(NOT(ISNUMBER($Q83)),"No peat sections logged for this core. ","")&amp;IF($T83="No","Core stops short of the reference depth, so its reference-depth stock is an underestimate. Its full-profile stock is still valid. ","")&amp;IF($L83="No","Core did not reach the mineral contact — the full-profile stock is a MINIMUM, not the whole store. ","")&amp;IF(AND(ISNUMBER($K83),$K83&lt;PEATLAND_MIN_DEPTH_CM),"Organic depth under "&amp;PEATLAND_MIN_DEPTH_CM&amp;" cm: by the guide's definition this is not peatland. Report it, but say so. ","")&amp;IF(AND(ISNUMBER($J83),$J83&lt;QC_RECOVERY_MIN),"Recovered only "&amp;TEXT($J83,"0%")&amp;" of the bore depth — the chamber probably did not fill completely. Material is missing, which is not the same as compaction. ","")&amp;IF(AND(ISNUMBER($J83),$J83&gt;1.05),"Recovered more than the bore depth — check the two measurements. ","")&amp;IF(AND(ISNUMBER($I83),$I83&gt;2),"Surface compaction of "&amp;$I83&amp;" cm: depths in this core sit shallower than in the ground, so depth-limited stock is biased. Full-profile stock is unaffected. ",""))</f>
        <v/>
      </c>
      <c r="V83" s="14"/>
    </row>
    <row r="84" spans="1:22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6" t="str">
        <f t="shared" si="0"/>
        <v/>
      </c>
      <c r="K84" s="14"/>
      <c r="L84" s="14"/>
      <c r="M84" s="14"/>
      <c r="N84" s="14"/>
      <c r="O84" s="14"/>
      <c r="P84" s="14"/>
      <c r="Q84" s="16" t="str">
        <f>IF($A84="","",IF(SUMPRODUCT(MAX((community_cores_FS!$B$5:$B$597=$A84)*community_cores_FS!$F$5:$F$597))=0,"",SUMPRODUCT(MAX((community_cores_FS!$B$5:$B$597=$A84)*community_cores_FS!$F$5:$F$597))))</f>
        <v/>
      </c>
      <c r="R84" s="16" t="str">
        <f>IF($A84="","",IFERROR(SUMIFS(community_cores_FS!$P$5:$P$597,community_cores_FS!$B$5:$B$597,$A84),""))</f>
        <v/>
      </c>
      <c r="S84" s="16" t="str">
        <f>IF($A84="","",IFERROR(SUMIFS(community_cores_FS!$Q$5:$Q$597,community_cores_FS!$B$5:$B$597,$A84),""))</f>
        <v/>
      </c>
      <c r="T84" s="16" t="str">
        <f t="shared" si="3"/>
        <v/>
      </c>
      <c r="U84" s="16" t="str">
        <f>IF($A84="","",IF(AND($B84&lt;&gt;"",COUNTIF('1. Plot &amp; Site Log'!$A$5:$A$64,$B84)=0),"Plot ID not in Plot &amp; Site Log. ","")&amp;IF(NOT(ISNUMBER($Q84)),"No peat sections logged for this core. ","")&amp;IF($T84="No","Core stops short of the reference depth, so its reference-depth stock is an underestimate. Its full-profile stock is still valid. ","")&amp;IF($L84="No","Core did not reach the mineral contact — the full-profile stock is a MINIMUM, not the whole store. ","")&amp;IF(AND(ISNUMBER($K84),$K84&lt;PEATLAND_MIN_DEPTH_CM),"Organic depth under "&amp;PEATLAND_MIN_DEPTH_CM&amp;" cm: by the guide's definition this is not peatland. Report it, but say so. ","")&amp;IF(AND(ISNUMBER($J84),$J84&lt;QC_RECOVERY_MIN),"Recovered only "&amp;TEXT($J84,"0%")&amp;" of the bore depth — the chamber probably did not fill completely. Material is missing, which is not the same as compaction. ","")&amp;IF(AND(ISNUMBER($J84),$J84&gt;1.05),"Recovered more than the bore depth — check the two measurements. ","")&amp;IF(AND(ISNUMBER($I84),$I84&gt;2),"Surface compaction of "&amp;$I84&amp;" cm: depths in this core sit shallower than in the ground, so depth-limited stock is biased. Full-profile stock is unaffected. ",""))</f>
        <v/>
      </c>
      <c r="V84" s="14"/>
    </row>
    <row r="85" spans="1:22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6" t="str">
        <f t="shared" si="0"/>
        <v/>
      </c>
      <c r="K85" s="14"/>
      <c r="L85" s="14"/>
      <c r="M85" s="14"/>
      <c r="N85" s="14"/>
      <c r="O85" s="14"/>
      <c r="P85" s="14"/>
      <c r="Q85" s="16" t="str">
        <f>IF($A85="","",IF(SUMPRODUCT(MAX((community_cores_FS!$B$5:$B$597=$A85)*community_cores_FS!$F$5:$F$597))=0,"",SUMPRODUCT(MAX((community_cores_FS!$B$5:$B$597=$A85)*community_cores_FS!$F$5:$F$597))))</f>
        <v/>
      </c>
      <c r="R85" s="16" t="str">
        <f>IF($A85="","",IFERROR(SUMIFS(community_cores_FS!$P$5:$P$597,community_cores_FS!$B$5:$B$597,$A85),""))</f>
        <v/>
      </c>
      <c r="S85" s="16" t="str">
        <f>IF($A85="","",IFERROR(SUMIFS(community_cores_FS!$Q$5:$Q$597,community_cores_FS!$B$5:$B$597,$A85),""))</f>
        <v/>
      </c>
      <c r="T85" s="16" t="str">
        <f t="shared" si="3"/>
        <v/>
      </c>
      <c r="U85" s="16" t="str">
        <f>IF($A85="","",IF(AND($B85&lt;&gt;"",COUNTIF('1. Plot &amp; Site Log'!$A$5:$A$64,$B85)=0),"Plot ID not in Plot &amp; Site Log. ","")&amp;IF(NOT(ISNUMBER($Q85)),"No peat sections logged for this core. ","")&amp;IF($T85="No","Core stops short of the reference depth, so its reference-depth stock is an underestimate. Its full-profile stock is still valid. ","")&amp;IF($L85="No","Core did not reach the mineral contact — the full-profile stock is a MINIMUM, not the whole store. ","")&amp;IF(AND(ISNUMBER($K85),$K85&lt;PEATLAND_MIN_DEPTH_CM),"Organic depth under "&amp;PEATLAND_MIN_DEPTH_CM&amp;" cm: by the guide's definition this is not peatland. Report it, but say so. ","")&amp;IF(AND(ISNUMBER($J85),$J85&lt;QC_RECOVERY_MIN),"Recovered only "&amp;TEXT($J85,"0%")&amp;" of the bore depth — the chamber probably did not fill completely. Material is missing, which is not the same as compaction. ","")&amp;IF(AND(ISNUMBER($J85),$J85&gt;1.05),"Recovered more than the bore depth — check the two measurements. ","")&amp;IF(AND(ISNUMBER($I85),$I85&gt;2),"Surface compaction of "&amp;$I85&amp;" cm: depths in this core sit shallower than in the ground, so depth-limited stock is biased. Full-profile stock is unaffected. ",""))</f>
        <v/>
      </c>
      <c r="V85" s="14"/>
    </row>
    <row r="86" spans="1:22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6" t="str">
        <f t="shared" si="0"/>
        <v/>
      </c>
      <c r="K86" s="14"/>
      <c r="L86" s="14"/>
      <c r="M86" s="14"/>
      <c r="N86" s="14"/>
      <c r="O86" s="14"/>
      <c r="P86" s="14"/>
      <c r="Q86" s="16" t="str">
        <f>IF($A86="","",IF(SUMPRODUCT(MAX((community_cores_FS!$B$5:$B$597=$A86)*community_cores_FS!$F$5:$F$597))=0,"",SUMPRODUCT(MAX((community_cores_FS!$B$5:$B$597=$A86)*community_cores_FS!$F$5:$F$597))))</f>
        <v/>
      </c>
      <c r="R86" s="16" t="str">
        <f>IF($A86="","",IFERROR(SUMIFS(community_cores_FS!$P$5:$P$597,community_cores_FS!$B$5:$B$597,$A86),""))</f>
        <v/>
      </c>
      <c r="S86" s="16" t="str">
        <f>IF($A86="","",IFERROR(SUMIFS(community_cores_FS!$Q$5:$Q$597,community_cores_FS!$B$5:$B$597,$A86),""))</f>
        <v/>
      </c>
      <c r="T86" s="16" t="str">
        <f t="shared" si="3"/>
        <v/>
      </c>
      <c r="U86" s="16" t="str">
        <f>IF($A86="","",IF(AND($B86&lt;&gt;"",COUNTIF('1. Plot &amp; Site Log'!$A$5:$A$64,$B86)=0),"Plot ID not in Plot &amp; Site Log. ","")&amp;IF(NOT(ISNUMBER($Q86)),"No peat sections logged for this core. ","")&amp;IF($T86="No","Core stops short of the reference depth, so its reference-depth stock is an underestimate. Its full-profile stock is still valid. ","")&amp;IF($L86="No","Core did not reach the mineral contact — the full-profile stock is a MINIMUM, not the whole store. ","")&amp;IF(AND(ISNUMBER($K86),$K86&lt;PEATLAND_MIN_DEPTH_CM),"Organic depth under "&amp;PEATLAND_MIN_DEPTH_CM&amp;" cm: by the guide's definition this is not peatland. Report it, but say so. ","")&amp;IF(AND(ISNUMBER($J86),$J86&lt;QC_RECOVERY_MIN),"Recovered only "&amp;TEXT($J86,"0%")&amp;" of the bore depth — the chamber probably did not fill completely. Material is missing, which is not the same as compaction. ","")&amp;IF(AND(ISNUMBER($J86),$J86&gt;1.05),"Recovered more than the bore depth — check the two measurements. ","")&amp;IF(AND(ISNUMBER($I86),$I86&gt;2),"Surface compaction of "&amp;$I86&amp;" cm: depths in this core sit shallower than in the ground, so depth-limited stock is biased. Full-profile stock is unaffected. ",""))</f>
        <v/>
      </c>
      <c r="V86" s="14"/>
    </row>
    <row r="87" spans="1:22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6" t="str">
        <f t="shared" si="0"/>
        <v/>
      </c>
      <c r="K87" s="14"/>
      <c r="L87" s="14"/>
      <c r="M87" s="14"/>
      <c r="N87" s="14"/>
      <c r="O87" s="14"/>
      <c r="P87" s="14"/>
      <c r="Q87" s="16" t="str">
        <f>IF($A87="","",IF(SUMPRODUCT(MAX((community_cores_FS!$B$5:$B$597=$A87)*community_cores_FS!$F$5:$F$597))=0,"",SUMPRODUCT(MAX((community_cores_FS!$B$5:$B$597=$A87)*community_cores_FS!$F$5:$F$597))))</f>
        <v/>
      </c>
      <c r="R87" s="16" t="str">
        <f>IF($A87="","",IFERROR(SUMIFS(community_cores_FS!$P$5:$P$597,community_cores_FS!$B$5:$B$597,$A87),""))</f>
        <v/>
      </c>
      <c r="S87" s="16" t="str">
        <f>IF($A87="","",IFERROR(SUMIFS(community_cores_FS!$Q$5:$Q$597,community_cores_FS!$B$5:$B$597,$A87),""))</f>
        <v/>
      </c>
      <c r="T87" s="16" t="str">
        <f t="shared" si="3"/>
        <v/>
      </c>
      <c r="U87" s="16" t="str">
        <f>IF($A87="","",IF(AND($B87&lt;&gt;"",COUNTIF('1. Plot &amp; Site Log'!$A$5:$A$64,$B87)=0),"Plot ID not in Plot &amp; Site Log. ","")&amp;IF(NOT(ISNUMBER($Q87)),"No peat sections logged for this core. ","")&amp;IF($T87="No","Core stops short of the reference depth, so its reference-depth stock is an underestimate. Its full-profile stock is still valid. ","")&amp;IF($L87="No","Core did not reach the mineral contact — the full-profile stock is a MINIMUM, not the whole store. ","")&amp;IF(AND(ISNUMBER($K87),$K87&lt;PEATLAND_MIN_DEPTH_CM),"Organic depth under "&amp;PEATLAND_MIN_DEPTH_CM&amp;" cm: by the guide's definition this is not peatland. Report it, but say so. ","")&amp;IF(AND(ISNUMBER($J87),$J87&lt;QC_RECOVERY_MIN),"Recovered only "&amp;TEXT($J87,"0%")&amp;" of the bore depth — the chamber probably did not fill completely. Material is missing, which is not the same as compaction. ","")&amp;IF(AND(ISNUMBER($J87),$J87&gt;1.05),"Recovered more than the bore depth — check the two measurements. ","")&amp;IF(AND(ISNUMBER($I87),$I87&gt;2),"Surface compaction of "&amp;$I87&amp;" cm: depths in this core sit shallower than in the ground, so depth-limited stock is biased. Full-profile stock is unaffected. ",""))</f>
        <v/>
      </c>
      <c r="V87" s="14"/>
    </row>
    <row r="88" spans="1:22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6" t="str">
        <f t="shared" si="0"/>
        <v/>
      </c>
      <c r="K88" s="14"/>
      <c r="L88" s="14"/>
      <c r="M88" s="14"/>
      <c r="N88" s="14"/>
      <c r="O88" s="14"/>
      <c r="P88" s="14"/>
      <c r="Q88" s="16" t="str">
        <f>IF($A88="","",IF(SUMPRODUCT(MAX((community_cores_FS!$B$5:$B$597=$A88)*community_cores_FS!$F$5:$F$597))=0,"",SUMPRODUCT(MAX((community_cores_FS!$B$5:$B$597=$A88)*community_cores_FS!$F$5:$F$597))))</f>
        <v/>
      </c>
      <c r="R88" s="16" t="str">
        <f>IF($A88="","",IFERROR(SUMIFS(community_cores_FS!$P$5:$P$597,community_cores_FS!$B$5:$B$597,$A88),""))</f>
        <v/>
      </c>
      <c r="S88" s="16" t="str">
        <f>IF($A88="","",IFERROR(SUMIFS(community_cores_FS!$Q$5:$Q$597,community_cores_FS!$B$5:$B$597,$A88),""))</f>
        <v/>
      </c>
      <c r="T88" s="16" t="str">
        <f t="shared" si="3"/>
        <v/>
      </c>
      <c r="U88" s="16" t="str">
        <f>IF($A88="","",IF(AND($B88&lt;&gt;"",COUNTIF('1. Plot &amp; Site Log'!$A$5:$A$64,$B88)=0),"Plot ID not in Plot &amp; Site Log. ","")&amp;IF(NOT(ISNUMBER($Q88)),"No peat sections logged for this core. ","")&amp;IF($T88="No","Core stops short of the reference depth, so its reference-depth stock is an underestimate. Its full-profile stock is still valid. ","")&amp;IF($L88="No","Core did not reach the mineral contact — the full-profile stock is a MINIMUM, not the whole store. ","")&amp;IF(AND(ISNUMBER($K88),$K88&lt;PEATLAND_MIN_DEPTH_CM),"Organic depth under "&amp;PEATLAND_MIN_DEPTH_CM&amp;" cm: by the guide's definition this is not peatland. Report it, but say so. ","")&amp;IF(AND(ISNUMBER($J88),$J88&lt;QC_RECOVERY_MIN),"Recovered only "&amp;TEXT($J88,"0%")&amp;" of the bore depth — the chamber probably did not fill completely. Material is missing, which is not the same as compaction. ","")&amp;IF(AND(ISNUMBER($J88),$J88&gt;1.05),"Recovered more than the bore depth — check the two measurements. ","")&amp;IF(AND(ISNUMBER($I88),$I88&gt;2),"Surface compaction of "&amp;$I88&amp;" cm: depths in this core sit shallower than in the ground, so depth-limited stock is biased. Full-profile stock is unaffected. ",""))</f>
        <v/>
      </c>
      <c r="V88" s="14"/>
    </row>
    <row r="89" spans="1:22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6" t="str">
        <f t="shared" si="0"/>
        <v/>
      </c>
      <c r="K89" s="14"/>
      <c r="L89" s="14"/>
      <c r="M89" s="14"/>
      <c r="N89" s="14"/>
      <c r="O89" s="14"/>
      <c r="P89" s="14"/>
      <c r="Q89" s="16" t="str">
        <f>IF($A89="","",IF(SUMPRODUCT(MAX((community_cores_FS!$B$5:$B$597=$A89)*community_cores_FS!$F$5:$F$597))=0,"",SUMPRODUCT(MAX((community_cores_FS!$B$5:$B$597=$A89)*community_cores_FS!$F$5:$F$597))))</f>
        <v/>
      </c>
      <c r="R89" s="16" t="str">
        <f>IF($A89="","",IFERROR(SUMIFS(community_cores_FS!$P$5:$P$597,community_cores_FS!$B$5:$B$597,$A89),""))</f>
        <v/>
      </c>
      <c r="S89" s="16" t="str">
        <f>IF($A89="","",IFERROR(SUMIFS(community_cores_FS!$Q$5:$Q$597,community_cores_FS!$B$5:$B$597,$A89),""))</f>
        <v/>
      </c>
      <c r="T89" s="16" t="str">
        <f t="shared" si="3"/>
        <v/>
      </c>
      <c r="U89" s="16" t="str">
        <f>IF($A89="","",IF(AND($B89&lt;&gt;"",COUNTIF('1. Plot &amp; Site Log'!$A$5:$A$64,$B89)=0),"Plot ID not in Plot &amp; Site Log. ","")&amp;IF(NOT(ISNUMBER($Q89)),"No peat sections logged for this core. ","")&amp;IF($T89="No","Core stops short of the reference depth, so its reference-depth stock is an underestimate. Its full-profile stock is still valid. ","")&amp;IF($L89="No","Core did not reach the mineral contact — the full-profile stock is a MINIMUM, not the whole store. ","")&amp;IF(AND(ISNUMBER($K89),$K89&lt;PEATLAND_MIN_DEPTH_CM),"Organic depth under "&amp;PEATLAND_MIN_DEPTH_CM&amp;" cm: by the guide's definition this is not peatland. Report it, but say so. ","")&amp;IF(AND(ISNUMBER($J89),$J89&lt;QC_RECOVERY_MIN),"Recovered only "&amp;TEXT($J89,"0%")&amp;" of the bore depth — the chamber probably did not fill completely. Material is missing, which is not the same as compaction. ","")&amp;IF(AND(ISNUMBER($J89),$J89&gt;1.05),"Recovered more than the bore depth — check the two measurements. ","")&amp;IF(AND(ISNUMBER($I89),$I89&gt;2),"Surface compaction of "&amp;$I89&amp;" cm: depths in this core sit shallower than in the ground, so depth-limited stock is biased. Full-profile stock is unaffected. ",""))</f>
        <v/>
      </c>
      <c r="V89" s="14"/>
    </row>
    <row r="90" spans="1:22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6" t="str">
        <f t="shared" si="0"/>
        <v/>
      </c>
      <c r="K90" s="14"/>
      <c r="L90" s="14"/>
      <c r="M90" s="14"/>
      <c r="N90" s="14"/>
      <c r="O90" s="14"/>
      <c r="P90" s="14"/>
      <c r="Q90" s="16" t="str">
        <f>IF($A90="","",IF(SUMPRODUCT(MAX((community_cores_FS!$B$5:$B$597=$A90)*community_cores_FS!$F$5:$F$597))=0,"",SUMPRODUCT(MAX((community_cores_FS!$B$5:$B$597=$A90)*community_cores_FS!$F$5:$F$597))))</f>
        <v/>
      </c>
      <c r="R90" s="16" t="str">
        <f>IF($A90="","",IFERROR(SUMIFS(community_cores_FS!$P$5:$P$597,community_cores_FS!$B$5:$B$597,$A90),""))</f>
        <v/>
      </c>
      <c r="S90" s="16" t="str">
        <f>IF($A90="","",IFERROR(SUMIFS(community_cores_FS!$Q$5:$Q$597,community_cores_FS!$B$5:$B$597,$A90),""))</f>
        <v/>
      </c>
      <c r="T90" s="16" t="str">
        <f t="shared" si="3"/>
        <v/>
      </c>
      <c r="U90" s="16" t="str">
        <f>IF($A90="","",IF(AND($B90&lt;&gt;"",COUNTIF('1. Plot &amp; Site Log'!$A$5:$A$64,$B90)=0),"Plot ID not in Plot &amp; Site Log. ","")&amp;IF(NOT(ISNUMBER($Q90)),"No peat sections logged for this core. ","")&amp;IF($T90="No","Core stops short of the reference depth, so its reference-depth stock is an underestimate. Its full-profile stock is still valid. ","")&amp;IF($L90="No","Core did not reach the mineral contact — the full-profile stock is a MINIMUM, not the whole store. ","")&amp;IF(AND(ISNUMBER($K90),$K90&lt;PEATLAND_MIN_DEPTH_CM),"Organic depth under "&amp;PEATLAND_MIN_DEPTH_CM&amp;" cm: by the guide's definition this is not peatland. Report it, but say so. ","")&amp;IF(AND(ISNUMBER($J90),$J90&lt;QC_RECOVERY_MIN),"Recovered only "&amp;TEXT($J90,"0%")&amp;" of the bore depth — the chamber probably did not fill completely. Material is missing, which is not the same as compaction. ","")&amp;IF(AND(ISNUMBER($J90),$J90&gt;1.05),"Recovered more than the bore depth — check the two measurements. ","")&amp;IF(AND(ISNUMBER($I90),$I90&gt;2),"Surface compaction of "&amp;$I90&amp;" cm: depths in this core sit shallower than in the ground, so depth-limited stock is biased. Full-profile stock is unaffected. ",""))</f>
        <v/>
      </c>
      <c r="V90" s="14"/>
    </row>
    <row r="91" spans="1:22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6" t="str">
        <f t="shared" si="0"/>
        <v/>
      </c>
      <c r="K91" s="14"/>
      <c r="L91" s="14"/>
      <c r="M91" s="14"/>
      <c r="N91" s="14"/>
      <c r="O91" s="14"/>
      <c r="P91" s="14"/>
      <c r="Q91" s="16" t="str">
        <f>IF($A91="","",IF(SUMPRODUCT(MAX((community_cores_FS!$B$5:$B$597=$A91)*community_cores_FS!$F$5:$F$597))=0,"",SUMPRODUCT(MAX((community_cores_FS!$B$5:$B$597=$A91)*community_cores_FS!$F$5:$F$597))))</f>
        <v/>
      </c>
      <c r="R91" s="16" t="str">
        <f>IF($A91="","",IFERROR(SUMIFS(community_cores_FS!$P$5:$P$597,community_cores_FS!$B$5:$B$597,$A91),""))</f>
        <v/>
      </c>
      <c r="S91" s="16" t="str">
        <f>IF($A91="","",IFERROR(SUMIFS(community_cores_FS!$Q$5:$Q$597,community_cores_FS!$B$5:$B$597,$A91),""))</f>
        <v/>
      </c>
      <c r="T91" s="16" t="str">
        <f t="shared" si="3"/>
        <v/>
      </c>
      <c r="U91" s="16" t="str">
        <f>IF($A91="","",IF(AND($B91&lt;&gt;"",COUNTIF('1. Plot &amp; Site Log'!$A$5:$A$64,$B91)=0),"Plot ID not in Plot &amp; Site Log. ","")&amp;IF(NOT(ISNUMBER($Q91)),"No peat sections logged for this core. ","")&amp;IF($T91="No","Core stops short of the reference depth, so its reference-depth stock is an underestimate. Its full-profile stock is still valid. ","")&amp;IF($L91="No","Core did not reach the mineral contact — the full-profile stock is a MINIMUM, not the whole store. ","")&amp;IF(AND(ISNUMBER($K91),$K91&lt;PEATLAND_MIN_DEPTH_CM),"Organic depth under "&amp;PEATLAND_MIN_DEPTH_CM&amp;" cm: by the guide's definition this is not peatland. Report it, but say so. ","")&amp;IF(AND(ISNUMBER($J91),$J91&lt;QC_RECOVERY_MIN),"Recovered only "&amp;TEXT($J91,"0%")&amp;" of the bore depth — the chamber probably did not fill completely. Material is missing, which is not the same as compaction. ","")&amp;IF(AND(ISNUMBER($J91),$J91&gt;1.05),"Recovered more than the bore depth — check the two measurements. ","")&amp;IF(AND(ISNUMBER($I91),$I91&gt;2),"Surface compaction of "&amp;$I91&amp;" cm: depths in this core sit shallower than in the ground, so depth-limited stock is biased. Full-profile stock is unaffected. ",""))</f>
        <v/>
      </c>
      <c r="V91" s="14"/>
    </row>
    <row r="92" spans="1:2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6" t="str">
        <f t="shared" si="0"/>
        <v/>
      </c>
      <c r="K92" s="14"/>
      <c r="L92" s="14"/>
      <c r="M92" s="14"/>
      <c r="N92" s="14"/>
      <c r="O92" s="14"/>
      <c r="P92" s="14"/>
      <c r="Q92" s="16" t="str">
        <f>IF($A92="","",IF(SUMPRODUCT(MAX((community_cores_FS!$B$5:$B$597=$A92)*community_cores_FS!$F$5:$F$597))=0,"",SUMPRODUCT(MAX((community_cores_FS!$B$5:$B$597=$A92)*community_cores_FS!$F$5:$F$597))))</f>
        <v/>
      </c>
      <c r="R92" s="16" t="str">
        <f>IF($A92="","",IFERROR(SUMIFS(community_cores_FS!$P$5:$P$597,community_cores_FS!$B$5:$B$597,$A92),""))</f>
        <v/>
      </c>
      <c r="S92" s="16" t="str">
        <f>IF($A92="","",IFERROR(SUMIFS(community_cores_FS!$Q$5:$Q$597,community_cores_FS!$B$5:$B$597,$A92),""))</f>
        <v/>
      </c>
      <c r="T92" s="16" t="str">
        <f t="shared" si="3"/>
        <v/>
      </c>
      <c r="U92" s="16" t="str">
        <f>IF($A92="","",IF(AND($B92&lt;&gt;"",COUNTIF('1. Plot &amp; Site Log'!$A$5:$A$64,$B92)=0),"Plot ID not in Plot &amp; Site Log. ","")&amp;IF(NOT(ISNUMBER($Q92)),"No peat sections logged for this core. ","")&amp;IF($T92="No","Core stops short of the reference depth, so its reference-depth stock is an underestimate. Its full-profile stock is still valid. ","")&amp;IF($L92="No","Core did not reach the mineral contact — the full-profile stock is a MINIMUM, not the whole store. ","")&amp;IF(AND(ISNUMBER($K92),$K92&lt;PEATLAND_MIN_DEPTH_CM),"Organic depth under "&amp;PEATLAND_MIN_DEPTH_CM&amp;" cm: by the guide's definition this is not peatland. Report it, but say so. ","")&amp;IF(AND(ISNUMBER($J92),$J92&lt;QC_RECOVERY_MIN),"Recovered only "&amp;TEXT($J92,"0%")&amp;" of the bore depth — the chamber probably did not fill completely. Material is missing, which is not the same as compaction. ","")&amp;IF(AND(ISNUMBER($J92),$J92&gt;1.05),"Recovered more than the bore depth — check the two measurements. ","")&amp;IF(AND(ISNUMBER($I92),$I92&gt;2),"Surface compaction of "&amp;$I92&amp;" cm: depths in this core sit shallower than in the ground, so depth-limited stock is biased. Full-profile stock is unaffected. ",""))</f>
        <v/>
      </c>
      <c r="V92" s="14"/>
    </row>
    <row r="93" spans="1:22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6" t="str">
        <f t="shared" si="0"/>
        <v/>
      </c>
      <c r="K93" s="14"/>
      <c r="L93" s="14"/>
      <c r="M93" s="14"/>
      <c r="N93" s="14"/>
      <c r="O93" s="14"/>
      <c r="P93" s="14"/>
      <c r="Q93" s="16" t="str">
        <f>IF($A93="","",IF(SUMPRODUCT(MAX((community_cores_FS!$B$5:$B$597=$A93)*community_cores_FS!$F$5:$F$597))=0,"",SUMPRODUCT(MAX((community_cores_FS!$B$5:$B$597=$A93)*community_cores_FS!$F$5:$F$597))))</f>
        <v/>
      </c>
      <c r="R93" s="16" t="str">
        <f>IF($A93="","",IFERROR(SUMIFS(community_cores_FS!$P$5:$P$597,community_cores_FS!$B$5:$B$597,$A93),""))</f>
        <v/>
      </c>
      <c r="S93" s="16" t="str">
        <f>IF($A93="","",IFERROR(SUMIFS(community_cores_FS!$Q$5:$Q$597,community_cores_FS!$B$5:$B$597,$A93),""))</f>
        <v/>
      </c>
      <c r="T93" s="16" t="str">
        <f t="shared" si="3"/>
        <v/>
      </c>
      <c r="U93" s="16" t="str">
        <f>IF($A93="","",IF(AND($B93&lt;&gt;"",COUNTIF('1. Plot &amp; Site Log'!$A$5:$A$64,$B93)=0),"Plot ID not in Plot &amp; Site Log. ","")&amp;IF(NOT(ISNUMBER($Q93)),"No peat sections logged for this core. ","")&amp;IF($T93="No","Core stops short of the reference depth, so its reference-depth stock is an underestimate. Its full-profile stock is still valid. ","")&amp;IF($L93="No","Core did not reach the mineral contact — the full-profile stock is a MINIMUM, not the whole store. ","")&amp;IF(AND(ISNUMBER($K93),$K93&lt;PEATLAND_MIN_DEPTH_CM),"Organic depth under "&amp;PEATLAND_MIN_DEPTH_CM&amp;" cm: by the guide's definition this is not peatland. Report it, but say so. ","")&amp;IF(AND(ISNUMBER($J93),$J93&lt;QC_RECOVERY_MIN),"Recovered only "&amp;TEXT($J93,"0%")&amp;" of the bore depth — the chamber probably did not fill completely. Material is missing, which is not the same as compaction. ","")&amp;IF(AND(ISNUMBER($J93),$J93&gt;1.05),"Recovered more than the bore depth — check the two measurements. ","")&amp;IF(AND(ISNUMBER($I93),$I93&gt;2),"Surface compaction of "&amp;$I93&amp;" cm: depths in this core sit shallower than in the ground, so depth-limited stock is biased. Full-profile stock is unaffected. ",""))</f>
        <v/>
      </c>
      <c r="V93" s="14"/>
    </row>
    <row r="94" spans="1:22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6" t="str">
        <f t="shared" si="0"/>
        <v/>
      </c>
      <c r="K94" s="14"/>
      <c r="L94" s="14"/>
      <c r="M94" s="14"/>
      <c r="N94" s="14"/>
      <c r="O94" s="14"/>
      <c r="P94" s="14"/>
      <c r="Q94" s="16" t="str">
        <f>IF($A94="","",IF(SUMPRODUCT(MAX((community_cores_FS!$B$5:$B$597=$A94)*community_cores_FS!$F$5:$F$597))=0,"",SUMPRODUCT(MAX((community_cores_FS!$B$5:$B$597=$A94)*community_cores_FS!$F$5:$F$597))))</f>
        <v/>
      </c>
      <c r="R94" s="16" t="str">
        <f>IF($A94="","",IFERROR(SUMIFS(community_cores_FS!$P$5:$P$597,community_cores_FS!$B$5:$B$597,$A94),""))</f>
        <v/>
      </c>
      <c r="S94" s="16" t="str">
        <f>IF($A94="","",IFERROR(SUMIFS(community_cores_FS!$Q$5:$Q$597,community_cores_FS!$B$5:$B$597,$A94),""))</f>
        <v/>
      </c>
      <c r="T94" s="16" t="str">
        <f t="shared" si="3"/>
        <v/>
      </c>
      <c r="U94" s="16" t="str">
        <f>IF($A94="","",IF(AND($B94&lt;&gt;"",COUNTIF('1. Plot &amp; Site Log'!$A$5:$A$64,$B94)=0),"Plot ID not in Plot &amp; Site Log. ","")&amp;IF(NOT(ISNUMBER($Q94)),"No peat sections logged for this core. ","")&amp;IF($T94="No","Core stops short of the reference depth, so its reference-depth stock is an underestimate. Its full-profile stock is still valid. ","")&amp;IF($L94="No","Core did not reach the mineral contact — the full-profile stock is a MINIMUM, not the whole store. ","")&amp;IF(AND(ISNUMBER($K94),$K94&lt;PEATLAND_MIN_DEPTH_CM),"Organic depth under "&amp;PEATLAND_MIN_DEPTH_CM&amp;" cm: by the guide's definition this is not peatland. Report it, but say so. ","")&amp;IF(AND(ISNUMBER($J94),$J94&lt;QC_RECOVERY_MIN),"Recovered only "&amp;TEXT($J94,"0%")&amp;" of the bore depth — the chamber probably did not fill completely. Material is missing, which is not the same as compaction. ","")&amp;IF(AND(ISNUMBER($J94),$J94&gt;1.05),"Recovered more than the bore depth — check the two measurements. ","")&amp;IF(AND(ISNUMBER($I94),$I94&gt;2),"Surface compaction of "&amp;$I94&amp;" cm: depths in this core sit shallower than in the ground, so depth-limited stock is biased. Full-profile stock is unaffected. ",""))</f>
        <v/>
      </c>
      <c r="V94" s="14"/>
    </row>
    <row r="95" spans="1:22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6" t="str">
        <f t="shared" si="0"/>
        <v/>
      </c>
      <c r="K95" s="14"/>
      <c r="L95" s="14"/>
      <c r="M95" s="14"/>
      <c r="N95" s="14"/>
      <c r="O95" s="14"/>
      <c r="P95" s="14"/>
      <c r="Q95" s="16" t="str">
        <f>IF($A95="","",IF(SUMPRODUCT(MAX((community_cores_FS!$B$5:$B$597=$A95)*community_cores_FS!$F$5:$F$597))=0,"",SUMPRODUCT(MAX((community_cores_FS!$B$5:$B$597=$A95)*community_cores_FS!$F$5:$F$597))))</f>
        <v/>
      </c>
      <c r="R95" s="16" t="str">
        <f>IF($A95="","",IFERROR(SUMIFS(community_cores_FS!$P$5:$P$597,community_cores_FS!$B$5:$B$597,$A95),""))</f>
        <v/>
      </c>
      <c r="S95" s="16" t="str">
        <f>IF($A95="","",IFERROR(SUMIFS(community_cores_FS!$Q$5:$Q$597,community_cores_FS!$B$5:$B$597,$A95),""))</f>
        <v/>
      </c>
      <c r="T95" s="16" t="str">
        <f t="shared" si="3"/>
        <v/>
      </c>
      <c r="U95" s="16" t="str">
        <f>IF($A95="","",IF(AND($B95&lt;&gt;"",COUNTIF('1. Plot &amp; Site Log'!$A$5:$A$64,$B95)=0),"Plot ID not in Plot &amp; Site Log. ","")&amp;IF(NOT(ISNUMBER($Q95)),"No peat sections logged for this core. ","")&amp;IF($T95="No","Core stops short of the reference depth, so its reference-depth stock is an underestimate. Its full-profile stock is still valid. ","")&amp;IF($L95="No","Core did not reach the mineral contact — the full-profile stock is a MINIMUM, not the whole store. ","")&amp;IF(AND(ISNUMBER($K95),$K95&lt;PEATLAND_MIN_DEPTH_CM),"Organic depth under "&amp;PEATLAND_MIN_DEPTH_CM&amp;" cm: by the guide's definition this is not peatland. Report it, but say so. ","")&amp;IF(AND(ISNUMBER($J95),$J95&lt;QC_RECOVERY_MIN),"Recovered only "&amp;TEXT($J95,"0%")&amp;" of the bore depth — the chamber probably did not fill completely. Material is missing, which is not the same as compaction. ","")&amp;IF(AND(ISNUMBER($J95),$J95&gt;1.05),"Recovered more than the bore depth — check the two measurements. ","")&amp;IF(AND(ISNUMBER($I95),$I95&gt;2),"Surface compaction of "&amp;$I95&amp;" cm: depths in this core sit shallower than in the ground, so depth-limited stock is biased. Full-profile stock is unaffected. ",""))</f>
        <v/>
      </c>
      <c r="V95" s="14"/>
    </row>
    <row r="96" spans="1:22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6" t="str">
        <f t="shared" si="0"/>
        <v/>
      </c>
      <c r="K96" s="14"/>
      <c r="L96" s="14"/>
      <c r="M96" s="14"/>
      <c r="N96" s="14"/>
      <c r="O96" s="14"/>
      <c r="P96" s="14"/>
      <c r="Q96" s="16" t="str">
        <f>IF($A96="","",IF(SUMPRODUCT(MAX((community_cores_FS!$B$5:$B$597=$A96)*community_cores_FS!$F$5:$F$597))=0,"",SUMPRODUCT(MAX((community_cores_FS!$B$5:$B$597=$A96)*community_cores_FS!$F$5:$F$597))))</f>
        <v/>
      </c>
      <c r="R96" s="16" t="str">
        <f>IF($A96="","",IFERROR(SUMIFS(community_cores_FS!$P$5:$P$597,community_cores_FS!$B$5:$B$597,$A96),""))</f>
        <v/>
      </c>
      <c r="S96" s="16" t="str">
        <f>IF($A96="","",IFERROR(SUMIFS(community_cores_FS!$Q$5:$Q$597,community_cores_FS!$B$5:$B$597,$A96),""))</f>
        <v/>
      </c>
      <c r="T96" s="16" t="str">
        <f t="shared" si="3"/>
        <v/>
      </c>
      <c r="U96" s="16" t="str">
        <f>IF($A96="","",IF(AND($B96&lt;&gt;"",COUNTIF('1. Plot &amp; Site Log'!$A$5:$A$64,$B96)=0),"Plot ID not in Plot &amp; Site Log. ","")&amp;IF(NOT(ISNUMBER($Q96)),"No peat sections logged for this core. ","")&amp;IF($T96="No","Core stops short of the reference depth, so its reference-depth stock is an underestimate. Its full-profile stock is still valid. ","")&amp;IF($L96="No","Core did not reach the mineral contact — the full-profile stock is a MINIMUM, not the whole store. ","")&amp;IF(AND(ISNUMBER($K96),$K96&lt;PEATLAND_MIN_DEPTH_CM),"Organic depth under "&amp;PEATLAND_MIN_DEPTH_CM&amp;" cm: by the guide's definition this is not peatland. Report it, but say so. ","")&amp;IF(AND(ISNUMBER($J96),$J96&lt;QC_RECOVERY_MIN),"Recovered only "&amp;TEXT($J96,"0%")&amp;" of the bore depth — the chamber probably did not fill completely. Material is missing, which is not the same as compaction. ","")&amp;IF(AND(ISNUMBER($J96),$J96&gt;1.05),"Recovered more than the bore depth — check the two measurements. ","")&amp;IF(AND(ISNUMBER($I96),$I96&gt;2),"Surface compaction of "&amp;$I96&amp;" cm: depths in this core sit shallower than in the ground, so depth-limited stock is biased. Full-profile stock is unaffected. ",""))</f>
        <v/>
      </c>
      <c r="V96" s="14"/>
    </row>
    <row r="97" spans="1:22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6" t="str">
        <f t="shared" si="0"/>
        <v/>
      </c>
      <c r="K97" s="14"/>
      <c r="L97" s="14"/>
      <c r="M97" s="14"/>
      <c r="N97" s="14"/>
      <c r="O97" s="14"/>
      <c r="P97" s="14"/>
      <c r="Q97" s="16" t="str">
        <f>IF($A97="","",IF(SUMPRODUCT(MAX((community_cores_FS!$B$5:$B$597=$A97)*community_cores_FS!$F$5:$F$597))=0,"",SUMPRODUCT(MAX((community_cores_FS!$B$5:$B$597=$A97)*community_cores_FS!$F$5:$F$597))))</f>
        <v/>
      </c>
      <c r="R97" s="16" t="str">
        <f>IF($A97="","",IFERROR(SUMIFS(community_cores_FS!$P$5:$P$597,community_cores_FS!$B$5:$B$597,$A97),""))</f>
        <v/>
      </c>
      <c r="S97" s="16" t="str">
        <f>IF($A97="","",IFERROR(SUMIFS(community_cores_FS!$Q$5:$Q$597,community_cores_FS!$B$5:$B$597,$A97),""))</f>
        <v/>
      </c>
      <c r="T97" s="16" t="str">
        <f t="shared" si="3"/>
        <v/>
      </c>
      <c r="U97" s="16" t="str">
        <f>IF($A97="","",IF(AND($B97&lt;&gt;"",COUNTIF('1. Plot &amp; Site Log'!$A$5:$A$64,$B97)=0),"Plot ID not in Plot &amp; Site Log. ","")&amp;IF(NOT(ISNUMBER($Q97)),"No peat sections logged for this core. ","")&amp;IF($T97="No","Core stops short of the reference depth, so its reference-depth stock is an underestimate. Its full-profile stock is still valid. ","")&amp;IF($L97="No","Core did not reach the mineral contact — the full-profile stock is a MINIMUM, not the whole store. ","")&amp;IF(AND(ISNUMBER($K97),$K97&lt;PEATLAND_MIN_DEPTH_CM),"Organic depth under "&amp;PEATLAND_MIN_DEPTH_CM&amp;" cm: by the guide's definition this is not peatland. Report it, but say so. ","")&amp;IF(AND(ISNUMBER($J97),$J97&lt;QC_RECOVERY_MIN),"Recovered only "&amp;TEXT($J97,"0%")&amp;" of the bore depth — the chamber probably did not fill completely. Material is missing, which is not the same as compaction. ","")&amp;IF(AND(ISNUMBER($J97),$J97&gt;1.05),"Recovered more than the bore depth — check the two measurements. ","")&amp;IF(AND(ISNUMBER($I97),$I97&gt;2),"Surface compaction of "&amp;$I97&amp;" cm: depths in this core sit shallower than in the ground, so depth-limited stock is biased. Full-profile stock is unaffected. ",""))</f>
        <v/>
      </c>
      <c r="V97" s="14"/>
    </row>
    <row r="98" spans="1:22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6" t="str">
        <f t="shared" si="0"/>
        <v/>
      </c>
      <c r="K98" s="14"/>
      <c r="L98" s="14"/>
      <c r="M98" s="14"/>
      <c r="N98" s="14"/>
      <c r="O98" s="14"/>
      <c r="P98" s="14"/>
      <c r="Q98" s="16" t="str">
        <f>IF($A98="","",IF(SUMPRODUCT(MAX((community_cores_FS!$B$5:$B$597=$A98)*community_cores_FS!$F$5:$F$597))=0,"",SUMPRODUCT(MAX((community_cores_FS!$B$5:$B$597=$A98)*community_cores_FS!$F$5:$F$597))))</f>
        <v/>
      </c>
      <c r="R98" s="16" t="str">
        <f>IF($A98="","",IFERROR(SUMIFS(community_cores_FS!$P$5:$P$597,community_cores_FS!$B$5:$B$597,$A98),""))</f>
        <v/>
      </c>
      <c r="S98" s="16" t="str">
        <f>IF($A98="","",IFERROR(SUMIFS(community_cores_FS!$Q$5:$Q$597,community_cores_FS!$B$5:$B$597,$A98),""))</f>
        <v/>
      </c>
      <c r="T98" s="16" t="str">
        <f t="shared" si="3"/>
        <v/>
      </c>
      <c r="U98" s="16" t="str">
        <f>IF($A98="","",IF(AND($B98&lt;&gt;"",COUNTIF('1. Plot &amp; Site Log'!$A$5:$A$64,$B98)=0),"Plot ID not in Plot &amp; Site Log. ","")&amp;IF(NOT(ISNUMBER($Q98)),"No peat sections logged for this core. ","")&amp;IF($T98="No","Core stops short of the reference depth, so its reference-depth stock is an underestimate. Its full-profile stock is still valid. ","")&amp;IF($L98="No","Core did not reach the mineral contact — the full-profile stock is a MINIMUM, not the whole store. ","")&amp;IF(AND(ISNUMBER($K98),$K98&lt;PEATLAND_MIN_DEPTH_CM),"Organic depth under "&amp;PEATLAND_MIN_DEPTH_CM&amp;" cm: by the guide's definition this is not peatland. Report it, but say so. ","")&amp;IF(AND(ISNUMBER($J98),$J98&lt;QC_RECOVERY_MIN),"Recovered only "&amp;TEXT($J98,"0%")&amp;" of the bore depth — the chamber probably did not fill completely. Material is missing, which is not the same as compaction. ","")&amp;IF(AND(ISNUMBER($J98),$J98&gt;1.05),"Recovered more than the bore depth — check the two measurements. ","")&amp;IF(AND(ISNUMBER($I98),$I98&gt;2),"Surface compaction of "&amp;$I98&amp;" cm: depths in this core sit shallower than in the ground, so depth-limited stock is biased. Full-profile stock is unaffected. ",""))</f>
        <v/>
      </c>
      <c r="V98" s="14"/>
    </row>
    <row r="99" spans="1:22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6" t="str">
        <f t="shared" si="0"/>
        <v/>
      </c>
      <c r="K99" s="14"/>
      <c r="L99" s="14"/>
      <c r="M99" s="14"/>
      <c r="N99" s="14"/>
      <c r="O99" s="14"/>
      <c r="P99" s="14"/>
      <c r="Q99" s="16" t="str">
        <f>IF($A99="","",IF(SUMPRODUCT(MAX((community_cores_FS!$B$5:$B$597=$A99)*community_cores_FS!$F$5:$F$597))=0,"",SUMPRODUCT(MAX((community_cores_FS!$B$5:$B$597=$A99)*community_cores_FS!$F$5:$F$597))))</f>
        <v/>
      </c>
      <c r="R99" s="16" t="str">
        <f>IF($A99="","",IFERROR(SUMIFS(community_cores_FS!$P$5:$P$597,community_cores_FS!$B$5:$B$597,$A99),""))</f>
        <v/>
      </c>
      <c r="S99" s="16" t="str">
        <f>IF($A99="","",IFERROR(SUMIFS(community_cores_FS!$Q$5:$Q$597,community_cores_FS!$B$5:$B$597,$A99),""))</f>
        <v/>
      </c>
      <c r="T99" s="16" t="str">
        <f t="shared" si="3"/>
        <v/>
      </c>
      <c r="U99" s="16" t="str">
        <f>IF($A99="","",IF(AND($B99&lt;&gt;"",COUNTIF('1. Plot &amp; Site Log'!$A$5:$A$64,$B99)=0),"Plot ID not in Plot &amp; Site Log. ","")&amp;IF(NOT(ISNUMBER($Q99)),"No peat sections logged for this core. ","")&amp;IF($T99="No","Core stops short of the reference depth, so its reference-depth stock is an underestimate. Its full-profile stock is still valid. ","")&amp;IF($L99="No","Core did not reach the mineral contact — the full-profile stock is a MINIMUM, not the whole store. ","")&amp;IF(AND(ISNUMBER($K99),$K99&lt;PEATLAND_MIN_DEPTH_CM),"Organic depth under "&amp;PEATLAND_MIN_DEPTH_CM&amp;" cm: by the guide's definition this is not peatland. Report it, but say so. ","")&amp;IF(AND(ISNUMBER($J99),$J99&lt;QC_RECOVERY_MIN),"Recovered only "&amp;TEXT($J99,"0%")&amp;" of the bore depth — the chamber probably did not fill completely. Material is missing, which is not the same as compaction. ","")&amp;IF(AND(ISNUMBER($J99),$J99&gt;1.05),"Recovered more than the bore depth — check the two measurements. ","")&amp;IF(AND(ISNUMBER($I99),$I99&gt;2),"Surface compaction of "&amp;$I99&amp;" cm: depths in this core sit shallower than in the ground, so depth-limited stock is biased. Full-profile stock is unaffected. ",""))</f>
        <v/>
      </c>
      <c r="V99" s="14"/>
    </row>
    <row r="100" spans="1:22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6" t="str">
        <f t="shared" si="0"/>
        <v/>
      </c>
      <c r="K100" s="14"/>
      <c r="L100" s="14"/>
      <c r="M100" s="14"/>
      <c r="N100" s="14"/>
      <c r="O100" s="14"/>
      <c r="P100" s="14"/>
      <c r="Q100" s="16" t="str">
        <f>IF($A100="","",IF(SUMPRODUCT(MAX((community_cores_FS!$B$5:$B$597=$A100)*community_cores_FS!$F$5:$F$597))=0,"",SUMPRODUCT(MAX((community_cores_FS!$B$5:$B$597=$A100)*community_cores_FS!$F$5:$F$597))))</f>
        <v/>
      </c>
      <c r="R100" s="16" t="str">
        <f>IF($A100="","",IFERROR(SUMIFS(community_cores_FS!$P$5:$P$597,community_cores_FS!$B$5:$B$597,$A100),""))</f>
        <v/>
      </c>
      <c r="S100" s="16" t="str">
        <f>IF($A100="","",IFERROR(SUMIFS(community_cores_FS!$Q$5:$Q$597,community_cores_FS!$B$5:$B$597,$A100),""))</f>
        <v/>
      </c>
      <c r="T100" s="16" t="str">
        <f t="shared" si="3"/>
        <v/>
      </c>
      <c r="U100" s="16" t="str">
        <f>IF($A100="","",IF(AND($B100&lt;&gt;"",COUNTIF('1. Plot &amp; Site Log'!$A$5:$A$64,$B100)=0),"Plot ID not in Plot &amp; Site Log. ","")&amp;IF(NOT(ISNUMBER($Q100)),"No peat sections logged for this core. ","")&amp;IF($T100="No","Core stops short of the reference depth, so its reference-depth stock is an underestimate. Its full-profile stock is still valid. ","")&amp;IF($L100="No","Core did not reach the mineral contact — the full-profile stock is a MINIMUM, not the whole store. ","")&amp;IF(AND(ISNUMBER($K100),$K100&lt;PEATLAND_MIN_DEPTH_CM),"Organic depth under "&amp;PEATLAND_MIN_DEPTH_CM&amp;" cm: by the guide's definition this is not peatland. Report it, but say so. ","")&amp;IF(AND(ISNUMBER($J100),$J100&lt;QC_RECOVERY_MIN),"Recovered only "&amp;TEXT($J100,"0%")&amp;" of the bore depth — the chamber probably did not fill completely. Material is missing, which is not the same as compaction. ","")&amp;IF(AND(ISNUMBER($J100),$J100&gt;1.05),"Recovered more than the bore depth — check the two measurements. ","")&amp;IF(AND(ISNUMBER($I100),$I100&gt;2),"Surface compaction of "&amp;$I100&amp;" cm: depths in this core sit shallower than in the ground, so depth-limited stock is biased. Full-profile stock is unaffected. ",""))</f>
        <v/>
      </c>
      <c r="V100" s="14"/>
    </row>
    <row r="101" spans="1:22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6" t="str">
        <f t="shared" si="0"/>
        <v/>
      </c>
      <c r="K101" s="14"/>
      <c r="L101" s="14"/>
      <c r="M101" s="14"/>
      <c r="N101" s="14"/>
      <c r="O101" s="14"/>
      <c r="P101" s="14"/>
      <c r="Q101" s="16" t="str">
        <f>IF($A101="","",IF(SUMPRODUCT(MAX((community_cores_FS!$B$5:$B$597=$A101)*community_cores_FS!$F$5:$F$597))=0,"",SUMPRODUCT(MAX((community_cores_FS!$B$5:$B$597=$A101)*community_cores_FS!$F$5:$F$597))))</f>
        <v/>
      </c>
      <c r="R101" s="16" t="str">
        <f>IF($A101="","",IFERROR(SUMIFS(community_cores_FS!$P$5:$P$597,community_cores_FS!$B$5:$B$597,$A101),""))</f>
        <v/>
      </c>
      <c r="S101" s="16" t="str">
        <f>IF($A101="","",IFERROR(SUMIFS(community_cores_FS!$Q$5:$Q$597,community_cores_FS!$B$5:$B$597,$A101),""))</f>
        <v/>
      </c>
      <c r="T101" s="16" t="str">
        <f t="shared" ref="T101:T124" si="4">IF(NOT(ISNUMBER($Q101)),"",IF($Q101&gt;=REFERENCE_DEPTH_CM,"Yes","No"))</f>
        <v/>
      </c>
      <c r="U101" s="16" t="str">
        <f>IF($A101="","",IF(AND($B101&lt;&gt;"",COUNTIF('1. Plot &amp; Site Log'!$A$5:$A$64,$B101)=0),"Plot ID not in Plot &amp; Site Log. ","")&amp;IF(NOT(ISNUMBER($Q101)),"No peat sections logged for this core. ","")&amp;IF($T101="No","Core stops short of the reference depth, so its reference-depth stock is an underestimate. Its full-profile stock is still valid. ","")&amp;IF($L101="No","Core did not reach the mineral contact — the full-profile stock is a MINIMUM, not the whole store. ","")&amp;IF(AND(ISNUMBER($K101),$K101&lt;PEATLAND_MIN_DEPTH_CM),"Organic depth under "&amp;PEATLAND_MIN_DEPTH_CM&amp;" cm: by the guide's definition this is not peatland. Report it, but say so. ","")&amp;IF(AND(ISNUMBER($J101),$J101&lt;QC_RECOVERY_MIN),"Recovered only "&amp;TEXT($J101,"0%")&amp;" of the bore depth — the chamber probably did not fill completely. Material is missing, which is not the same as compaction. ","")&amp;IF(AND(ISNUMBER($J101),$J101&gt;1.05),"Recovered more than the bore depth — check the two measurements. ","")&amp;IF(AND(ISNUMBER($I101),$I101&gt;2),"Surface compaction of "&amp;$I101&amp;" cm: depths in this core sit shallower than in the ground, so depth-limited stock is biased. Full-profile stock is unaffected. ",""))</f>
        <v/>
      </c>
      <c r="V101" s="14"/>
    </row>
    <row r="102" spans="1:2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6" t="str">
        <f t="shared" si="0"/>
        <v/>
      </c>
      <c r="K102" s="14"/>
      <c r="L102" s="14"/>
      <c r="M102" s="14"/>
      <c r="N102" s="14"/>
      <c r="O102" s="14"/>
      <c r="P102" s="14"/>
      <c r="Q102" s="16" t="str">
        <f>IF($A102="","",IF(SUMPRODUCT(MAX((community_cores_FS!$B$5:$B$597=$A102)*community_cores_FS!$F$5:$F$597))=0,"",SUMPRODUCT(MAX((community_cores_FS!$B$5:$B$597=$A102)*community_cores_FS!$F$5:$F$597))))</f>
        <v/>
      </c>
      <c r="R102" s="16" t="str">
        <f>IF($A102="","",IFERROR(SUMIFS(community_cores_FS!$P$5:$P$597,community_cores_FS!$B$5:$B$597,$A102),""))</f>
        <v/>
      </c>
      <c r="S102" s="16" t="str">
        <f>IF($A102="","",IFERROR(SUMIFS(community_cores_FS!$Q$5:$Q$597,community_cores_FS!$B$5:$B$597,$A102),""))</f>
        <v/>
      </c>
      <c r="T102" s="16" t="str">
        <f t="shared" si="4"/>
        <v/>
      </c>
      <c r="U102" s="16" t="str">
        <f>IF($A102="","",IF(AND($B102&lt;&gt;"",COUNTIF('1. Plot &amp; Site Log'!$A$5:$A$64,$B102)=0),"Plot ID not in Plot &amp; Site Log. ","")&amp;IF(NOT(ISNUMBER($Q102)),"No peat sections logged for this core. ","")&amp;IF($T102="No","Core stops short of the reference depth, so its reference-depth stock is an underestimate. Its full-profile stock is still valid. ","")&amp;IF($L102="No","Core did not reach the mineral contact — the full-profile stock is a MINIMUM, not the whole store. ","")&amp;IF(AND(ISNUMBER($K102),$K102&lt;PEATLAND_MIN_DEPTH_CM),"Organic depth under "&amp;PEATLAND_MIN_DEPTH_CM&amp;" cm: by the guide's definition this is not peatland. Report it, but say so. ","")&amp;IF(AND(ISNUMBER($J102),$J102&lt;QC_RECOVERY_MIN),"Recovered only "&amp;TEXT($J102,"0%")&amp;" of the bore depth — the chamber probably did not fill completely. Material is missing, which is not the same as compaction. ","")&amp;IF(AND(ISNUMBER($J102),$J102&gt;1.05),"Recovered more than the bore depth — check the two measurements. ","")&amp;IF(AND(ISNUMBER($I102),$I102&gt;2),"Surface compaction of "&amp;$I102&amp;" cm: depths in this core sit shallower than in the ground, so depth-limited stock is biased. Full-profile stock is unaffected. ",""))</f>
        <v/>
      </c>
      <c r="V102" s="14"/>
    </row>
    <row r="103" spans="1:22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6" t="str">
        <f t="shared" si="0"/>
        <v/>
      </c>
      <c r="K103" s="14"/>
      <c r="L103" s="14"/>
      <c r="M103" s="14"/>
      <c r="N103" s="14"/>
      <c r="O103" s="14"/>
      <c r="P103" s="14"/>
      <c r="Q103" s="16" t="str">
        <f>IF($A103="","",IF(SUMPRODUCT(MAX((community_cores_FS!$B$5:$B$597=$A103)*community_cores_FS!$F$5:$F$597))=0,"",SUMPRODUCT(MAX((community_cores_FS!$B$5:$B$597=$A103)*community_cores_FS!$F$5:$F$597))))</f>
        <v/>
      </c>
      <c r="R103" s="16" t="str">
        <f>IF($A103="","",IFERROR(SUMIFS(community_cores_FS!$P$5:$P$597,community_cores_FS!$B$5:$B$597,$A103),""))</f>
        <v/>
      </c>
      <c r="S103" s="16" t="str">
        <f>IF($A103="","",IFERROR(SUMIFS(community_cores_FS!$Q$5:$Q$597,community_cores_FS!$B$5:$B$597,$A103),""))</f>
        <v/>
      </c>
      <c r="T103" s="16" t="str">
        <f t="shared" si="4"/>
        <v/>
      </c>
      <c r="U103" s="16" t="str">
        <f>IF($A103="","",IF(AND($B103&lt;&gt;"",COUNTIF('1. Plot &amp; Site Log'!$A$5:$A$64,$B103)=0),"Plot ID not in Plot &amp; Site Log. ","")&amp;IF(NOT(ISNUMBER($Q103)),"No peat sections logged for this core. ","")&amp;IF($T103="No","Core stops short of the reference depth, so its reference-depth stock is an underestimate. Its full-profile stock is still valid. ","")&amp;IF($L103="No","Core did not reach the mineral contact — the full-profile stock is a MINIMUM, not the whole store. ","")&amp;IF(AND(ISNUMBER($K103),$K103&lt;PEATLAND_MIN_DEPTH_CM),"Organic depth under "&amp;PEATLAND_MIN_DEPTH_CM&amp;" cm: by the guide's definition this is not peatland. Report it, but say so. ","")&amp;IF(AND(ISNUMBER($J103),$J103&lt;QC_RECOVERY_MIN),"Recovered only "&amp;TEXT($J103,"0%")&amp;" of the bore depth — the chamber probably did not fill completely. Material is missing, which is not the same as compaction. ","")&amp;IF(AND(ISNUMBER($J103),$J103&gt;1.05),"Recovered more than the bore depth — check the two measurements. ","")&amp;IF(AND(ISNUMBER($I103),$I103&gt;2),"Surface compaction of "&amp;$I103&amp;" cm: depths in this core sit shallower than in the ground, so depth-limited stock is biased. Full-profile stock is unaffected. ",""))</f>
        <v/>
      </c>
      <c r="V103" s="14"/>
    </row>
    <row r="104" spans="1:22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6" t="str">
        <f t="shared" si="0"/>
        <v/>
      </c>
      <c r="K104" s="14"/>
      <c r="L104" s="14"/>
      <c r="M104" s="14"/>
      <c r="N104" s="14"/>
      <c r="O104" s="14"/>
      <c r="P104" s="14"/>
      <c r="Q104" s="16" t="str">
        <f>IF($A104="","",IF(SUMPRODUCT(MAX((community_cores_FS!$B$5:$B$597=$A104)*community_cores_FS!$F$5:$F$597))=0,"",SUMPRODUCT(MAX((community_cores_FS!$B$5:$B$597=$A104)*community_cores_FS!$F$5:$F$597))))</f>
        <v/>
      </c>
      <c r="R104" s="16" t="str">
        <f>IF($A104="","",IFERROR(SUMIFS(community_cores_FS!$P$5:$P$597,community_cores_FS!$B$5:$B$597,$A104),""))</f>
        <v/>
      </c>
      <c r="S104" s="16" t="str">
        <f>IF($A104="","",IFERROR(SUMIFS(community_cores_FS!$Q$5:$Q$597,community_cores_FS!$B$5:$B$597,$A104),""))</f>
        <v/>
      </c>
      <c r="T104" s="16" t="str">
        <f t="shared" si="4"/>
        <v/>
      </c>
      <c r="U104" s="16" t="str">
        <f>IF($A104="","",IF(AND($B104&lt;&gt;"",COUNTIF('1. Plot &amp; Site Log'!$A$5:$A$64,$B104)=0),"Plot ID not in Plot &amp; Site Log. ","")&amp;IF(NOT(ISNUMBER($Q104)),"No peat sections logged for this core. ","")&amp;IF($T104="No","Core stops short of the reference depth, so its reference-depth stock is an underestimate. Its full-profile stock is still valid. ","")&amp;IF($L104="No","Core did not reach the mineral contact — the full-profile stock is a MINIMUM, not the whole store. ","")&amp;IF(AND(ISNUMBER($K104),$K104&lt;PEATLAND_MIN_DEPTH_CM),"Organic depth under "&amp;PEATLAND_MIN_DEPTH_CM&amp;" cm: by the guide's definition this is not peatland. Report it, but say so. ","")&amp;IF(AND(ISNUMBER($J104),$J104&lt;QC_RECOVERY_MIN),"Recovered only "&amp;TEXT($J104,"0%")&amp;" of the bore depth — the chamber probably did not fill completely. Material is missing, which is not the same as compaction. ","")&amp;IF(AND(ISNUMBER($J104),$J104&gt;1.05),"Recovered more than the bore depth — check the two measurements. ","")&amp;IF(AND(ISNUMBER($I104),$I104&gt;2),"Surface compaction of "&amp;$I104&amp;" cm: depths in this core sit shallower than in the ground, so depth-limited stock is biased. Full-profile stock is unaffected. ",""))</f>
        <v/>
      </c>
      <c r="V104" s="14"/>
    </row>
    <row r="105" spans="1:22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6" t="str">
        <f t="shared" si="0"/>
        <v/>
      </c>
      <c r="K105" s="14"/>
      <c r="L105" s="14"/>
      <c r="M105" s="14"/>
      <c r="N105" s="14"/>
      <c r="O105" s="14"/>
      <c r="P105" s="14"/>
      <c r="Q105" s="16" t="str">
        <f>IF($A105="","",IF(SUMPRODUCT(MAX((community_cores_FS!$B$5:$B$597=$A105)*community_cores_FS!$F$5:$F$597))=0,"",SUMPRODUCT(MAX((community_cores_FS!$B$5:$B$597=$A105)*community_cores_FS!$F$5:$F$597))))</f>
        <v/>
      </c>
      <c r="R105" s="16" t="str">
        <f>IF($A105="","",IFERROR(SUMIFS(community_cores_FS!$P$5:$P$597,community_cores_FS!$B$5:$B$597,$A105),""))</f>
        <v/>
      </c>
      <c r="S105" s="16" t="str">
        <f>IF($A105="","",IFERROR(SUMIFS(community_cores_FS!$Q$5:$Q$597,community_cores_FS!$B$5:$B$597,$A105),""))</f>
        <v/>
      </c>
      <c r="T105" s="16" t="str">
        <f t="shared" si="4"/>
        <v/>
      </c>
      <c r="U105" s="16" t="str">
        <f>IF($A105="","",IF(AND($B105&lt;&gt;"",COUNTIF('1. Plot &amp; Site Log'!$A$5:$A$64,$B105)=0),"Plot ID not in Plot &amp; Site Log. ","")&amp;IF(NOT(ISNUMBER($Q105)),"No peat sections logged for this core. ","")&amp;IF($T105="No","Core stops short of the reference depth, so its reference-depth stock is an underestimate. Its full-profile stock is still valid. ","")&amp;IF($L105="No","Core did not reach the mineral contact — the full-profile stock is a MINIMUM, not the whole store. ","")&amp;IF(AND(ISNUMBER($K105),$K105&lt;PEATLAND_MIN_DEPTH_CM),"Organic depth under "&amp;PEATLAND_MIN_DEPTH_CM&amp;" cm: by the guide's definition this is not peatland. Report it, but say so. ","")&amp;IF(AND(ISNUMBER($J105),$J105&lt;QC_RECOVERY_MIN),"Recovered only "&amp;TEXT($J105,"0%")&amp;" of the bore depth — the chamber probably did not fill completely. Material is missing, which is not the same as compaction. ","")&amp;IF(AND(ISNUMBER($J105),$J105&gt;1.05),"Recovered more than the bore depth — check the two measurements. ","")&amp;IF(AND(ISNUMBER($I105),$I105&gt;2),"Surface compaction of "&amp;$I105&amp;" cm: depths in this core sit shallower than in the ground, so depth-limited stock is biased. Full-profile stock is unaffected. ",""))</f>
        <v/>
      </c>
      <c r="V105" s="14"/>
    </row>
    <row r="106" spans="1:22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6" t="str">
        <f t="shared" si="0"/>
        <v/>
      </c>
      <c r="K106" s="14"/>
      <c r="L106" s="14"/>
      <c r="M106" s="14"/>
      <c r="N106" s="14"/>
      <c r="O106" s="14"/>
      <c r="P106" s="14"/>
      <c r="Q106" s="16" t="str">
        <f>IF($A106="","",IF(SUMPRODUCT(MAX((community_cores_FS!$B$5:$B$597=$A106)*community_cores_FS!$F$5:$F$597))=0,"",SUMPRODUCT(MAX((community_cores_FS!$B$5:$B$597=$A106)*community_cores_FS!$F$5:$F$597))))</f>
        <v/>
      </c>
      <c r="R106" s="16" t="str">
        <f>IF($A106="","",IFERROR(SUMIFS(community_cores_FS!$P$5:$P$597,community_cores_FS!$B$5:$B$597,$A106),""))</f>
        <v/>
      </c>
      <c r="S106" s="16" t="str">
        <f>IF($A106="","",IFERROR(SUMIFS(community_cores_FS!$Q$5:$Q$597,community_cores_FS!$B$5:$B$597,$A106),""))</f>
        <v/>
      </c>
      <c r="T106" s="16" t="str">
        <f t="shared" si="4"/>
        <v/>
      </c>
      <c r="U106" s="16" t="str">
        <f>IF($A106="","",IF(AND($B106&lt;&gt;"",COUNTIF('1. Plot &amp; Site Log'!$A$5:$A$64,$B106)=0),"Plot ID not in Plot &amp; Site Log. ","")&amp;IF(NOT(ISNUMBER($Q106)),"No peat sections logged for this core. ","")&amp;IF($T106="No","Core stops short of the reference depth, so its reference-depth stock is an underestimate. Its full-profile stock is still valid. ","")&amp;IF($L106="No","Core did not reach the mineral contact — the full-profile stock is a MINIMUM, not the whole store. ","")&amp;IF(AND(ISNUMBER($K106),$K106&lt;PEATLAND_MIN_DEPTH_CM),"Organic depth under "&amp;PEATLAND_MIN_DEPTH_CM&amp;" cm: by the guide's definition this is not peatland. Report it, but say so. ","")&amp;IF(AND(ISNUMBER($J106),$J106&lt;QC_RECOVERY_MIN),"Recovered only "&amp;TEXT($J106,"0%")&amp;" of the bore depth — the chamber probably did not fill completely. Material is missing, which is not the same as compaction. ","")&amp;IF(AND(ISNUMBER($J106),$J106&gt;1.05),"Recovered more than the bore depth — check the two measurements. ","")&amp;IF(AND(ISNUMBER($I106),$I106&gt;2),"Surface compaction of "&amp;$I106&amp;" cm: depths in this core sit shallower than in the ground, so depth-limited stock is biased. Full-profile stock is unaffected. ",""))</f>
        <v/>
      </c>
      <c r="V106" s="14"/>
    </row>
    <row r="107" spans="1:22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6" t="str">
        <f t="shared" si="0"/>
        <v/>
      </c>
      <c r="K107" s="14"/>
      <c r="L107" s="14"/>
      <c r="M107" s="14"/>
      <c r="N107" s="14"/>
      <c r="O107" s="14"/>
      <c r="P107" s="14"/>
      <c r="Q107" s="16" t="str">
        <f>IF($A107="","",IF(SUMPRODUCT(MAX((community_cores_FS!$B$5:$B$597=$A107)*community_cores_FS!$F$5:$F$597))=0,"",SUMPRODUCT(MAX((community_cores_FS!$B$5:$B$597=$A107)*community_cores_FS!$F$5:$F$597))))</f>
        <v/>
      </c>
      <c r="R107" s="16" t="str">
        <f>IF($A107="","",IFERROR(SUMIFS(community_cores_FS!$P$5:$P$597,community_cores_FS!$B$5:$B$597,$A107),""))</f>
        <v/>
      </c>
      <c r="S107" s="16" t="str">
        <f>IF($A107="","",IFERROR(SUMIFS(community_cores_FS!$Q$5:$Q$597,community_cores_FS!$B$5:$B$597,$A107),""))</f>
        <v/>
      </c>
      <c r="T107" s="16" t="str">
        <f t="shared" si="4"/>
        <v/>
      </c>
      <c r="U107" s="16" t="str">
        <f>IF($A107="","",IF(AND($B107&lt;&gt;"",COUNTIF('1. Plot &amp; Site Log'!$A$5:$A$64,$B107)=0),"Plot ID not in Plot &amp; Site Log. ","")&amp;IF(NOT(ISNUMBER($Q107)),"No peat sections logged for this core. ","")&amp;IF($T107="No","Core stops short of the reference depth, so its reference-depth stock is an underestimate. Its full-profile stock is still valid. ","")&amp;IF($L107="No","Core did not reach the mineral contact — the full-profile stock is a MINIMUM, not the whole store. ","")&amp;IF(AND(ISNUMBER($K107),$K107&lt;PEATLAND_MIN_DEPTH_CM),"Organic depth under "&amp;PEATLAND_MIN_DEPTH_CM&amp;" cm: by the guide's definition this is not peatland. Report it, but say so. ","")&amp;IF(AND(ISNUMBER($J107),$J107&lt;QC_RECOVERY_MIN),"Recovered only "&amp;TEXT($J107,"0%")&amp;" of the bore depth — the chamber probably did not fill completely. Material is missing, which is not the same as compaction. ","")&amp;IF(AND(ISNUMBER($J107),$J107&gt;1.05),"Recovered more than the bore depth — check the two measurements. ","")&amp;IF(AND(ISNUMBER($I107),$I107&gt;2),"Surface compaction of "&amp;$I107&amp;" cm: depths in this core sit shallower than in the ground, so depth-limited stock is biased. Full-profile stock is unaffected. ",""))</f>
        <v/>
      </c>
      <c r="V107" s="14"/>
    </row>
    <row r="108" spans="1:22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6" t="str">
        <f t="shared" si="0"/>
        <v/>
      </c>
      <c r="K108" s="14"/>
      <c r="L108" s="14"/>
      <c r="M108" s="14"/>
      <c r="N108" s="14"/>
      <c r="O108" s="14"/>
      <c r="P108" s="14"/>
      <c r="Q108" s="16" t="str">
        <f>IF($A108="","",IF(SUMPRODUCT(MAX((community_cores_FS!$B$5:$B$597=$A108)*community_cores_FS!$F$5:$F$597))=0,"",SUMPRODUCT(MAX((community_cores_FS!$B$5:$B$597=$A108)*community_cores_FS!$F$5:$F$597))))</f>
        <v/>
      </c>
      <c r="R108" s="16" t="str">
        <f>IF($A108="","",IFERROR(SUMIFS(community_cores_FS!$P$5:$P$597,community_cores_FS!$B$5:$B$597,$A108),""))</f>
        <v/>
      </c>
      <c r="S108" s="16" t="str">
        <f>IF($A108="","",IFERROR(SUMIFS(community_cores_FS!$Q$5:$Q$597,community_cores_FS!$B$5:$B$597,$A108),""))</f>
        <v/>
      </c>
      <c r="T108" s="16" t="str">
        <f t="shared" si="4"/>
        <v/>
      </c>
      <c r="U108" s="16" t="str">
        <f>IF($A108="","",IF(AND($B108&lt;&gt;"",COUNTIF('1. Plot &amp; Site Log'!$A$5:$A$64,$B108)=0),"Plot ID not in Plot &amp; Site Log. ","")&amp;IF(NOT(ISNUMBER($Q108)),"No peat sections logged for this core. ","")&amp;IF($T108="No","Core stops short of the reference depth, so its reference-depth stock is an underestimate. Its full-profile stock is still valid. ","")&amp;IF($L108="No","Core did not reach the mineral contact — the full-profile stock is a MINIMUM, not the whole store. ","")&amp;IF(AND(ISNUMBER($K108),$K108&lt;PEATLAND_MIN_DEPTH_CM),"Organic depth under "&amp;PEATLAND_MIN_DEPTH_CM&amp;" cm: by the guide's definition this is not peatland. Report it, but say so. ","")&amp;IF(AND(ISNUMBER($J108),$J108&lt;QC_RECOVERY_MIN),"Recovered only "&amp;TEXT($J108,"0%")&amp;" of the bore depth — the chamber probably did not fill completely. Material is missing, which is not the same as compaction. ","")&amp;IF(AND(ISNUMBER($J108),$J108&gt;1.05),"Recovered more than the bore depth — check the two measurements. ","")&amp;IF(AND(ISNUMBER($I108),$I108&gt;2),"Surface compaction of "&amp;$I108&amp;" cm: depths in this core sit shallower than in the ground, so depth-limited stock is biased. Full-profile stock is unaffected. ",""))</f>
        <v/>
      </c>
      <c r="V108" s="14"/>
    </row>
    <row r="109" spans="1:22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6" t="str">
        <f t="shared" si="0"/>
        <v/>
      </c>
      <c r="K109" s="14"/>
      <c r="L109" s="14"/>
      <c r="M109" s="14"/>
      <c r="N109" s="14"/>
      <c r="O109" s="14"/>
      <c r="P109" s="14"/>
      <c r="Q109" s="16" t="str">
        <f>IF($A109="","",IF(SUMPRODUCT(MAX((community_cores_FS!$B$5:$B$597=$A109)*community_cores_FS!$F$5:$F$597))=0,"",SUMPRODUCT(MAX((community_cores_FS!$B$5:$B$597=$A109)*community_cores_FS!$F$5:$F$597))))</f>
        <v/>
      </c>
      <c r="R109" s="16" t="str">
        <f>IF($A109="","",IFERROR(SUMIFS(community_cores_FS!$P$5:$P$597,community_cores_FS!$B$5:$B$597,$A109),""))</f>
        <v/>
      </c>
      <c r="S109" s="16" t="str">
        <f>IF($A109="","",IFERROR(SUMIFS(community_cores_FS!$Q$5:$Q$597,community_cores_FS!$B$5:$B$597,$A109),""))</f>
        <v/>
      </c>
      <c r="T109" s="16" t="str">
        <f t="shared" si="4"/>
        <v/>
      </c>
      <c r="U109" s="16" t="str">
        <f>IF($A109="","",IF(AND($B109&lt;&gt;"",COUNTIF('1. Plot &amp; Site Log'!$A$5:$A$64,$B109)=0),"Plot ID not in Plot &amp; Site Log. ","")&amp;IF(NOT(ISNUMBER($Q109)),"No peat sections logged for this core. ","")&amp;IF($T109="No","Core stops short of the reference depth, so its reference-depth stock is an underestimate. Its full-profile stock is still valid. ","")&amp;IF($L109="No","Core did not reach the mineral contact — the full-profile stock is a MINIMUM, not the whole store. ","")&amp;IF(AND(ISNUMBER($K109),$K109&lt;PEATLAND_MIN_DEPTH_CM),"Organic depth under "&amp;PEATLAND_MIN_DEPTH_CM&amp;" cm: by the guide's definition this is not peatland. Report it, but say so. ","")&amp;IF(AND(ISNUMBER($J109),$J109&lt;QC_RECOVERY_MIN),"Recovered only "&amp;TEXT($J109,"0%")&amp;" of the bore depth — the chamber probably did not fill completely. Material is missing, which is not the same as compaction. ","")&amp;IF(AND(ISNUMBER($J109),$J109&gt;1.05),"Recovered more than the bore depth — check the two measurements. ","")&amp;IF(AND(ISNUMBER($I109),$I109&gt;2),"Surface compaction of "&amp;$I109&amp;" cm: depths in this core sit shallower than in the ground, so depth-limited stock is biased. Full-profile stock is unaffected. ",""))</f>
        <v/>
      </c>
      <c r="V109" s="14"/>
    </row>
    <row r="110" spans="1:22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6" t="str">
        <f t="shared" si="0"/>
        <v/>
      </c>
      <c r="K110" s="14"/>
      <c r="L110" s="14"/>
      <c r="M110" s="14"/>
      <c r="N110" s="14"/>
      <c r="O110" s="14"/>
      <c r="P110" s="14"/>
      <c r="Q110" s="16" t="str">
        <f>IF($A110="","",IF(SUMPRODUCT(MAX((community_cores_FS!$B$5:$B$597=$A110)*community_cores_FS!$F$5:$F$597))=0,"",SUMPRODUCT(MAX((community_cores_FS!$B$5:$B$597=$A110)*community_cores_FS!$F$5:$F$597))))</f>
        <v/>
      </c>
      <c r="R110" s="16" t="str">
        <f>IF($A110="","",IFERROR(SUMIFS(community_cores_FS!$P$5:$P$597,community_cores_FS!$B$5:$B$597,$A110),""))</f>
        <v/>
      </c>
      <c r="S110" s="16" t="str">
        <f>IF($A110="","",IFERROR(SUMIFS(community_cores_FS!$Q$5:$Q$597,community_cores_FS!$B$5:$B$597,$A110),""))</f>
        <v/>
      </c>
      <c r="T110" s="16" t="str">
        <f t="shared" si="4"/>
        <v/>
      </c>
      <c r="U110" s="16" t="str">
        <f>IF($A110="","",IF(AND($B110&lt;&gt;"",COUNTIF('1. Plot &amp; Site Log'!$A$5:$A$64,$B110)=0),"Plot ID not in Plot &amp; Site Log. ","")&amp;IF(NOT(ISNUMBER($Q110)),"No peat sections logged for this core. ","")&amp;IF($T110="No","Core stops short of the reference depth, so its reference-depth stock is an underestimate. Its full-profile stock is still valid. ","")&amp;IF($L110="No","Core did not reach the mineral contact — the full-profile stock is a MINIMUM, not the whole store. ","")&amp;IF(AND(ISNUMBER($K110),$K110&lt;PEATLAND_MIN_DEPTH_CM),"Organic depth under "&amp;PEATLAND_MIN_DEPTH_CM&amp;" cm: by the guide's definition this is not peatland. Report it, but say so. ","")&amp;IF(AND(ISNUMBER($J110),$J110&lt;QC_RECOVERY_MIN),"Recovered only "&amp;TEXT($J110,"0%")&amp;" of the bore depth — the chamber probably did not fill completely. Material is missing, which is not the same as compaction. ","")&amp;IF(AND(ISNUMBER($J110),$J110&gt;1.05),"Recovered more than the bore depth — check the two measurements. ","")&amp;IF(AND(ISNUMBER($I110),$I110&gt;2),"Surface compaction of "&amp;$I110&amp;" cm: depths in this core sit shallower than in the ground, so depth-limited stock is biased. Full-profile stock is unaffected. ",""))</f>
        <v/>
      </c>
      <c r="V110" s="14"/>
    </row>
    <row r="111" spans="1:22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6" t="str">
        <f t="shared" si="0"/>
        <v/>
      </c>
      <c r="K111" s="14"/>
      <c r="L111" s="14"/>
      <c r="M111" s="14"/>
      <c r="N111" s="14"/>
      <c r="O111" s="14"/>
      <c r="P111" s="14"/>
      <c r="Q111" s="16" t="str">
        <f>IF($A111="","",IF(SUMPRODUCT(MAX((community_cores_FS!$B$5:$B$597=$A111)*community_cores_FS!$F$5:$F$597))=0,"",SUMPRODUCT(MAX((community_cores_FS!$B$5:$B$597=$A111)*community_cores_FS!$F$5:$F$597))))</f>
        <v/>
      </c>
      <c r="R111" s="16" t="str">
        <f>IF($A111="","",IFERROR(SUMIFS(community_cores_FS!$P$5:$P$597,community_cores_FS!$B$5:$B$597,$A111),""))</f>
        <v/>
      </c>
      <c r="S111" s="16" t="str">
        <f>IF($A111="","",IFERROR(SUMIFS(community_cores_FS!$Q$5:$Q$597,community_cores_FS!$B$5:$B$597,$A111),""))</f>
        <v/>
      </c>
      <c r="T111" s="16" t="str">
        <f t="shared" si="4"/>
        <v/>
      </c>
      <c r="U111" s="16" t="str">
        <f>IF($A111="","",IF(AND($B111&lt;&gt;"",COUNTIF('1. Plot &amp; Site Log'!$A$5:$A$64,$B111)=0),"Plot ID not in Plot &amp; Site Log. ","")&amp;IF(NOT(ISNUMBER($Q111)),"No peat sections logged for this core. ","")&amp;IF($T111="No","Core stops short of the reference depth, so its reference-depth stock is an underestimate. Its full-profile stock is still valid. ","")&amp;IF($L111="No","Core did not reach the mineral contact — the full-profile stock is a MINIMUM, not the whole store. ","")&amp;IF(AND(ISNUMBER($K111),$K111&lt;PEATLAND_MIN_DEPTH_CM),"Organic depth under "&amp;PEATLAND_MIN_DEPTH_CM&amp;" cm: by the guide's definition this is not peatland. Report it, but say so. ","")&amp;IF(AND(ISNUMBER($J111),$J111&lt;QC_RECOVERY_MIN),"Recovered only "&amp;TEXT($J111,"0%")&amp;" of the bore depth — the chamber probably did not fill completely. Material is missing, which is not the same as compaction. ","")&amp;IF(AND(ISNUMBER($J111),$J111&gt;1.05),"Recovered more than the bore depth — check the two measurements. ","")&amp;IF(AND(ISNUMBER($I111),$I111&gt;2),"Surface compaction of "&amp;$I111&amp;" cm: depths in this core sit shallower than in the ground, so depth-limited stock is biased. Full-profile stock is unaffected. ",""))</f>
        <v/>
      </c>
      <c r="V111" s="14"/>
    </row>
    <row r="112" spans="1:2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6" t="str">
        <f t="shared" si="0"/>
        <v/>
      </c>
      <c r="K112" s="14"/>
      <c r="L112" s="14"/>
      <c r="M112" s="14"/>
      <c r="N112" s="14"/>
      <c r="O112" s="14"/>
      <c r="P112" s="14"/>
      <c r="Q112" s="16" t="str">
        <f>IF($A112="","",IF(SUMPRODUCT(MAX((community_cores_FS!$B$5:$B$597=$A112)*community_cores_FS!$F$5:$F$597))=0,"",SUMPRODUCT(MAX((community_cores_FS!$B$5:$B$597=$A112)*community_cores_FS!$F$5:$F$597))))</f>
        <v/>
      </c>
      <c r="R112" s="16" t="str">
        <f>IF($A112="","",IFERROR(SUMIFS(community_cores_FS!$P$5:$P$597,community_cores_FS!$B$5:$B$597,$A112),""))</f>
        <v/>
      </c>
      <c r="S112" s="16" t="str">
        <f>IF($A112="","",IFERROR(SUMIFS(community_cores_FS!$Q$5:$Q$597,community_cores_FS!$B$5:$B$597,$A112),""))</f>
        <v/>
      </c>
      <c r="T112" s="16" t="str">
        <f t="shared" si="4"/>
        <v/>
      </c>
      <c r="U112" s="16" t="str">
        <f>IF($A112="","",IF(AND($B112&lt;&gt;"",COUNTIF('1. Plot &amp; Site Log'!$A$5:$A$64,$B112)=0),"Plot ID not in Plot &amp; Site Log. ","")&amp;IF(NOT(ISNUMBER($Q112)),"No peat sections logged for this core. ","")&amp;IF($T112="No","Core stops short of the reference depth, so its reference-depth stock is an underestimate. Its full-profile stock is still valid. ","")&amp;IF($L112="No","Core did not reach the mineral contact — the full-profile stock is a MINIMUM, not the whole store. ","")&amp;IF(AND(ISNUMBER($K112),$K112&lt;PEATLAND_MIN_DEPTH_CM),"Organic depth under "&amp;PEATLAND_MIN_DEPTH_CM&amp;" cm: by the guide's definition this is not peatland. Report it, but say so. ","")&amp;IF(AND(ISNUMBER($J112),$J112&lt;QC_RECOVERY_MIN),"Recovered only "&amp;TEXT($J112,"0%")&amp;" of the bore depth — the chamber probably did not fill completely. Material is missing, which is not the same as compaction. ","")&amp;IF(AND(ISNUMBER($J112),$J112&gt;1.05),"Recovered more than the bore depth — check the two measurements. ","")&amp;IF(AND(ISNUMBER($I112),$I112&gt;2),"Surface compaction of "&amp;$I112&amp;" cm: depths in this core sit shallower than in the ground, so depth-limited stock is biased. Full-profile stock is unaffected. ",""))</f>
        <v/>
      </c>
      <c r="V112" s="14"/>
    </row>
    <row r="113" spans="1:22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6" t="str">
        <f t="shared" si="0"/>
        <v/>
      </c>
      <c r="K113" s="14"/>
      <c r="L113" s="14"/>
      <c r="M113" s="14"/>
      <c r="N113" s="14"/>
      <c r="O113" s="14"/>
      <c r="P113" s="14"/>
      <c r="Q113" s="16" t="str">
        <f>IF($A113="","",IF(SUMPRODUCT(MAX((community_cores_FS!$B$5:$B$597=$A113)*community_cores_FS!$F$5:$F$597))=0,"",SUMPRODUCT(MAX((community_cores_FS!$B$5:$B$597=$A113)*community_cores_FS!$F$5:$F$597))))</f>
        <v/>
      </c>
      <c r="R113" s="16" t="str">
        <f>IF($A113="","",IFERROR(SUMIFS(community_cores_FS!$P$5:$P$597,community_cores_FS!$B$5:$B$597,$A113),""))</f>
        <v/>
      </c>
      <c r="S113" s="16" t="str">
        <f>IF($A113="","",IFERROR(SUMIFS(community_cores_FS!$Q$5:$Q$597,community_cores_FS!$B$5:$B$597,$A113),""))</f>
        <v/>
      </c>
      <c r="T113" s="16" t="str">
        <f t="shared" si="4"/>
        <v/>
      </c>
      <c r="U113" s="16" t="str">
        <f>IF($A113="","",IF(AND($B113&lt;&gt;"",COUNTIF('1. Plot &amp; Site Log'!$A$5:$A$64,$B113)=0),"Plot ID not in Plot &amp; Site Log. ","")&amp;IF(NOT(ISNUMBER($Q113)),"No peat sections logged for this core. ","")&amp;IF($T113="No","Core stops short of the reference depth, so its reference-depth stock is an underestimate. Its full-profile stock is still valid. ","")&amp;IF($L113="No","Core did not reach the mineral contact — the full-profile stock is a MINIMUM, not the whole store. ","")&amp;IF(AND(ISNUMBER($K113),$K113&lt;PEATLAND_MIN_DEPTH_CM),"Organic depth under "&amp;PEATLAND_MIN_DEPTH_CM&amp;" cm: by the guide's definition this is not peatland. Report it, but say so. ","")&amp;IF(AND(ISNUMBER($J113),$J113&lt;QC_RECOVERY_MIN),"Recovered only "&amp;TEXT($J113,"0%")&amp;" of the bore depth — the chamber probably did not fill completely. Material is missing, which is not the same as compaction. ","")&amp;IF(AND(ISNUMBER($J113),$J113&gt;1.05),"Recovered more than the bore depth — check the two measurements. ","")&amp;IF(AND(ISNUMBER($I113),$I113&gt;2),"Surface compaction of "&amp;$I113&amp;" cm: depths in this core sit shallower than in the ground, so depth-limited stock is biased. Full-profile stock is unaffected. ",""))</f>
        <v/>
      </c>
      <c r="V113" s="14"/>
    </row>
    <row r="114" spans="1:22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6" t="str">
        <f t="shared" si="0"/>
        <v/>
      </c>
      <c r="K114" s="14"/>
      <c r="L114" s="14"/>
      <c r="M114" s="14"/>
      <c r="N114" s="14"/>
      <c r="O114" s="14"/>
      <c r="P114" s="14"/>
      <c r="Q114" s="16" t="str">
        <f>IF($A114="","",IF(SUMPRODUCT(MAX((community_cores_FS!$B$5:$B$597=$A114)*community_cores_FS!$F$5:$F$597))=0,"",SUMPRODUCT(MAX((community_cores_FS!$B$5:$B$597=$A114)*community_cores_FS!$F$5:$F$597))))</f>
        <v/>
      </c>
      <c r="R114" s="16" t="str">
        <f>IF($A114="","",IFERROR(SUMIFS(community_cores_FS!$P$5:$P$597,community_cores_FS!$B$5:$B$597,$A114),""))</f>
        <v/>
      </c>
      <c r="S114" s="16" t="str">
        <f>IF($A114="","",IFERROR(SUMIFS(community_cores_FS!$Q$5:$Q$597,community_cores_FS!$B$5:$B$597,$A114),""))</f>
        <v/>
      </c>
      <c r="T114" s="16" t="str">
        <f t="shared" si="4"/>
        <v/>
      </c>
      <c r="U114" s="16" t="str">
        <f>IF($A114="","",IF(AND($B114&lt;&gt;"",COUNTIF('1. Plot &amp; Site Log'!$A$5:$A$64,$B114)=0),"Plot ID not in Plot &amp; Site Log. ","")&amp;IF(NOT(ISNUMBER($Q114)),"No peat sections logged for this core. ","")&amp;IF($T114="No","Core stops short of the reference depth, so its reference-depth stock is an underestimate. Its full-profile stock is still valid. ","")&amp;IF($L114="No","Core did not reach the mineral contact — the full-profile stock is a MINIMUM, not the whole store. ","")&amp;IF(AND(ISNUMBER($K114),$K114&lt;PEATLAND_MIN_DEPTH_CM),"Organic depth under "&amp;PEATLAND_MIN_DEPTH_CM&amp;" cm: by the guide's definition this is not peatland. Report it, but say so. ","")&amp;IF(AND(ISNUMBER($J114),$J114&lt;QC_RECOVERY_MIN),"Recovered only "&amp;TEXT($J114,"0%")&amp;" of the bore depth — the chamber probably did not fill completely. Material is missing, which is not the same as compaction. ","")&amp;IF(AND(ISNUMBER($J114),$J114&gt;1.05),"Recovered more than the bore depth — check the two measurements. ","")&amp;IF(AND(ISNUMBER($I114),$I114&gt;2),"Surface compaction of "&amp;$I114&amp;" cm: depths in this core sit shallower than in the ground, so depth-limited stock is biased. Full-profile stock is unaffected. ",""))</f>
        <v/>
      </c>
      <c r="V114" s="14"/>
    </row>
    <row r="115" spans="1:22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6" t="str">
        <f t="shared" si="0"/>
        <v/>
      </c>
      <c r="K115" s="14"/>
      <c r="L115" s="14"/>
      <c r="M115" s="14"/>
      <c r="N115" s="14"/>
      <c r="O115" s="14"/>
      <c r="P115" s="14"/>
      <c r="Q115" s="16" t="str">
        <f>IF($A115="","",IF(SUMPRODUCT(MAX((community_cores_FS!$B$5:$B$597=$A115)*community_cores_FS!$F$5:$F$597))=0,"",SUMPRODUCT(MAX((community_cores_FS!$B$5:$B$597=$A115)*community_cores_FS!$F$5:$F$597))))</f>
        <v/>
      </c>
      <c r="R115" s="16" t="str">
        <f>IF($A115="","",IFERROR(SUMIFS(community_cores_FS!$P$5:$P$597,community_cores_FS!$B$5:$B$597,$A115),""))</f>
        <v/>
      </c>
      <c r="S115" s="16" t="str">
        <f>IF($A115="","",IFERROR(SUMIFS(community_cores_FS!$Q$5:$Q$597,community_cores_FS!$B$5:$B$597,$A115),""))</f>
        <v/>
      </c>
      <c r="T115" s="16" t="str">
        <f t="shared" si="4"/>
        <v/>
      </c>
      <c r="U115" s="16" t="str">
        <f>IF($A115="","",IF(AND($B115&lt;&gt;"",COUNTIF('1. Plot &amp; Site Log'!$A$5:$A$64,$B115)=0),"Plot ID not in Plot &amp; Site Log. ","")&amp;IF(NOT(ISNUMBER($Q115)),"No peat sections logged for this core. ","")&amp;IF($T115="No","Core stops short of the reference depth, so its reference-depth stock is an underestimate. Its full-profile stock is still valid. ","")&amp;IF($L115="No","Core did not reach the mineral contact — the full-profile stock is a MINIMUM, not the whole store. ","")&amp;IF(AND(ISNUMBER($K115),$K115&lt;PEATLAND_MIN_DEPTH_CM),"Organic depth under "&amp;PEATLAND_MIN_DEPTH_CM&amp;" cm: by the guide's definition this is not peatland. Report it, but say so. ","")&amp;IF(AND(ISNUMBER($J115),$J115&lt;QC_RECOVERY_MIN),"Recovered only "&amp;TEXT($J115,"0%")&amp;" of the bore depth — the chamber probably did not fill completely. Material is missing, which is not the same as compaction. ","")&amp;IF(AND(ISNUMBER($J115),$J115&gt;1.05),"Recovered more than the bore depth — check the two measurements. ","")&amp;IF(AND(ISNUMBER($I115),$I115&gt;2),"Surface compaction of "&amp;$I115&amp;" cm: depths in this core sit shallower than in the ground, so depth-limited stock is biased. Full-profile stock is unaffected. ",""))</f>
        <v/>
      </c>
      <c r="V115" s="14"/>
    </row>
    <row r="116" spans="1:22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6" t="str">
        <f t="shared" si="0"/>
        <v/>
      </c>
      <c r="K116" s="14"/>
      <c r="L116" s="14"/>
      <c r="M116" s="14"/>
      <c r="N116" s="14"/>
      <c r="O116" s="14"/>
      <c r="P116" s="14"/>
      <c r="Q116" s="16" t="str">
        <f>IF($A116="","",IF(SUMPRODUCT(MAX((community_cores_FS!$B$5:$B$597=$A116)*community_cores_FS!$F$5:$F$597))=0,"",SUMPRODUCT(MAX((community_cores_FS!$B$5:$B$597=$A116)*community_cores_FS!$F$5:$F$597))))</f>
        <v/>
      </c>
      <c r="R116" s="16" t="str">
        <f>IF($A116="","",IFERROR(SUMIFS(community_cores_FS!$P$5:$P$597,community_cores_FS!$B$5:$B$597,$A116),""))</f>
        <v/>
      </c>
      <c r="S116" s="16" t="str">
        <f>IF($A116="","",IFERROR(SUMIFS(community_cores_FS!$Q$5:$Q$597,community_cores_FS!$B$5:$B$597,$A116),""))</f>
        <v/>
      </c>
      <c r="T116" s="16" t="str">
        <f t="shared" si="4"/>
        <v/>
      </c>
      <c r="U116" s="16" t="str">
        <f>IF($A116="","",IF(AND($B116&lt;&gt;"",COUNTIF('1. Plot &amp; Site Log'!$A$5:$A$64,$B116)=0),"Plot ID not in Plot &amp; Site Log. ","")&amp;IF(NOT(ISNUMBER($Q116)),"No peat sections logged for this core. ","")&amp;IF($T116="No","Core stops short of the reference depth, so its reference-depth stock is an underestimate. Its full-profile stock is still valid. ","")&amp;IF($L116="No","Core did not reach the mineral contact — the full-profile stock is a MINIMUM, not the whole store. ","")&amp;IF(AND(ISNUMBER($K116),$K116&lt;PEATLAND_MIN_DEPTH_CM),"Organic depth under "&amp;PEATLAND_MIN_DEPTH_CM&amp;" cm: by the guide's definition this is not peatland. Report it, but say so. ","")&amp;IF(AND(ISNUMBER($J116),$J116&lt;QC_RECOVERY_MIN),"Recovered only "&amp;TEXT($J116,"0%")&amp;" of the bore depth — the chamber probably did not fill completely. Material is missing, which is not the same as compaction. ","")&amp;IF(AND(ISNUMBER($J116),$J116&gt;1.05),"Recovered more than the bore depth — check the two measurements. ","")&amp;IF(AND(ISNUMBER($I116),$I116&gt;2),"Surface compaction of "&amp;$I116&amp;" cm: depths in this core sit shallower than in the ground, so depth-limited stock is biased. Full-profile stock is unaffected. ",""))</f>
        <v/>
      </c>
      <c r="V116" s="14"/>
    </row>
    <row r="117" spans="1:22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6" t="str">
        <f t="shared" si="0"/>
        <v/>
      </c>
      <c r="K117" s="14"/>
      <c r="L117" s="14"/>
      <c r="M117" s="14"/>
      <c r="N117" s="14"/>
      <c r="O117" s="14"/>
      <c r="P117" s="14"/>
      <c r="Q117" s="16" t="str">
        <f>IF($A117="","",IF(SUMPRODUCT(MAX((community_cores_FS!$B$5:$B$597=$A117)*community_cores_FS!$F$5:$F$597))=0,"",SUMPRODUCT(MAX((community_cores_FS!$B$5:$B$597=$A117)*community_cores_FS!$F$5:$F$597))))</f>
        <v/>
      </c>
      <c r="R117" s="16" t="str">
        <f>IF($A117="","",IFERROR(SUMIFS(community_cores_FS!$P$5:$P$597,community_cores_FS!$B$5:$B$597,$A117),""))</f>
        <v/>
      </c>
      <c r="S117" s="16" t="str">
        <f>IF($A117="","",IFERROR(SUMIFS(community_cores_FS!$Q$5:$Q$597,community_cores_FS!$B$5:$B$597,$A117),""))</f>
        <v/>
      </c>
      <c r="T117" s="16" t="str">
        <f t="shared" si="4"/>
        <v/>
      </c>
      <c r="U117" s="16" t="str">
        <f>IF($A117="","",IF(AND($B117&lt;&gt;"",COUNTIF('1. Plot &amp; Site Log'!$A$5:$A$64,$B117)=0),"Plot ID not in Plot &amp; Site Log. ","")&amp;IF(NOT(ISNUMBER($Q117)),"No peat sections logged for this core. ","")&amp;IF($T117="No","Core stops short of the reference depth, so its reference-depth stock is an underestimate. Its full-profile stock is still valid. ","")&amp;IF($L117="No","Core did not reach the mineral contact — the full-profile stock is a MINIMUM, not the whole store. ","")&amp;IF(AND(ISNUMBER($K117),$K117&lt;PEATLAND_MIN_DEPTH_CM),"Organic depth under "&amp;PEATLAND_MIN_DEPTH_CM&amp;" cm: by the guide's definition this is not peatland. Report it, but say so. ","")&amp;IF(AND(ISNUMBER($J117),$J117&lt;QC_RECOVERY_MIN),"Recovered only "&amp;TEXT($J117,"0%")&amp;" of the bore depth — the chamber probably did not fill completely. Material is missing, which is not the same as compaction. ","")&amp;IF(AND(ISNUMBER($J117),$J117&gt;1.05),"Recovered more than the bore depth — check the two measurements. ","")&amp;IF(AND(ISNUMBER($I117),$I117&gt;2),"Surface compaction of "&amp;$I117&amp;" cm: depths in this core sit shallower than in the ground, so depth-limited stock is biased. Full-profile stock is unaffected. ",""))</f>
        <v/>
      </c>
      <c r="V117" s="14"/>
    </row>
    <row r="118" spans="1:22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6" t="str">
        <f t="shared" si="0"/>
        <v/>
      </c>
      <c r="K118" s="14"/>
      <c r="L118" s="14"/>
      <c r="M118" s="14"/>
      <c r="N118" s="14"/>
      <c r="O118" s="14"/>
      <c r="P118" s="14"/>
      <c r="Q118" s="16" t="str">
        <f>IF($A118="","",IF(SUMPRODUCT(MAX((community_cores_FS!$B$5:$B$597=$A118)*community_cores_FS!$F$5:$F$597))=0,"",SUMPRODUCT(MAX((community_cores_FS!$B$5:$B$597=$A118)*community_cores_FS!$F$5:$F$597))))</f>
        <v/>
      </c>
      <c r="R118" s="16" t="str">
        <f>IF($A118="","",IFERROR(SUMIFS(community_cores_FS!$P$5:$P$597,community_cores_FS!$B$5:$B$597,$A118),""))</f>
        <v/>
      </c>
      <c r="S118" s="16" t="str">
        <f>IF($A118="","",IFERROR(SUMIFS(community_cores_FS!$Q$5:$Q$597,community_cores_FS!$B$5:$B$597,$A118),""))</f>
        <v/>
      </c>
      <c r="T118" s="16" t="str">
        <f t="shared" si="4"/>
        <v/>
      </c>
      <c r="U118" s="16" t="str">
        <f>IF($A118="","",IF(AND($B118&lt;&gt;"",COUNTIF('1. Plot &amp; Site Log'!$A$5:$A$64,$B118)=0),"Plot ID not in Plot &amp; Site Log. ","")&amp;IF(NOT(ISNUMBER($Q118)),"No peat sections logged for this core. ","")&amp;IF($T118="No","Core stops short of the reference depth, so its reference-depth stock is an underestimate. Its full-profile stock is still valid. ","")&amp;IF($L118="No","Core did not reach the mineral contact — the full-profile stock is a MINIMUM, not the whole store. ","")&amp;IF(AND(ISNUMBER($K118),$K118&lt;PEATLAND_MIN_DEPTH_CM),"Organic depth under "&amp;PEATLAND_MIN_DEPTH_CM&amp;" cm: by the guide's definition this is not peatland. Report it, but say so. ","")&amp;IF(AND(ISNUMBER($J118),$J118&lt;QC_RECOVERY_MIN),"Recovered only "&amp;TEXT($J118,"0%")&amp;" of the bore depth — the chamber probably did not fill completely. Material is missing, which is not the same as compaction. ","")&amp;IF(AND(ISNUMBER($J118),$J118&gt;1.05),"Recovered more than the bore depth — check the two measurements. ","")&amp;IF(AND(ISNUMBER($I118),$I118&gt;2),"Surface compaction of "&amp;$I118&amp;" cm: depths in this core sit shallower than in the ground, so depth-limited stock is biased. Full-profile stock is unaffected. ",""))</f>
        <v/>
      </c>
      <c r="V118" s="14"/>
    </row>
    <row r="119" spans="1:22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6" t="str">
        <f t="shared" si="0"/>
        <v/>
      </c>
      <c r="K119" s="14"/>
      <c r="L119" s="14"/>
      <c r="M119" s="14"/>
      <c r="N119" s="14"/>
      <c r="O119" s="14"/>
      <c r="P119" s="14"/>
      <c r="Q119" s="16" t="str">
        <f>IF($A119="","",IF(SUMPRODUCT(MAX((community_cores_FS!$B$5:$B$597=$A119)*community_cores_FS!$F$5:$F$597))=0,"",SUMPRODUCT(MAX((community_cores_FS!$B$5:$B$597=$A119)*community_cores_FS!$F$5:$F$597))))</f>
        <v/>
      </c>
      <c r="R119" s="16" t="str">
        <f>IF($A119="","",IFERROR(SUMIFS(community_cores_FS!$P$5:$P$597,community_cores_FS!$B$5:$B$597,$A119),""))</f>
        <v/>
      </c>
      <c r="S119" s="16" t="str">
        <f>IF($A119="","",IFERROR(SUMIFS(community_cores_FS!$Q$5:$Q$597,community_cores_FS!$B$5:$B$597,$A119),""))</f>
        <v/>
      </c>
      <c r="T119" s="16" t="str">
        <f t="shared" si="4"/>
        <v/>
      </c>
      <c r="U119" s="16" t="str">
        <f>IF($A119="","",IF(AND($B119&lt;&gt;"",COUNTIF('1. Plot &amp; Site Log'!$A$5:$A$64,$B119)=0),"Plot ID not in Plot &amp; Site Log. ","")&amp;IF(NOT(ISNUMBER($Q119)),"No peat sections logged for this core. ","")&amp;IF($T119="No","Core stops short of the reference depth, so its reference-depth stock is an underestimate. Its full-profile stock is still valid. ","")&amp;IF($L119="No","Core did not reach the mineral contact — the full-profile stock is a MINIMUM, not the whole store. ","")&amp;IF(AND(ISNUMBER($K119),$K119&lt;PEATLAND_MIN_DEPTH_CM),"Organic depth under "&amp;PEATLAND_MIN_DEPTH_CM&amp;" cm: by the guide's definition this is not peatland. Report it, but say so. ","")&amp;IF(AND(ISNUMBER($J119),$J119&lt;QC_RECOVERY_MIN),"Recovered only "&amp;TEXT($J119,"0%")&amp;" of the bore depth — the chamber probably did not fill completely. Material is missing, which is not the same as compaction. ","")&amp;IF(AND(ISNUMBER($J119),$J119&gt;1.05),"Recovered more than the bore depth — check the two measurements. ","")&amp;IF(AND(ISNUMBER($I119),$I119&gt;2),"Surface compaction of "&amp;$I119&amp;" cm: depths in this core sit shallower than in the ground, so depth-limited stock is biased. Full-profile stock is unaffected. ",""))</f>
        <v/>
      </c>
      <c r="V119" s="14"/>
    </row>
    <row r="120" spans="1:22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6" t="str">
        <f t="shared" si="0"/>
        <v/>
      </c>
      <c r="K120" s="14"/>
      <c r="L120" s="14"/>
      <c r="M120" s="14"/>
      <c r="N120" s="14"/>
      <c r="O120" s="14"/>
      <c r="P120" s="14"/>
      <c r="Q120" s="16" t="str">
        <f>IF($A120="","",IF(SUMPRODUCT(MAX((community_cores_FS!$B$5:$B$597=$A120)*community_cores_FS!$F$5:$F$597))=0,"",SUMPRODUCT(MAX((community_cores_FS!$B$5:$B$597=$A120)*community_cores_FS!$F$5:$F$597))))</f>
        <v/>
      </c>
      <c r="R120" s="16" t="str">
        <f>IF($A120="","",IFERROR(SUMIFS(community_cores_FS!$P$5:$P$597,community_cores_FS!$B$5:$B$597,$A120),""))</f>
        <v/>
      </c>
      <c r="S120" s="16" t="str">
        <f>IF($A120="","",IFERROR(SUMIFS(community_cores_FS!$Q$5:$Q$597,community_cores_FS!$B$5:$B$597,$A120),""))</f>
        <v/>
      </c>
      <c r="T120" s="16" t="str">
        <f t="shared" si="4"/>
        <v/>
      </c>
      <c r="U120" s="16" t="str">
        <f>IF($A120="","",IF(AND($B120&lt;&gt;"",COUNTIF('1. Plot &amp; Site Log'!$A$5:$A$64,$B120)=0),"Plot ID not in Plot &amp; Site Log. ","")&amp;IF(NOT(ISNUMBER($Q120)),"No peat sections logged for this core. ","")&amp;IF($T120="No","Core stops short of the reference depth, so its reference-depth stock is an underestimate. Its full-profile stock is still valid. ","")&amp;IF($L120="No","Core did not reach the mineral contact — the full-profile stock is a MINIMUM, not the whole store. ","")&amp;IF(AND(ISNUMBER($K120),$K120&lt;PEATLAND_MIN_DEPTH_CM),"Organic depth under "&amp;PEATLAND_MIN_DEPTH_CM&amp;" cm: by the guide's definition this is not peatland. Report it, but say so. ","")&amp;IF(AND(ISNUMBER($J120),$J120&lt;QC_RECOVERY_MIN),"Recovered only "&amp;TEXT($J120,"0%")&amp;" of the bore depth — the chamber probably did not fill completely. Material is missing, which is not the same as compaction. ","")&amp;IF(AND(ISNUMBER($J120),$J120&gt;1.05),"Recovered more than the bore depth — check the two measurements. ","")&amp;IF(AND(ISNUMBER($I120),$I120&gt;2),"Surface compaction of "&amp;$I120&amp;" cm: depths in this core sit shallower than in the ground, so depth-limited stock is biased. Full-profile stock is unaffected. ",""))</f>
        <v/>
      </c>
      <c r="V120" s="14"/>
    </row>
    <row r="121" spans="1:22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6" t="str">
        <f t="shared" si="0"/>
        <v/>
      </c>
      <c r="K121" s="14"/>
      <c r="L121" s="14"/>
      <c r="M121" s="14"/>
      <c r="N121" s="14"/>
      <c r="O121" s="14"/>
      <c r="P121" s="14"/>
      <c r="Q121" s="16" t="str">
        <f>IF($A121="","",IF(SUMPRODUCT(MAX((community_cores_FS!$B$5:$B$597=$A121)*community_cores_FS!$F$5:$F$597))=0,"",SUMPRODUCT(MAX((community_cores_FS!$B$5:$B$597=$A121)*community_cores_FS!$F$5:$F$597))))</f>
        <v/>
      </c>
      <c r="R121" s="16" t="str">
        <f>IF($A121="","",IFERROR(SUMIFS(community_cores_FS!$P$5:$P$597,community_cores_FS!$B$5:$B$597,$A121),""))</f>
        <v/>
      </c>
      <c r="S121" s="16" t="str">
        <f>IF($A121="","",IFERROR(SUMIFS(community_cores_FS!$Q$5:$Q$597,community_cores_FS!$B$5:$B$597,$A121),""))</f>
        <v/>
      </c>
      <c r="T121" s="16" t="str">
        <f t="shared" si="4"/>
        <v/>
      </c>
      <c r="U121" s="16" t="str">
        <f>IF($A121="","",IF(AND($B121&lt;&gt;"",COUNTIF('1. Plot &amp; Site Log'!$A$5:$A$64,$B121)=0),"Plot ID not in Plot &amp; Site Log. ","")&amp;IF(NOT(ISNUMBER($Q121)),"No peat sections logged for this core. ","")&amp;IF($T121="No","Core stops short of the reference depth, so its reference-depth stock is an underestimate. Its full-profile stock is still valid. ","")&amp;IF($L121="No","Core did not reach the mineral contact — the full-profile stock is a MINIMUM, not the whole store. ","")&amp;IF(AND(ISNUMBER($K121),$K121&lt;PEATLAND_MIN_DEPTH_CM),"Organic depth under "&amp;PEATLAND_MIN_DEPTH_CM&amp;" cm: by the guide's definition this is not peatland. Report it, but say so. ","")&amp;IF(AND(ISNUMBER($J121),$J121&lt;QC_RECOVERY_MIN),"Recovered only "&amp;TEXT($J121,"0%")&amp;" of the bore depth — the chamber probably did not fill completely. Material is missing, which is not the same as compaction. ","")&amp;IF(AND(ISNUMBER($J121),$J121&gt;1.05),"Recovered more than the bore depth — check the two measurements. ","")&amp;IF(AND(ISNUMBER($I121),$I121&gt;2),"Surface compaction of "&amp;$I121&amp;" cm: depths in this core sit shallower than in the ground, so depth-limited stock is biased. Full-profile stock is unaffected. ",""))</f>
        <v/>
      </c>
      <c r="V121" s="14"/>
    </row>
    <row r="122" spans="1: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6" t="str">
        <f t="shared" si="0"/>
        <v/>
      </c>
      <c r="K122" s="14"/>
      <c r="L122" s="14"/>
      <c r="M122" s="14"/>
      <c r="N122" s="14"/>
      <c r="O122" s="14"/>
      <c r="P122" s="14"/>
      <c r="Q122" s="16" t="str">
        <f>IF($A122="","",IF(SUMPRODUCT(MAX((community_cores_FS!$B$5:$B$597=$A122)*community_cores_FS!$F$5:$F$597))=0,"",SUMPRODUCT(MAX((community_cores_FS!$B$5:$B$597=$A122)*community_cores_FS!$F$5:$F$597))))</f>
        <v/>
      </c>
      <c r="R122" s="16" t="str">
        <f>IF($A122="","",IFERROR(SUMIFS(community_cores_FS!$P$5:$P$597,community_cores_FS!$B$5:$B$597,$A122),""))</f>
        <v/>
      </c>
      <c r="S122" s="16" t="str">
        <f>IF($A122="","",IFERROR(SUMIFS(community_cores_FS!$Q$5:$Q$597,community_cores_FS!$B$5:$B$597,$A122),""))</f>
        <v/>
      </c>
      <c r="T122" s="16" t="str">
        <f t="shared" si="4"/>
        <v/>
      </c>
      <c r="U122" s="16" t="str">
        <f>IF($A122="","",IF(AND($B122&lt;&gt;"",COUNTIF('1. Plot &amp; Site Log'!$A$5:$A$64,$B122)=0),"Plot ID not in Plot &amp; Site Log. ","")&amp;IF(NOT(ISNUMBER($Q122)),"No peat sections logged for this core. ","")&amp;IF($T122="No","Core stops short of the reference depth, so its reference-depth stock is an underestimate. Its full-profile stock is still valid. ","")&amp;IF($L122="No","Core did not reach the mineral contact — the full-profile stock is a MINIMUM, not the whole store. ","")&amp;IF(AND(ISNUMBER($K122),$K122&lt;PEATLAND_MIN_DEPTH_CM),"Organic depth under "&amp;PEATLAND_MIN_DEPTH_CM&amp;" cm: by the guide's definition this is not peatland. Report it, but say so. ","")&amp;IF(AND(ISNUMBER($J122),$J122&lt;QC_RECOVERY_MIN),"Recovered only "&amp;TEXT($J122,"0%")&amp;" of the bore depth — the chamber probably did not fill completely. Material is missing, which is not the same as compaction. ","")&amp;IF(AND(ISNUMBER($J122),$J122&gt;1.05),"Recovered more than the bore depth — check the two measurements. ","")&amp;IF(AND(ISNUMBER($I122),$I122&gt;2),"Surface compaction of "&amp;$I122&amp;" cm: depths in this core sit shallower than in the ground, so depth-limited stock is biased. Full-profile stock is unaffected. ",""))</f>
        <v/>
      </c>
      <c r="V122" s="14"/>
    </row>
    <row r="123" spans="1:22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6" t="str">
        <f t="shared" si="0"/>
        <v/>
      </c>
      <c r="K123" s="14"/>
      <c r="L123" s="14"/>
      <c r="M123" s="14"/>
      <c r="N123" s="14"/>
      <c r="O123" s="14"/>
      <c r="P123" s="14"/>
      <c r="Q123" s="16" t="str">
        <f>IF($A123="","",IF(SUMPRODUCT(MAX((community_cores_FS!$B$5:$B$597=$A123)*community_cores_FS!$F$5:$F$597))=0,"",SUMPRODUCT(MAX((community_cores_FS!$B$5:$B$597=$A123)*community_cores_FS!$F$5:$F$597))))</f>
        <v/>
      </c>
      <c r="R123" s="16" t="str">
        <f>IF($A123="","",IFERROR(SUMIFS(community_cores_FS!$P$5:$P$597,community_cores_FS!$B$5:$B$597,$A123),""))</f>
        <v/>
      </c>
      <c r="S123" s="16" t="str">
        <f>IF($A123="","",IFERROR(SUMIFS(community_cores_FS!$Q$5:$Q$597,community_cores_FS!$B$5:$B$597,$A123),""))</f>
        <v/>
      </c>
      <c r="T123" s="16" t="str">
        <f t="shared" si="4"/>
        <v/>
      </c>
      <c r="U123" s="16" t="str">
        <f>IF($A123="","",IF(AND($B123&lt;&gt;"",COUNTIF('1. Plot &amp; Site Log'!$A$5:$A$64,$B123)=0),"Plot ID not in Plot &amp; Site Log. ","")&amp;IF(NOT(ISNUMBER($Q123)),"No peat sections logged for this core. ","")&amp;IF($T123="No","Core stops short of the reference depth, so its reference-depth stock is an underestimate. Its full-profile stock is still valid. ","")&amp;IF($L123="No","Core did not reach the mineral contact — the full-profile stock is a MINIMUM, not the whole store. ","")&amp;IF(AND(ISNUMBER($K123),$K123&lt;PEATLAND_MIN_DEPTH_CM),"Organic depth under "&amp;PEATLAND_MIN_DEPTH_CM&amp;" cm: by the guide's definition this is not peatland. Report it, but say so. ","")&amp;IF(AND(ISNUMBER($J123),$J123&lt;QC_RECOVERY_MIN),"Recovered only "&amp;TEXT($J123,"0%")&amp;" of the bore depth — the chamber probably did not fill completely. Material is missing, which is not the same as compaction. ","")&amp;IF(AND(ISNUMBER($J123),$J123&gt;1.05),"Recovered more than the bore depth — check the two measurements. ","")&amp;IF(AND(ISNUMBER($I123),$I123&gt;2),"Surface compaction of "&amp;$I123&amp;" cm: depths in this core sit shallower than in the ground, so depth-limited stock is biased. Full-profile stock is unaffected. ",""))</f>
        <v/>
      </c>
      <c r="V123" s="14"/>
    </row>
    <row r="124" spans="1:22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6" t="str">
        <f t="shared" si="0"/>
        <v/>
      </c>
      <c r="K124" s="14"/>
      <c r="L124" s="14"/>
      <c r="M124" s="14"/>
      <c r="N124" s="14"/>
      <c r="O124" s="14"/>
      <c r="P124" s="14"/>
      <c r="Q124" s="16" t="str">
        <f>IF($A124="","",IF(SUMPRODUCT(MAX((community_cores_FS!$B$5:$B$597=$A124)*community_cores_FS!$F$5:$F$597))=0,"",SUMPRODUCT(MAX((community_cores_FS!$B$5:$B$597=$A124)*community_cores_FS!$F$5:$F$597))))</f>
        <v/>
      </c>
      <c r="R124" s="16" t="str">
        <f>IF($A124="","",IFERROR(SUMIFS(community_cores_FS!$P$5:$P$597,community_cores_FS!$B$5:$B$597,$A124),""))</f>
        <v/>
      </c>
      <c r="S124" s="16" t="str">
        <f>IF($A124="","",IFERROR(SUMIFS(community_cores_FS!$Q$5:$Q$597,community_cores_FS!$B$5:$B$597,$A124),""))</f>
        <v/>
      </c>
      <c r="T124" s="16" t="str">
        <f t="shared" si="4"/>
        <v/>
      </c>
      <c r="U124" s="16" t="str">
        <f>IF($A124="","",IF(AND($B124&lt;&gt;"",COUNTIF('1. Plot &amp; Site Log'!$A$5:$A$64,$B124)=0),"Plot ID not in Plot &amp; Site Log. ","")&amp;IF(NOT(ISNUMBER($Q124)),"No peat sections logged for this core. ","")&amp;IF($T124="No","Core stops short of the reference depth, so its reference-depth stock is an underestimate. Its full-profile stock is still valid. ","")&amp;IF($L124="No","Core did not reach the mineral contact — the full-profile stock is a MINIMUM, not the whole store. ","")&amp;IF(AND(ISNUMBER($K124),$K124&lt;PEATLAND_MIN_DEPTH_CM),"Organic depth under "&amp;PEATLAND_MIN_DEPTH_CM&amp;" cm: by the guide's definition this is not peatland. Report it, but say so. ","")&amp;IF(AND(ISNUMBER($J124),$J124&lt;QC_RECOVERY_MIN),"Recovered only "&amp;TEXT($J124,"0%")&amp;" of the bore depth — the chamber probably did not fill completely. Material is missing, which is not the same as compaction. ","")&amp;IF(AND(ISNUMBER($J124),$J124&gt;1.05),"Recovered more than the bore depth — check the two measurements. ","")&amp;IF(AND(ISNUMBER($I124),$I124&gt;2),"Surface compaction of "&amp;$I124&amp;" cm: depths in this core sit shallower than in the ground, so depth-limited stock is biased. Full-profile stock is unaffected. ",""))</f>
        <v/>
      </c>
      <c r="V124" s="14"/>
    </row>
    <row r="125" spans="1:22" ht="15.75" customHeight="1"/>
    <row r="126" spans="1:22" ht="15.75" customHeight="1"/>
    <row r="127" spans="1:22" ht="15.75" customHeight="1"/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V2"/>
  </mergeCells>
  <dataValidations count="2">
    <dataValidation type="list" allowBlank="1" sqref="L5:L124" xr:uid="{00000000-0002-0000-0200-000000000000}">
      <formula1>"Yes,No,Unsure"</formula1>
    </dataValidation>
    <dataValidation type="list" allowBlank="1" sqref="P5:P124" xr:uid="{00000000-0002-0000-0200-000001000000}">
      <formula1>"Yes,No"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3"/>
  <sheetViews>
    <sheetView zoomScale="50" zoomScaleNormal="5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:B26"/>
    </sheetView>
  </sheetViews>
  <sheetFormatPr defaultColWidth="14.453125" defaultRowHeight="15" customHeight="1"/>
  <cols>
    <col min="1" max="1" width="12" customWidth="1"/>
    <col min="2" max="2" width="13" customWidth="1"/>
    <col min="3" max="3" width="8" customWidth="1"/>
    <col min="4" max="4" width="10" customWidth="1"/>
    <col min="5" max="5" width="11" customWidth="1"/>
    <col min="6" max="6" width="12" customWidth="1"/>
    <col min="7" max="7" width="11" customWidth="1"/>
    <col min="8" max="8" width="10" customWidth="1"/>
    <col min="9" max="9" width="19" customWidth="1"/>
    <col min="10" max="10" width="12" customWidth="1"/>
    <col min="11" max="12" width="11" customWidth="1"/>
    <col min="13" max="13" width="12" customWidth="1"/>
    <col min="14" max="14" width="11" customWidth="1"/>
    <col min="15" max="17" width="15" customWidth="1"/>
    <col min="18" max="18" width="13" hidden="1" customWidth="1"/>
    <col min="19" max="19" width="16" customWidth="1"/>
    <col min="20" max="20" width="46" customWidth="1"/>
    <col min="21" max="21" width="26" customWidth="1"/>
    <col min="22" max="26" width="8.7265625" customWidth="1"/>
  </cols>
  <sheetData>
    <row r="1" spans="1:21" ht="18.5">
      <c r="A1" s="1" t="s">
        <v>2</v>
      </c>
    </row>
    <row r="2" spans="1:21" ht="54" customHeight="1">
      <c r="A2" s="43" t="s">
        <v>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4" spans="1:21" ht="42" customHeight="1">
      <c r="A4" s="5" t="s">
        <v>8</v>
      </c>
      <c r="B4" s="5" t="s">
        <v>9</v>
      </c>
      <c r="C4" s="5" t="s">
        <v>17</v>
      </c>
      <c r="D4" s="5" t="s">
        <v>20</v>
      </c>
      <c r="E4" s="5" t="s">
        <v>25</v>
      </c>
      <c r="F4" s="5" t="s">
        <v>28</v>
      </c>
      <c r="G4" s="5" t="s">
        <v>33</v>
      </c>
      <c r="H4" s="5" t="s">
        <v>35</v>
      </c>
      <c r="I4" s="5" t="s">
        <v>36</v>
      </c>
      <c r="J4" s="5" t="s">
        <v>37</v>
      </c>
      <c r="K4" s="5" t="s">
        <v>39</v>
      </c>
      <c r="L4" s="5" t="s">
        <v>41</v>
      </c>
      <c r="M4" s="5" t="s">
        <v>43</v>
      </c>
      <c r="N4" s="5" t="s">
        <v>51</v>
      </c>
      <c r="O4" s="5" t="s">
        <v>54</v>
      </c>
      <c r="P4" s="5" t="s">
        <v>57</v>
      </c>
      <c r="Q4" s="5" t="s">
        <v>63</v>
      </c>
      <c r="R4" s="5" t="s">
        <v>65</v>
      </c>
      <c r="S4" s="5" t="s">
        <v>67</v>
      </c>
      <c r="T4" s="5" t="s">
        <v>70</v>
      </c>
      <c r="U4" s="5" t="s">
        <v>32</v>
      </c>
    </row>
    <row r="5" spans="1:21" ht="49.5" customHeight="1">
      <c r="A5" s="42" t="s">
        <v>320</v>
      </c>
      <c r="B5" s="42" t="s">
        <v>320</v>
      </c>
      <c r="C5" s="14">
        <v>1</v>
      </c>
      <c r="D5" s="42" t="s">
        <v>320</v>
      </c>
      <c r="E5" s="14">
        <v>0</v>
      </c>
      <c r="F5" s="14">
        <v>14.5</v>
      </c>
      <c r="G5" s="14">
        <f t="shared" ref="G5:G26" si="0">IF(AND(ISNUMBER($E5),ISNUMBER($F5)),$F5-$E5,"")</f>
        <v>14.5</v>
      </c>
      <c r="H5" s="14"/>
      <c r="I5" s="7" t="s">
        <v>122</v>
      </c>
      <c r="J5" s="42">
        <v>9.2899999999999996E-2</v>
      </c>
      <c r="K5" s="17"/>
      <c r="L5" s="42">
        <v>39.1</v>
      </c>
      <c r="M5" s="42">
        <v>22.7</v>
      </c>
      <c r="N5" s="18">
        <f t="shared" ref="N5:N61" si="1">IF($M5&lt;&gt;"",$M5,IF($L5&lt;&gt;"",$L5*CARBON_FRACTION_OM,""))</f>
        <v>22.7</v>
      </c>
      <c r="O5" s="16">
        <f t="shared" ref="O5:O26" si="2">IF(AND(ISNUMBER($E5),ISNUMBER($F5)),MAX(0,MIN($F5,REFERENCE_DEPTH_CM)-MIN($E5,REFERENCE_DEPTH_CM)),"")</f>
        <v>14.5</v>
      </c>
      <c r="P5" s="16">
        <f t="shared" ref="P5:P26" si="3">IF(AND(ISNUMBER($J5),ISNUMBER($N5),ISNUMBER($G5)),$J5*($N5/100)*$G5*10,"")</f>
        <v>3.0578034999999999</v>
      </c>
      <c r="Q5" s="16">
        <f t="shared" ref="Q5:Q26" si="4">IF(AND(ISNUMBER($J5),ISNUMBER($N5),ISNUMBER($O5)),$J5*($N5/100)*$O5*10,"")</f>
        <v>3.0578034999999999</v>
      </c>
      <c r="R5" s="16">
        <f t="shared" ref="R5:R61" si="5">IF(OR(NOT(ISNUMBER($P5)),NOT(ISNUMBER($G5)),$G5=0),0,$P5/$G5)</f>
        <v>0.21088299999999999</v>
      </c>
      <c r="S5" s="16">
        <f>IF(OR($B5="",NOT(ISNUMBER($F5))),"",SUMIFS(community_cores_FS!$P$5:$P$597,community_cores_FS!$B$5:$B$597,$B5,community_cores_FS!$F$5:$F$597,"&lt;="&amp;$F5))</f>
        <v>3.0578034999999999</v>
      </c>
      <c r="T5" s="16" t="str">
        <f t="shared" ref="T5:T22" si="6">IF(OR($B5="",$J5="",$M5=""),"Missing input",IF(OR($J5&lt;0.02,$J5&gt;1.2,$M5&lt;0,$M5&gt;60),"Check density or carbon units",IF($F5&gt;REFERENCE_DEPTH_CM,"Below reference depth; included in sampled profile only","")))</f>
        <v/>
      </c>
      <c r="U5" s="7"/>
    </row>
    <row r="6" spans="1:21" ht="49.5" customHeight="1">
      <c r="A6" s="42" t="s">
        <v>321</v>
      </c>
      <c r="B6" s="42" t="s">
        <v>321</v>
      </c>
      <c r="C6" s="14">
        <v>1</v>
      </c>
      <c r="D6" s="42" t="s">
        <v>327</v>
      </c>
      <c r="E6" s="14">
        <v>0</v>
      </c>
      <c r="F6" s="14">
        <v>15.2</v>
      </c>
      <c r="G6" s="14">
        <f t="shared" si="0"/>
        <v>15.2</v>
      </c>
      <c r="H6" s="14" t="s">
        <v>116</v>
      </c>
      <c r="I6" s="7" t="s">
        <v>122</v>
      </c>
      <c r="J6" s="42">
        <v>8.2699999999999996E-2</v>
      </c>
      <c r="K6" s="17"/>
      <c r="L6" s="42">
        <v>39.1</v>
      </c>
      <c r="M6" s="42">
        <v>22.7</v>
      </c>
      <c r="N6" s="18">
        <f t="shared" si="1"/>
        <v>22.7</v>
      </c>
      <c r="O6" s="16">
        <f t="shared" si="2"/>
        <v>15.2</v>
      </c>
      <c r="P6" s="16">
        <f t="shared" si="3"/>
        <v>2.8534807999999994</v>
      </c>
      <c r="Q6" s="16">
        <f t="shared" si="4"/>
        <v>2.8534807999999994</v>
      </c>
      <c r="R6" s="16">
        <f t="shared" si="5"/>
        <v>0.18772899999999998</v>
      </c>
      <c r="S6" s="16">
        <f>IF(OR($B6="",NOT(ISNUMBER($F6))),"",SUMIFS(community_cores_FS!$P$5:$P$597,community_cores_FS!$B$5:$B$597,$B6,community_cores_FS!$F$5:$F$597,"&lt;="&amp;$F6))</f>
        <v>2.8534807999999994</v>
      </c>
      <c r="T6" s="16" t="str">
        <f t="shared" si="6"/>
        <v/>
      </c>
      <c r="U6" s="7"/>
    </row>
    <row r="7" spans="1:21" ht="49.5" customHeight="1">
      <c r="A7" s="42" t="s">
        <v>321</v>
      </c>
      <c r="B7" s="42" t="s">
        <v>321</v>
      </c>
      <c r="C7" s="14">
        <v>1</v>
      </c>
      <c r="D7" s="42" t="s">
        <v>328</v>
      </c>
      <c r="E7" s="14">
        <v>15.2</v>
      </c>
      <c r="F7" s="14">
        <v>20.7</v>
      </c>
      <c r="G7" s="14">
        <f t="shared" si="0"/>
        <v>5.5</v>
      </c>
      <c r="H7" s="14"/>
      <c r="I7" s="7" t="s">
        <v>122</v>
      </c>
      <c r="J7" s="42">
        <v>0.26619999999999999</v>
      </c>
      <c r="K7" s="17"/>
      <c r="L7" s="42">
        <v>2.71</v>
      </c>
      <c r="M7" s="42">
        <v>1.57</v>
      </c>
      <c r="N7" s="18">
        <f t="shared" si="1"/>
        <v>1.57</v>
      </c>
      <c r="O7" s="16">
        <f t="shared" si="2"/>
        <v>5.5</v>
      </c>
      <c r="P7" s="16">
        <f t="shared" si="3"/>
        <v>0.2298637</v>
      </c>
      <c r="Q7" s="16">
        <f t="shared" si="4"/>
        <v>0.2298637</v>
      </c>
      <c r="R7" s="16">
        <f t="shared" si="5"/>
        <v>4.1793400000000001E-2</v>
      </c>
      <c r="S7" s="16">
        <f>IF(OR($B7="",NOT(ISNUMBER($F7))),"",SUMIFS(community_cores_FS!$P$5:$P$597,community_cores_FS!$B$5:$B$597,$B7,community_cores_FS!$F$5:$F$597,"&lt;="&amp;$F7))</f>
        <v>3.0833444999999995</v>
      </c>
      <c r="T7" s="16" t="str">
        <f t="shared" si="6"/>
        <v/>
      </c>
      <c r="U7" s="7"/>
    </row>
    <row r="8" spans="1:21" ht="49.5" customHeight="1">
      <c r="A8" s="42" t="s">
        <v>322</v>
      </c>
      <c r="B8" s="42" t="s">
        <v>322</v>
      </c>
      <c r="C8" s="14">
        <v>1</v>
      </c>
      <c r="D8" s="42" t="s">
        <v>329</v>
      </c>
      <c r="E8" s="14">
        <v>0</v>
      </c>
      <c r="F8" s="14">
        <v>8.625</v>
      </c>
      <c r="G8" s="14">
        <f t="shared" si="0"/>
        <v>8.625</v>
      </c>
      <c r="H8" s="14"/>
      <c r="I8" s="7" t="s">
        <v>122</v>
      </c>
      <c r="J8" s="42">
        <v>5.0099999999999999E-2</v>
      </c>
      <c r="K8" s="17"/>
      <c r="L8" s="42">
        <v>62.9</v>
      </c>
      <c r="M8" s="42">
        <v>36.5</v>
      </c>
      <c r="N8" s="18">
        <f t="shared" si="1"/>
        <v>36.5</v>
      </c>
      <c r="O8" s="16">
        <f t="shared" si="2"/>
        <v>8.625</v>
      </c>
      <c r="P8" s="16">
        <f t="shared" si="3"/>
        <v>1.5772106250000002</v>
      </c>
      <c r="Q8" s="16">
        <f t="shared" si="4"/>
        <v>1.5772106250000002</v>
      </c>
      <c r="R8" s="16">
        <f t="shared" si="5"/>
        <v>0.18286500000000003</v>
      </c>
      <c r="S8" s="16">
        <f>IF(OR($B8="",NOT(ISNUMBER($F8))),"",SUMIFS(community_cores_FS!$P$5:$P$597,community_cores_FS!$B$5:$B$597,$B8,community_cores_FS!$F$5:$F$597,"&lt;="&amp;$F8))</f>
        <v>1.5772106250000002</v>
      </c>
      <c r="T8" s="16" t="str">
        <f t="shared" si="6"/>
        <v/>
      </c>
      <c r="U8" s="7"/>
    </row>
    <row r="9" spans="1:21" ht="49.5" customHeight="1">
      <c r="A9" s="42" t="s">
        <v>322</v>
      </c>
      <c r="B9" s="42" t="s">
        <v>322</v>
      </c>
      <c r="C9" s="14">
        <v>1</v>
      </c>
      <c r="D9" s="42" t="s">
        <v>330</v>
      </c>
      <c r="E9" s="14">
        <v>8.625</v>
      </c>
      <c r="F9" s="14">
        <v>17.725000000000001</v>
      </c>
      <c r="G9" s="14">
        <f t="shared" si="0"/>
        <v>9.1000000000000014</v>
      </c>
      <c r="H9" s="14"/>
      <c r="I9" s="7" t="s">
        <v>122</v>
      </c>
      <c r="J9" s="42">
        <v>7.5899999999999995E-2</v>
      </c>
      <c r="K9" s="17"/>
      <c r="L9" s="42">
        <v>73.099999999999994</v>
      </c>
      <c r="M9" s="42">
        <v>42.4</v>
      </c>
      <c r="N9" s="18">
        <f t="shared" si="1"/>
        <v>42.4</v>
      </c>
      <c r="O9" s="16">
        <f t="shared" si="2"/>
        <v>9.1000000000000014</v>
      </c>
      <c r="P9" s="16">
        <f t="shared" si="3"/>
        <v>2.9285256000000004</v>
      </c>
      <c r="Q9" s="16">
        <f t="shared" si="4"/>
        <v>2.9285256000000004</v>
      </c>
      <c r="R9" s="16">
        <f t="shared" si="5"/>
        <v>0.32181599999999999</v>
      </c>
      <c r="S9" s="16">
        <f>IF(OR($B9="",NOT(ISNUMBER($F9))),"",SUMIFS(community_cores_FS!$P$5:$P$597,community_cores_FS!$B$5:$B$597,$B9,community_cores_FS!$F$5:$F$597,"&lt;="&amp;$F9))</f>
        <v>4.5057362250000006</v>
      </c>
      <c r="T9" s="16" t="str">
        <f t="shared" si="6"/>
        <v/>
      </c>
      <c r="U9" s="7"/>
    </row>
    <row r="10" spans="1:21" ht="49.5" customHeight="1">
      <c r="A10" s="42" t="s">
        <v>322</v>
      </c>
      <c r="B10" s="42" t="s">
        <v>322</v>
      </c>
      <c r="C10" s="14">
        <v>1</v>
      </c>
      <c r="D10" s="42" t="s">
        <v>331</v>
      </c>
      <c r="E10" s="14">
        <v>17.725000000000001</v>
      </c>
      <c r="F10" s="14">
        <v>25.225000000000001</v>
      </c>
      <c r="G10" s="14">
        <f t="shared" si="0"/>
        <v>7.5</v>
      </c>
      <c r="H10" s="14"/>
      <c r="I10" s="7" t="s">
        <v>122</v>
      </c>
      <c r="J10" s="42">
        <v>0.1459</v>
      </c>
      <c r="K10" s="17"/>
      <c r="L10" s="42">
        <v>67.099999999999994</v>
      </c>
      <c r="M10" s="42">
        <v>38.9</v>
      </c>
      <c r="N10" s="18">
        <f t="shared" si="1"/>
        <v>38.9</v>
      </c>
      <c r="O10" s="16">
        <f t="shared" si="2"/>
        <v>7.5</v>
      </c>
      <c r="P10" s="16">
        <f t="shared" si="3"/>
        <v>4.2566325000000003</v>
      </c>
      <c r="Q10" s="16">
        <f t="shared" si="4"/>
        <v>4.2566325000000003</v>
      </c>
      <c r="R10" s="16">
        <f t="shared" si="5"/>
        <v>0.56755100000000003</v>
      </c>
      <c r="S10" s="16">
        <f>IF(OR($B10="",NOT(ISNUMBER($F10))),"",SUMIFS(community_cores_FS!$P$5:$P$597,community_cores_FS!$B$5:$B$597,$B10,community_cores_FS!$F$5:$F$597,"&lt;="&amp;$F10))</f>
        <v>8.7623687250000017</v>
      </c>
      <c r="T10" s="16" t="str">
        <f t="shared" si="6"/>
        <v/>
      </c>
      <c r="U10" s="7"/>
    </row>
    <row r="11" spans="1:21" ht="49.5" customHeight="1">
      <c r="A11" s="42" t="s">
        <v>322</v>
      </c>
      <c r="B11" s="42" t="s">
        <v>322</v>
      </c>
      <c r="C11" s="14">
        <v>1</v>
      </c>
      <c r="D11" s="42" t="s">
        <v>332</v>
      </c>
      <c r="E11" s="14">
        <v>25.225000000000001</v>
      </c>
      <c r="F11" s="14">
        <v>30.725000000000001</v>
      </c>
      <c r="G11" s="14">
        <f t="shared" si="0"/>
        <v>5.5</v>
      </c>
      <c r="H11" s="14"/>
      <c r="I11" s="7" t="s">
        <v>122</v>
      </c>
      <c r="J11" s="42">
        <v>0.22869999999999999</v>
      </c>
      <c r="K11" s="17"/>
      <c r="L11" s="42">
        <v>18.399999999999999</v>
      </c>
      <c r="M11" s="42">
        <v>10.7</v>
      </c>
      <c r="N11" s="18">
        <f t="shared" si="1"/>
        <v>10.7</v>
      </c>
      <c r="O11" s="16">
        <f t="shared" si="2"/>
        <v>5.5</v>
      </c>
      <c r="P11" s="16">
        <f t="shared" si="3"/>
        <v>1.3458994999999998</v>
      </c>
      <c r="Q11" s="16">
        <f t="shared" si="4"/>
        <v>1.3458994999999998</v>
      </c>
      <c r="R11" s="16">
        <f t="shared" si="5"/>
        <v>0.24470899999999995</v>
      </c>
      <c r="S11" s="16">
        <f>IF(OR($B11="",NOT(ISNUMBER($F11))),"",SUMIFS(community_cores_FS!$P$5:$P$597,community_cores_FS!$B$5:$B$597,$B11,community_cores_FS!$F$5:$F$597,"&lt;="&amp;$F11))</f>
        <v>10.108268225000002</v>
      </c>
      <c r="T11" s="16" t="str">
        <f t="shared" si="6"/>
        <v/>
      </c>
      <c r="U11" s="7"/>
    </row>
    <row r="12" spans="1:21" ht="49.5" customHeight="1">
      <c r="A12" s="42" t="s">
        <v>333</v>
      </c>
      <c r="B12" s="42" t="s">
        <v>333</v>
      </c>
      <c r="C12" s="14">
        <v>1</v>
      </c>
      <c r="D12" s="42" t="s">
        <v>334</v>
      </c>
      <c r="E12" s="14">
        <v>0</v>
      </c>
      <c r="F12" s="14">
        <v>10</v>
      </c>
      <c r="G12" s="14">
        <f t="shared" si="0"/>
        <v>10</v>
      </c>
      <c r="H12" s="14"/>
      <c r="I12" s="7" t="s">
        <v>122</v>
      </c>
      <c r="J12" s="42">
        <v>0.279483076</v>
      </c>
      <c r="K12" s="17"/>
      <c r="L12" s="42">
        <v>15.6</v>
      </c>
      <c r="M12" s="42">
        <v>8.6</v>
      </c>
      <c r="N12" s="18">
        <f t="shared" si="1"/>
        <v>8.6</v>
      </c>
      <c r="O12" s="16">
        <f t="shared" si="2"/>
        <v>10</v>
      </c>
      <c r="P12" s="16">
        <f t="shared" si="3"/>
        <v>2.4035544536</v>
      </c>
      <c r="Q12" s="16">
        <f t="shared" si="4"/>
        <v>2.4035544536</v>
      </c>
      <c r="R12" s="16">
        <f t="shared" si="5"/>
        <v>0.24035544536</v>
      </c>
      <c r="S12" s="16">
        <f>IF(OR($B12="",NOT(ISNUMBER($F12))),"",SUMIFS(community_cores_FS!$P$5:$P$597,community_cores_FS!$B$5:$B$597,$B12,community_cores_FS!$F$5:$F$597,"&lt;="&amp;$F12))</f>
        <v>2.4035544536</v>
      </c>
      <c r="T12" s="16" t="str">
        <f t="shared" si="6"/>
        <v/>
      </c>
      <c r="U12" s="7"/>
    </row>
    <row r="13" spans="1:21" ht="49.5" customHeight="1">
      <c r="A13" s="42" t="s">
        <v>333</v>
      </c>
      <c r="B13" s="42" t="s">
        <v>333</v>
      </c>
      <c r="C13" s="14">
        <v>1</v>
      </c>
      <c r="D13" s="42" t="s">
        <v>335</v>
      </c>
      <c r="E13" s="14">
        <v>10</v>
      </c>
      <c r="F13" s="14">
        <v>20</v>
      </c>
      <c r="G13" s="14">
        <f t="shared" si="0"/>
        <v>10</v>
      </c>
      <c r="H13" s="14"/>
      <c r="I13" s="7" t="s">
        <v>122</v>
      </c>
      <c r="J13" s="42">
        <v>2.0365201069999999</v>
      </c>
      <c r="K13" s="17"/>
      <c r="L13" s="42">
        <v>2.1</v>
      </c>
      <c r="M13" s="42">
        <v>1.1000000000000001</v>
      </c>
      <c r="N13" s="18">
        <f t="shared" si="1"/>
        <v>1.1000000000000001</v>
      </c>
      <c r="O13" s="16">
        <f t="shared" si="2"/>
        <v>10</v>
      </c>
      <c r="P13" s="16">
        <f t="shared" si="3"/>
        <v>2.2401721177000002</v>
      </c>
      <c r="Q13" s="16">
        <f t="shared" si="4"/>
        <v>2.2401721177000002</v>
      </c>
      <c r="R13" s="16">
        <f t="shared" si="5"/>
        <v>0.22401721177000003</v>
      </c>
      <c r="S13" s="16">
        <f>IF(OR($B13="",NOT(ISNUMBER($F13))),"",SUMIFS(community_cores_FS!$P$5:$P$597,community_cores_FS!$B$5:$B$597,$B13,community_cores_FS!$F$5:$F$597,"&lt;="&amp;$F13))</f>
        <v>4.6437265713000002</v>
      </c>
      <c r="T13" s="16" t="str">
        <f t="shared" si="6"/>
        <v>Check density or carbon units</v>
      </c>
      <c r="U13" s="7"/>
    </row>
    <row r="14" spans="1:21" ht="49.5" customHeight="1">
      <c r="A14" s="42" t="s">
        <v>333</v>
      </c>
      <c r="B14" s="42" t="s">
        <v>333</v>
      </c>
      <c r="C14" s="14">
        <v>1</v>
      </c>
      <c r="D14" s="42" t="s">
        <v>336</v>
      </c>
      <c r="E14" s="14">
        <v>20</v>
      </c>
      <c r="F14" s="14">
        <v>30</v>
      </c>
      <c r="G14" s="14">
        <f t="shared" si="0"/>
        <v>10</v>
      </c>
      <c r="H14" s="14"/>
      <c r="I14" s="7" t="s">
        <v>122</v>
      </c>
      <c r="J14" s="42">
        <v>1.6241369029999999</v>
      </c>
      <c r="K14" s="17"/>
      <c r="L14" s="42">
        <v>1.6</v>
      </c>
      <c r="M14" s="42">
        <v>0.9</v>
      </c>
      <c r="N14" s="18">
        <f t="shared" si="1"/>
        <v>0.9</v>
      </c>
      <c r="O14" s="16">
        <f t="shared" si="2"/>
        <v>10</v>
      </c>
      <c r="P14" s="16">
        <f t="shared" si="3"/>
        <v>1.4617232127000002</v>
      </c>
      <c r="Q14" s="16">
        <f t="shared" si="4"/>
        <v>1.4617232127000002</v>
      </c>
      <c r="R14" s="16">
        <f t="shared" si="5"/>
        <v>0.14617232127000002</v>
      </c>
      <c r="S14" s="16">
        <f>IF(OR($B14="",NOT(ISNUMBER($F14))),"",SUMIFS(community_cores_FS!$P$5:$P$597,community_cores_FS!$B$5:$B$597,$B14,community_cores_FS!$F$5:$F$597,"&lt;="&amp;$F14))</f>
        <v>6.1054497840000002</v>
      </c>
      <c r="T14" s="16" t="str">
        <f t="shared" si="6"/>
        <v>Check density or carbon units</v>
      </c>
      <c r="U14" s="7"/>
    </row>
    <row r="15" spans="1:21" ht="49.5" customHeight="1">
      <c r="A15" s="42" t="s">
        <v>318</v>
      </c>
      <c r="B15" s="42" t="s">
        <v>318</v>
      </c>
      <c r="C15" s="14">
        <v>1</v>
      </c>
      <c r="D15" s="42" t="s">
        <v>337</v>
      </c>
      <c r="E15" s="14">
        <v>0</v>
      </c>
      <c r="F15" s="14">
        <v>10</v>
      </c>
      <c r="G15" s="14">
        <f t="shared" si="0"/>
        <v>10</v>
      </c>
      <c r="H15" s="14"/>
      <c r="I15" s="7" t="s">
        <v>122</v>
      </c>
      <c r="J15" s="42">
        <v>1.974657034</v>
      </c>
      <c r="K15" s="17"/>
      <c r="L15" s="42">
        <v>5.5</v>
      </c>
      <c r="M15" s="42">
        <v>3.1</v>
      </c>
      <c r="N15" s="18">
        <f t="shared" si="1"/>
        <v>3.1</v>
      </c>
      <c r="O15" s="16">
        <f t="shared" si="2"/>
        <v>10</v>
      </c>
      <c r="P15" s="16">
        <f t="shared" si="3"/>
        <v>6.1214368054000001</v>
      </c>
      <c r="Q15" s="16">
        <f t="shared" si="4"/>
        <v>6.1214368054000001</v>
      </c>
      <c r="R15" s="16">
        <f t="shared" si="5"/>
        <v>0.61214368054000001</v>
      </c>
      <c r="S15" s="16">
        <f>IF(OR($B15="",NOT(ISNUMBER($F15))),"",SUMIFS(community_cores_FS!$P$5:$P$597,community_cores_FS!$B$5:$B$597,$B15,community_cores_FS!$F$5:$F$597,"&lt;="&amp;$F15))</f>
        <v>6.1214368054000001</v>
      </c>
      <c r="T15" s="16" t="str">
        <f t="shared" si="6"/>
        <v>Check density or carbon units</v>
      </c>
      <c r="U15" s="7"/>
    </row>
    <row r="16" spans="1:21" ht="49.5" customHeight="1">
      <c r="A16" s="42" t="s">
        <v>318</v>
      </c>
      <c r="B16" s="42" t="s">
        <v>318</v>
      </c>
      <c r="C16" s="14">
        <v>1</v>
      </c>
      <c r="D16" s="42" t="s">
        <v>338</v>
      </c>
      <c r="E16" s="14">
        <v>10</v>
      </c>
      <c r="F16" s="14">
        <v>20</v>
      </c>
      <c r="G16" s="14">
        <f t="shared" si="0"/>
        <v>10</v>
      </c>
      <c r="H16" s="14"/>
      <c r="I16" s="7" t="s">
        <v>122</v>
      </c>
      <c r="J16" s="42">
        <v>0.99685945899999995</v>
      </c>
      <c r="K16" s="17"/>
      <c r="L16" s="42">
        <v>3.2</v>
      </c>
      <c r="M16" s="42">
        <v>1.8</v>
      </c>
      <c r="N16" s="18">
        <f t="shared" si="1"/>
        <v>1.8</v>
      </c>
      <c r="O16" s="16">
        <f t="shared" si="2"/>
        <v>10</v>
      </c>
      <c r="P16" s="16">
        <f t="shared" si="3"/>
        <v>1.7943470262000001</v>
      </c>
      <c r="Q16" s="16">
        <f t="shared" si="4"/>
        <v>1.7943470262000001</v>
      </c>
      <c r="R16" s="16">
        <f t="shared" si="5"/>
        <v>0.17943470262</v>
      </c>
      <c r="S16" s="16">
        <f>IF(OR($B16="",NOT(ISNUMBER($F16))),"",SUMIFS(community_cores_FS!$P$5:$P$597,community_cores_FS!$B$5:$B$597,$B16,community_cores_FS!$F$5:$F$597,"&lt;="&amp;$F16))</f>
        <v>7.9157838316000007</v>
      </c>
      <c r="T16" s="16" t="str">
        <f t="shared" si="6"/>
        <v/>
      </c>
      <c r="U16" s="7"/>
    </row>
    <row r="17" spans="1:21" ht="49.5" customHeight="1">
      <c r="A17" s="42" t="s">
        <v>318</v>
      </c>
      <c r="B17" s="42" t="s">
        <v>318</v>
      </c>
      <c r="C17" s="14">
        <v>1</v>
      </c>
      <c r="D17" s="42" t="s">
        <v>339</v>
      </c>
      <c r="E17" s="14">
        <v>20</v>
      </c>
      <c r="F17" s="14">
        <v>30</v>
      </c>
      <c r="G17" s="14">
        <f t="shared" si="0"/>
        <v>10</v>
      </c>
      <c r="H17" s="14"/>
      <c r="I17" s="7" t="s">
        <v>122</v>
      </c>
      <c r="J17" s="42">
        <v>1.0537351349999999</v>
      </c>
      <c r="K17" s="17"/>
      <c r="L17" s="42">
        <v>1.5</v>
      </c>
      <c r="M17" s="42">
        <v>0.8</v>
      </c>
      <c r="N17" s="18">
        <f t="shared" si="1"/>
        <v>0.8</v>
      </c>
      <c r="O17" s="16">
        <f t="shared" si="2"/>
        <v>10</v>
      </c>
      <c r="P17" s="16">
        <f t="shared" si="3"/>
        <v>0.84298810800000001</v>
      </c>
      <c r="Q17" s="16">
        <f t="shared" si="4"/>
        <v>0.84298810800000001</v>
      </c>
      <c r="R17" s="16">
        <f t="shared" si="5"/>
        <v>8.4298810799999999E-2</v>
      </c>
      <c r="S17" s="16">
        <f>IF(OR($B17="",NOT(ISNUMBER($F17))),"",SUMIFS(community_cores_FS!$P$5:$P$597,community_cores_FS!$B$5:$B$597,$B17,community_cores_FS!$F$5:$F$597,"&lt;="&amp;$F17))</f>
        <v>8.7587719396000008</v>
      </c>
      <c r="T17" s="16" t="str">
        <f t="shared" si="6"/>
        <v/>
      </c>
      <c r="U17" s="7"/>
    </row>
    <row r="18" spans="1:21" ht="49.5" customHeight="1">
      <c r="A18" s="42" t="s">
        <v>317</v>
      </c>
      <c r="B18" s="42" t="s">
        <v>317</v>
      </c>
      <c r="C18" s="14">
        <v>1</v>
      </c>
      <c r="D18" s="42" t="s">
        <v>340</v>
      </c>
      <c r="E18" s="14">
        <v>0</v>
      </c>
      <c r="F18" s="14">
        <v>10</v>
      </c>
      <c r="G18" s="14">
        <f t="shared" si="0"/>
        <v>10</v>
      </c>
      <c r="H18" s="14"/>
      <c r="I18" s="7" t="s">
        <v>122</v>
      </c>
      <c r="J18" s="42">
        <v>2.0632819320000002</v>
      </c>
      <c r="K18" s="17"/>
      <c r="L18" s="42">
        <v>1.8</v>
      </c>
      <c r="M18" s="42">
        <v>1</v>
      </c>
      <c r="N18" s="18">
        <f t="shared" si="1"/>
        <v>1</v>
      </c>
      <c r="O18" s="16">
        <f t="shared" si="2"/>
        <v>10</v>
      </c>
      <c r="P18" s="16">
        <f t="shared" si="3"/>
        <v>2.0632819320000002</v>
      </c>
      <c r="Q18" s="16">
        <f t="shared" si="4"/>
        <v>2.0632819320000002</v>
      </c>
      <c r="R18" s="16">
        <f t="shared" si="5"/>
        <v>0.20632819320000001</v>
      </c>
      <c r="S18" s="16">
        <f>IF(OR($B18="",NOT(ISNUMBER($F18))),"",SUMIFS(community_cores_FS!$P$5:$P$597,community_cores_FS!$B$5:$B$597,$B18,community_cores_FS!$F$5:$F$597,"&lt;="&amp;$F18))</f>
        <v>2.0632819320000002</v>
      </c>
      <c r="T18" s="16" t="str">
        <f t="shared" si="6"/>
        <v>Check density or carbon units</v>
      </c>
      <c r="U18" s="7"/>
    </row>
    <row r="19" spans="1:21" ht="49.5" customHeight="1">
      <c r="A19" s="42" t="s">
        <v>317</v>
      </c>
      <c r="B19" s="42" t="s">
        <v>317</v>
      </c>
      <c r="C19" s="14">
        <v>1</v>
      </c>
      <c r="D19" s="42" t="s">
        <v>341</v>
      </c>
      <c r="E19" s="14">
        <v>10</v>
      </c>
      <c r="F19" s="14">
        <v>20</v>
      </c>
      <c r="G19" s="14">
        <f t="shared" si="0"/>
        <v>10</v>
      </c>
      <c r="H19" s="14"/>
      <c r="I19" s="7" t="s">
        <v>122</v>
      </c>
      <c r="J19" s="42">
        <v>2.1814324510000001</v>
      </c>
      <c r="K19" s="17"/>
      <c r="L19" s="42">
        <v>0.9</v>
      </c>
      <c r="M19" s="42">
        <v>0.5</v>
      </c>
      <c r="N19" s="18">
        <f t="shared" si="1"/>
        <v>0.5</v>
      </c>
      <c r="O19" s="16">
        <f t="shared" si="2"/>
        <v>10</v>
      </c>
      <c r="P19" s="16">
        <f t="shared" si="3"/>
        <v>1.0907162255</v>
      </c>
      <c r="Q19" s="16">
        <f t="shared" si="4"/>
        <v>1.0907162255</v>
      </c>
      <c r="R19" s="16">
        <f t="shared" si="5"/>
        <v>0.10907162255</v>
      </c>
      <c r="S19" s="16">
        <f>IF(OR($B19="",NOT(ISNUMBER($F19))),"",SUMIFS(community_cores_FS!$P$5:$P$597,community_cores_FS!$B$5:$B$597,$B19,community_cores_FS!$F$5:$F$597,"&lt;="&amp;$F19))</f>
        <v>3.1539981575000002</v>
      </c>
      <c r="T19" s="16" t="str">
        <f t="shared" si="6"/>
        <v>Check density or carbon units</v>
      </c>
      <c r="U19" s="7"/>
    </row>
    <row r="20" spans="1:21" ht="49.5" customHeight="1">
      <c r="A20" s="42" t="s">
        <v>317</v>
      </c>
      <c r="B20" s="42" t="s">
        <v>317</v>
      </c>
      <c r="C20" s="14">
        <v>1</v>
      </c>
      <c r="D20" s="42" t="s">
        <v>342</v>
      </c>
      <c r="E20" s="14">
        <v>20</v>
      </c>
      <c r="F20" s="14">
        <v>30</v>
      </c>
      <c r="G20" s="14">
        <f t="shared" si="0"/>
        <v>10</v>
      </c>
      <c r="H20" s="14"/>
      <c r="I20" s="7" t="s">
        <v>122</v>
      </c>
      <c r="J20" s="42">
        <v>2.1366099219999999</v>
      </c>
      <c r="K20" s="17"/>
      <c r="L20" s="42">
        <v>0.8</v>
      </c>
      <c r="M20" s="42">
        <v>0.5</v>
      </c>
      <c r="N20" s="18">
        <f t="shared" si="1"/>
        <v>0.5</v>
      </c>
      <c r="O20" s="16">
        <f t="shared" si="2"/>
        <v>10</v>
      </c>
      <c r="P20" s="16">
        <f t="shared" si="3"/>
        <v>1.0683049609999999</v>
      </c>
      <c r="Q20" s="16">
        <f t="shared" si="4"/>
        <v>1.0683049609999999</v>
      </c>
      <c r="R20" s="16">
        <f t="shared" si="5"/>
        <v>0.10683049609999999</v>
      </c>
      <c r="S20" s="16">
        <f>IF(OR($B20="",NOT(ISNUMBER($F20))),"",SUMIFS(community_cores_FS!$P$5:$P$597,community_cores_FS!$B$5:$B$597,$B20,community_cores_FS!$F$5:$F$597,"&lt;="&amp;$F20))</f>
        <v>4.2223031185000002</v>
      </c>
      <c r="T20" s="16" t="str">
        <f t="shared" si="6"/>
        <v>Check density or carbon units</v>
      </c>
      <c r="U20" s="7"/>
    </row>
    <row r="21" spans="1:21" ht="49.5" customHeight="1">
      <c r="A21" s="42" t="s">
        <v>316</v>
      </c>
      <c r="B21" s="42" t="s">
        <v>316</v>
      </c>
      <c r="C21" s="14">
        <v>1</v>
      </c>
      <c r="D21" s="42" t="s">
        <v>343</v>
      </c>
      <c r="E21" s="14">
        <v>0</v>
      </c>
      <c r="F21" s="14">
        <v>10</v>
      </c>
      <c r="G21" s="14">
        <f t="shared" si="0"/>
        <v>10</v>
      </c>
      <c r="H21" s="14"/>
      <c r="I21" s="7" t="s">
        <v>122</v>
      </c>
      <c r="J21" s="42">
        <v>0.74666579099999997</v>
      </c>
      <c r="K21" s="17"/>
      <c r="L21" s="42">
        <v>9.4</v>
      </c>
      <c r="M21" s="42">
        <v>5.2</v>
      </c>
      <c r="N21" s="18">
        <f t="shared" si="1"/>
        <v>5.2</v>
      </c>
      <c r="O21" s="16">
        <f t="shared" si="2"/>
        <v>10</v>
      </c>
      <c r="P21" s="16">
        <f t="shared" si="3"/>
        <v>3.8826621131999999</v>
      </c>
      <c r="Q21" s="16">
        <f t="shared" si="4"/>
        <v>3.8826621131999999</v>
      </c>
      <c r="R21" s="16">
        <f t="shared" si="5"/>
        <v>0.38826621132</v>
      </c>
      <c r="S21" s="16">
        <f>IF(OR($B21="",NOT(ISNUMBER($F21))),"",SUMIFS(community_cores_FS!$P$5:$P$597,community_cores_FS!$B$5:$B$597,$B21,community_cores_FS!$F$5:$F$597,"&lt;="&amp;$F21))</f>
        <v>3.8826621131999999</v>
      </c>
      <c r="T21" s="16" t="str">
        <f t="shared" si="6"/>
        <v/>
      </c>
      <c r="U21" s="7"/>
    </row>
    <row r="22" spans="1:21" ht="49.5" customHeight="1">
      <c r="A22" s="42" t="s">
        <v>316</v>
      </c>
      <c r="B22" s="42" t="s">
        <v>316</v>
      </c>
      <c r="C22" s="14">
        <v>1</v>
      </c>
      <c r="D22" s="42" t="s">
        <v>344</v>
      </c>
      <c r="E22" s="14">
        <v>10</v>
      </c>
      <c r="F22" s="14">
        <v>20</v>
      </c>
      <c r="G22" s="14">
        <f t="shared" si="0"/>
        <v>10</v>
      </c>
      <c r="H22" s="14"/>
      <c r="I22" s="7" t="s">
        <v>122</v>
      </c>
      <c r="J22" s="42">
        <v>1.49701405</v>
      </c>
      <c r="K22" s="17"/>
      <c r="L22" s="42">
        <v>3.5</v>
      </c>
      <c r="M22" s="42">
        <v>1.9</v>
      </c>
      <c r="N22" s="18">
        <f t="shared" si="1"/>
        <v>1.9</v>
      </c>
      <c r="O22" s="16">
        <f t="shared" si="2"/>
        <v>10</v>
      </c>
      <c r="P22" s="16">
        <f t="shared" si="3"/>
        <v>2.8443266950000003</v>
      </c>
      <c r="Q22" s="16">
        <f t="shared" si="4"/>
        <v>2.8443266950000003</v>
      </c>
      <c r="R22" s="16">
        <f t="shared" si="5"/>
        <v>0.28443266950000001</v>
      </c>
      <c r="S22" s="16">
        <f>IF(OR($B22="",NOT(ISNUMBER($F22))),"",SUMIFS(community_cores_FS!$P$5:$P$597,community_cores_FS!$B$5:$B$597,$B22,community_cores_FS!$F$5:$F$597,"&lt;="&amp;$F22))</f>
        <v>6.7269888081999998</v>
      </c>
      <c r="T22" s="16" t="str">
        <f t="shared" si="6"/>
        <v>Check density or carbon units</v>
      </c>
      <c r="U22" s="7"/>
    </row>
    <row r="23" spans="1:21" ht="49.5" customHeight="1">
      <c r="A23" s="42" t="s">
        <v>316</v>
      </c>
      <c r="B23" s="42" t="s">
        <v>316</v>
      </c>
      <c r="C23" s="14">
        <v>1</v>
      </c>
      <c r="D23" s="42" t="s">
        <v>345</v>
      </c>
      <c r="E23" s="14">
        <v>20</v>
      </c>
      <c r="F23" s="14">
        <v>30</v>
      </c>
      <c r="G23" s="14">
        <f t="shared" si="0"/>
        <v>10</v>
      </c>
      <c r="H23" s="14"/>
      <c r="I23" s="7" t="s">
        <v>122</v>
      </c>
      <c r="J23" s="42">
        <v>1.1030484199999999</v>
      </c>
      <c r="K23" s="17"/>
      <c r="L23" s="42">
        <v>2.7</v>
      </c>
      <c r="M23" s="42">
        <v>1.5</v>
      </c>
      <c r="N23" s="18">
        <f t="shared" si="1"/>
        <v>1.5</v>
      </c>
      <c r="O23" s="16">
        <f t="shared" si="2"/>
        <v>10</v>
      </c>
      <c r="P23" s="16">
        <f t="shared" si="3"/>
        <v>1.6545726299999997</v>
      </c>
      <c r="Q23" s="16">
        <f t="shared" si="4"/>
        <v>1.6545726299999997</v>
      </c>
      <c r="R23" s="16">
        <f t="shared" si="5"/>
        <v>0.16545726299999997</v>
      </c>
      <c r="S23" s="16">
        <f>IF(OR($B23="",NOT(ISNUMBER($F23))),"",SUMIFS(community_cores_FS!$P$5:$P$597,community_cores_FS!$B$5:$B$597,$B23,community_cores_FS!$F$5:$F$597,"&lt;="&amp;$F23))</f>
        <v>8.3815614381999985</v>
      </c>
      <c r="T23" s="16" t="str">
        <f t="shared" ref="T23:T26" si="7">IF(OR($B23="",$J23="",$M23=""),"Missing input",IF(OR($J23&lt;0.02,$J23&gt;1.8,$M23&lt;0,$M23&gt;60),"Check density or carbon units",IF($F23&gt;REFERENCE_DEPTH_CM,"Below reference depth; included in sampled profile only","")))</f>
        <v/>
      </c>
      <c r="U23" s="7"/>
    </row>
    <row r="24" spans="1:21" ht="49.5" customHeight="1">
      <c r="A24" s="42" t="s">
        <v>315</v>
      </c>
      <c r="B24" s="42" t="s">
        <v>315</v>
      </c>
      <c r="C24" s="14">
        <v>1</v>
      </c>
      <c r="D24" s="42" t="s">
        <v>346</v>
      </c>
      <c r="E24" s="14">
        <v>0</v>
      </c>
      <c r="F24" s="14">
        <v>10</v>
      </c>
      <c r="G24" s="14">
        <f t="shared" si="0"/>
        <v>10</v>
      </c>
      <c r="H24" s="14"/>
      <c r="I24" s="7" t="s">
        <v>122</v>
      </c>
      <c r="J24" s="42">
        <v>1.762904698</v>
      </c>
      <c r="K24" s="17"/>
      <c r="L24" s="42">
        <v>5.4</v>
      </c>
      <c r="M24" s="42">
        <v>3</v>
      </c>
      <c r="N24" s="18">
        <f t="shared" si="1"/>
        <v>3</v>
      </c>
      <c r="O24" s="16">
        <f t="shared" si="2"/>
        <v>10</v>
      </c>
      <c r="P24" s="16">
        <f t="shared" si="3"/>
        <v>5.2887140939999995</v>
      </c>
      <c r="Q24" s="16">
        <f t="shared" si="4"/>
        <v>5.2887140939999995</v>
      </c>
      <c r="R24" s="16">
        <f t="shared" si="5"/>
        <v>0.52887140939999999</v>
      </c>
      <c r="S24" s="16">
        <f>IF(OR($B24="",NOT(ISNUMBER($F24))),"",SUMIFS(community_cores_FS!$P$5:$P$597,community_cores_FS!$B$5:$B$597,$B24,community_cores_FS!$F$5:$F$597,"&lt;="&amp;$F24))</f>
        <v>5.2887140939999995</v>
      </c>
      <c r="T24" s="16" t="str">
        <f t="shared" si="7"/>
        <v/>
      </c>
      <c r="U24" s="7"/>
    </row>
    <row r="25" spans="1:21" ht="49.5" customHeight="1">
      <c r="A25" s="42" t="s">
        <v>315</v>
      </c>
      <c r="B25" s="42" t="s">
        <v>315</v>
      </c>
      <c r="C25" s="14">
        <v>1</v>
      </c>
      <c r="D25" s="42" t="s">
        <v>347</v>
      </c>
      <c r="E25" s="14">
        <v>10</v>
      </c>
      <c r="F25" s="14">
        <v>20</v>
      </c>
      <c r="G25" s="14">
        <f t="shared" si="0"/>
        <v>10</v>
      </c>
      <c r="H25" s="14"/>
      <c r="I25" s="7" t="s">
        <v>122</v>
      </c>
      <c r="J25" s="42">
        <v>1.5938660600000001</v>
      </c>
      <c r="K25" s="17"/>
      <c r="L25" s="42">
        <v>7.3</v>
      </c>
      <c r="M25" s="42">
        <v>4.0999999999999996</v>
      </c>
      <c r="N25" s="18">
        <f t="shared" si="1"/>
        <v>4.0999999999999996</v>
      </c>
      <c r="O25" s="16">
        <f t="shared" si="2"/>
        <v>10</v>
      </c>
      <c r="P25" s="16">
        <f t="shared" si="3"/>
        <v>6.5348508459999994</v>
      </c>
      <c r="Q25" s="16">
        <f t="shared" si="4"/>
        <v>6.5348508459999994</v>
      </c>
      <c r="R25" s="16">
        <f t="shared" si="5"/>
        <v>0.65348508459999999</v>
      </c>
      <c r="S25" s="16">
        <f>IF(OR($B25="",NOT(ISNUMBER($F25))),"",SUMIFS(community_cores_FS!$P$5:$P$597,community_cores_FS!$B$5:$B$597,$B25,community_cores_FS!$F$5:$F$597,"&lt;="&amp;$F25))</f>
        <v>11.823564939999999</v>
      </c>
      <c r="T25" s="16" t="str">
        <f t="shared" si="7"/>
        <v/>
      </c>
      <c r="U25" s="7"/>
    </row>
    <row r="26" spans="1:21" ht="49.5" customHeight="1">
      <c r="A26" s="42" t="s">
        <v>315</v>
      </c>
      <c r="B26" s="42" t="s">
        <v>315</v>
      </c>
      <c r="C26" s="14">
        <v>1</v>
      </c>
      <c r="D26" s="42" t="s">
        <v>348</v>
      </c>
      <c r="E26" s="14">
        <v>20</v>
      </c>
      <c r="F26" s="14">
        <v>30</v>
      </c>
      <c r="G26" s="14">
        <f t="shared" si="0"/>
        <v>10</v>
      </c>
      <c r="H26" s="14"/>
      <c r="I26" s="7" t="s">
        <v>122</v>
      </c>
      <c r="J26" s="42">
        <v>1.4349644960000001</v>
      </c>
      <c r="K26" s="17"/>
      <c r="L26" s="42">
        <v>3</v>
      </c>
      <c r="M26" s="42">
        <v>1.7</v>
      </c>
      <c r="N26" s="18">
        <f t="shared" si="1"/>
        <v>1.7</v>
      </c>
      <c r="O26" s="16">
        <f t="shared" si="2"/>
        <v>10</v>
      </c>
      <c r="P26" s="16">
        <f t="shared" si="3"/>
        <v>2.4394396432000005</v>
      </c>
      <c r="Q26" s="16">
        <f t="shared" si="4"/>
        <v>2.4394396432000005</v>
      </c>
      <c r="R26" s="16">
        <f t="shared" si="5"/>
        <v>0.24394396432000004</v>
      </c>
      <c r="S26" s="16">
        <f>IF(OR($B26="",NOT(ISNUMBER($F26))),"",SUMIFS(community_cores_FS!$P$5:$P$597,community_cores_FS!$B$5:$B$597,$B26,community_cores_FS!$F$5:$F$597,"&lt;="&amp;$F26))</f>
        <v>14.263004583199999</v>
      </c>
      <c r="T26" s="16" t="str">
        <f t="shared" si="7"/>
        <v/>
      </c>
      <c r="U26" s="7"/>
    </row>
    <row r="27" spans="1:21" ht="15.75" customHeight="1">
      <c r="A27" s="14"/>
      <c r="B27" s="14"/>
      <c r="C27" s="14"/>
      <c r="D27" s="14"/>
      <c r="E27" s="14"/>
      <c r="F27" s="14"/>
      <c r="G27" s="14" t="str">
        <f t="shared" ref="G27:G90" si="8">IF(OR($E27="",$F27=""),"",$F27-$E27)</f>
        <v/>
      </c>
      <c r="H27" s="14"/>
      <c r="I27" s="14"/>
      <c r="J27" s="24"/>
      <c r="K27" s="24"/>
      <c r="L27" s="24"/>
      <c r="M27" s="24"/>
      <c r="N27" s="16" t="str">
        <f t="shared" si="1"/>
        <v/>
      </c>
      <c r="O27" s="16" t="str">
        <f t="shared" ref="O27:O90" si="9">IF(OR($E27="",$F27=""),"",MAX(0,MIN($F27,REFERENCE_DEPTH_CM)-MIN($E27,REFERENCE_DEPTH_CM)))</f>
        <v/>
      </c>
      <c r="P27" s="16" t="str">
        <f t="shared" ref="P27:P90" si="10">IF(OR($J27="",$N27="",$G27=""),"",$J27*($N27/100)*$G27*10)</f>
        <v/>
      </c>
      <c r="Q27" s="16" t="str">
        <f t="shared" ref="Q27:Q90" si="11">IF(OR($J27="",$N27="",$O27=""),"",$J27*($N27/100)*$O27*10)</f>
        <v/>
      </c>
      <c r="R27" s="16">
        <f t="shared" si="5"/>
        <v>0</v>
      </c>
      <c r="S27" s="16" t="str">
        <f>IF(OR($B27="",NOT(ISNUMBER($F27))),"",SUMIFS(community_cores_FS!$P$5:$P$597,community_cores_FS!$B$5:$B$597,$B27,community_cores_FS!$F$5:$F$597,"&lt;="&amp;$F27))</f>
        <v/>
      </c>
      <c r="T27" s="16" t="str">
        <f>IF(AND($A27="",$B27="",$E27=""),"",IF(AND($B27&lt;&gt;"",COUNTIF('2. Core Log'!$A$5:$A$124,$B27)=0),"Core ID not in Core Log. ","")&amp;IF(AND($A27&lt;&gt;"",COUNTIF('1. Plot &amp; Site Log'!$A$5:$A$64,$A27)=0),"Plot ID not in Plot &amp; Site Log. ","")&amp;IF(AND(ISNUMBER($E27),ISNUMBER($F27),$F27&lt;=$E27),"Bottom depth is not below top depth. ","")&amp;IF($I27="","Say which bulk-density basis the lab reported. ","")&amp;IF(AND(ISNUMBER($J27),OR($J27&lt;QC_BD_MIN,$J27&gt;QC_BD_MAX)),"Bulk density outside "&amp;QC_BD_MIN&amp;"–"&amp;QC_BD_MAX&amp;" g/cm³ for peat. Above the top of that range usually means the mineral contact has been passed. ","")&amp;IF(AND(ISNUMBER($N27),$N27&gt;QC_CARBON_PCT_MAX),"Carbon above "&amp;QC_CARBON_PCT_MAX&amp;"% — check units; this may be organic matter rather than carbon. ","")&amp;IF(AND($L27&lt;&gt;"",$M27&lt;&gt;""),"Both LOI and measured carbon given — the measured value is used. ","")&amp;IF(AND($M27="",$L27&lt;&gt;"",OM_FACTOR_IS_LOCAL&lt;&gt;"Yes"),"Carbon derived from LOI using the default factor of "&amp;CARBON_FRACTION_OM&amp;", which has not been calibrated locally. See R1. Reference. ","")&amp;IF(AND(ISNUMBER($O27),$O27=0,ISNUMBER($E27)),"Section lies entirely below the reference depth — it counts to the full-profile stock only. ",""))</f>
        <v/>
      </c>
      <c r="U27" s="14"/>
    </row>
    <row r="28" spans="1:21" ht="15.75" customHeight="1">
      <c r="A28" s="14"/>
      <c r="B28" s="14"/>
      <c r="C28" s="14"/>
      <c r="D28" s="14"/>
      <c r="E28" s="14"/>
      <c r="F28" s="14"/>
      <c r="G28" s="14" t="str">
        <f t="shared" si="8"/>
        <v/>
      </c>
      <c r="H28" s="14"/>
      <c r="I28" s="14"/>
      <c r="J28" s="24"/>
      <c r="K28" s="24"/>
      <c r="L28" s="24"/>
      <c r="M28" s="24"/>
      <c r="N28" s="16" t="str">
        <f t="shared" si="1"/>
        <v/>
      </c>
      <c r="O28" s="16" t="str">
        <f t="shared" si="9"/>
        <v/>
      </c>
      <c r="P28" s="16" t="str">
        <f t="shared" si="10"/>
        <v/>
      </c>
      <c r="Q28" s="16" t="str">
        <f t="shared" si="11"/>
        <v/>
      </c>
      <c r="R28" s="16">
        <f t="shared" si="5"/>
        <v>0</v>
      </c>
      <c r="S28" s="16" t="str">
        <f>IF(OR($B28="",NOT(ISNUMBER($F28))),"",SUMIFS(community_cores_FS!$P$5:$P$597,community_cores_FS!$B$5:$B$597,$B28,community_cores_FS!$F$5:$F$597,"&lt;="&amp;$F28))</f>
        <v/>
      </c>
      <c r="T28" s="16" t="str">
        <f>IF(AND($A28="",$B28="",$E28=""),"",IF(AND($B28&lt;&gt;"",COUNTIF('2. Core Log'!$A$5:$A$124,$B28)=0),"Core ID not in Core Log. ","")&amp;IF(AND($A28&lt;&gt;"",COUNTIF('1. Plot &amp; Site Log'!$A$5:$A$64,$A28)=0),"Plot ID not in Plot &amp; Site Log. ","")&amp;IF(AND(ISNUMBER($E28),ISNUMBER($F28),$F28&lt;=$E28),"Bottom depth is not below top depth. ","")&amp;IF($I28="","Say which bulk-density basis the lab reported. ","")&amp;IF(AND(ISNUMBER($J28),OR($J28&lt;QC_BD_MIN,$J28&gt;QC_BD_MAX)),"Bulk density outside "&amp;QC_BD_MIN&amp;"–"&amp;QC_BD_MAX&amp;" g/cm³ for peat. Above the top of that range usually means the mineral contact has been passed. ","")&amp;IF(AND(ISNUMBER($N28),$N28&gt;QC_CARBON_PCT_MAX),"Carbon above "&amp;QC_CARBON_PCT_MAX&amp;"% — check units; this may be organic matter rather than carbon. ","")&amp;IF(AND($L28&lt;&gt;"",$M28&lt;&gt;""),"Both LOI and measured carbon given — the measured value is used. ","")&amp;IF(AND($M28="",$L28&lt;&gt;"",OM_FACTOR_IS_LOCAL&lt;&gt;"Yes"),"Carbon derived from LOI using the default factor of "&amp;CARBON_FRACTION_OM&amp;", which has not been calibrated locally. See R1. Reference. ","")&amp;IF(AND(ISNUMBER($O28),$O28=0,ISNUMBER($E28)),"Section lies entirely below the reference depth — it counts to the full-profile stock only. ",""))</f>
        <v/>
      </c>
      <c r="U28" s="14"/>
    </row>
    <row r="29" spans="1:21" ht="15.75" customHeight="1">
      <c r="A29" s="14"/>
      <c r="B29" s="14"/>
      <c r="C29" s="14"/>
      <c r="D29" s="14"/>
      <c r="E29" s="14"/>
      <c r="F29" s="14"/>
      <c r="G29" s="14" t="str">
        <f t="shared" si="8"/>
        <v/>
      </c>
      <c r="H29" s="14"/>
      <c r="I29" s="14"/>
      <c r="J29" s="24"/>
      <c r="K29" s="24"/>
      <c r="L29" s="24"/>
      <c r="M29" s="24"/>
      <c r="N29" s="16" t="str">
        <f t="shared" si="1"/>
        <v/>
      </c>
      <c r="O29" s="16" t="str">
        <f t="shared" si="9"/>
        <v/>
      </c>
      <c r="P29" s="16" t="str">
        <f t="shared" si="10"/>
        <v/>
      </c>
      <c r="Q29" s="16" t="str">
        <f t="shared" si="11"/>
        <v/>
      </c>
      <c r="R29" s="16">
        <f t="shared" si="5"/>
        <v>0</v>
      </c>
      <c r="S29" s="16" t="str">
        <f>IF(OR($B29="",NOT(ISNUMBER($F29))),"",SUMIFS(community_cores_FS!$P$5:$P$597,community_cores_FS!$B$5:$B$597,$B29,community_cores_FS!$F$5:$F$597,"&lt;="&amp;$F29))</f>
        <v/>
      </c>
      <c r="T29" s="16" t="str">
        <f>IF(AND($A29="",$B29="",$E29=""),"",IF(AND($B29&lt;&gt;"",COUNTIF('2. Core Log'!$A$5:$A$124,$B29)=0),"Core ID not in Core Log. ","")&amp;IF(AND($A29&lt;&gt;"",COUNTIF('1. Plot &amp; Site Log'!$A$5:$A$64,$A29)=0),"Plot ID not in Plot &amp; Site Log. ","")&amp;IF(AND(ISNUMBER($E29),ISNUMBER($F29),$F29&lt;=$E29),"Bottom depth is not below top depth. ","")&amp;IF($I29="","Say which bulk-density basis the lab reported. ","")&amp;IF(AND(ISNUMBER($J29),OR($J29&lt;QC_BD_MIN,$J29&gt;QC_BD_MAX)),"Bulk density outside "&amp;QC_BD_MIN&amp;"–"&amp;QC_BD_MAX&amp;" g/cm³ for peat. Above the top of that range usually means the mineral contact has been passed. ","")&amp;IF(AND(ISNUMBER($N29),$N29&gt;QC_CARBON_PCT_MAX),"Carbon above "&amp;QC_CARBON_PCT_MAX&amp;"% — check units; this may be organic matter rather than carbon. ","")&amp;IF(AND($L29&lt;&gt;"",$M29&lt;&gt;""),"Both LOI and measured carbon given — the measured value is used. ","")&amp;IF(AND($M29="",$L29&lt;&gt;"",OM_FACTOR_IS_LOCAL&lt;&gt;"Yes"),"Carbon derived from LOI using the default factor of "&amp;CARBON_FRACTION_OM&amp;", which has not been calibrated locally. See R1. Reference. ","")&amp;IF(AND(ISNUMBER($O29),$O29=0,ISNUMBER($E29)),"Section lies entirely below the reference depth — it counts to the full-profile stock only. ",""))</f>
        <v/>
      </c>
      <c r="U29" s="14"/>
    </row>
    <row r="30" spans="1:21" ht="15.75" customHeight="1">
      <c r="A30" s="14"/>
      <c r="B30" s="14"/>
      <c r="C30" s="14"/>
      <c r="D30" s="14"/>
      <c r="E30" s="14"/>
      <c r="F30" s="14"/>
      <c r="G30" s="14" t="str">
        <f t="shared" si="8"/>
        <v/>
      </c>
      <c r="H30" s="14"/>
      <c r="I30" s="14"/>
      <c r="J30" s="24"/>
      <c r="K30" s="24"/>
      <c r="L30" s="24"/>
      <c r="M30" s="24"/>
      <c r="N30" s="16" t="str">
        <f t="shared" si="1"/>
        <v/>
      </c>
      <c r="O30" s="16" t="str">
        <f t="shared" si="9"/>
        <v/>
      </c>
      <c r="P30" s="16" t="str">
        <f t="shared" si="10"/>
        <v/>
      </c>
      <c r="Q30" s="16" t="str">
        <f t="shared" si="11"/>
        <v/>
      </c>
      <c r="R30" s="16">
        <f t="shared" si="5"/>
        <v>0</v>
      </c>
      <c r="S30" s="16" t="str">
        <f>IF(OR($B30="",NOT(ISNUMBER($F30))),"",SUMIFS(community_cores_FS!$P$5:$P$597,community_cores_FS!$B$5:$B$597,$B30,community_cores_FS!$F$5:$F$597,"&lt;="&amp;$F30))</f>
        <v/>
      </c>
      <c r="T30" s="16" t="str">
        <f>IF(AND($A30="",$B30="",$E30=""),"",IF(AND($B30&lt;&gt;"",COUNTIF('2. Core Log'!$A$5:$A$124,$B30)=0),"Core ID not in Core Log. ","")&amp;IF(AND($A30&lt;&gt;"",COUNTIF('1. Plot &amp; Site Log'!$A$5:$A$64,$A30)=0),"Plot ID not in Plot &amp; Site Log. ","")&amp;IF(AND(ISNUMBER($E30),ISNUMBER($F30),$F30&lt;=$E30),"Bottom depth is not below top depth. ","")&amp;IF($I30="","Say which bulk-density basis the lab reported. ","")&amp;IF(AND(ISNUMBER($J30),OR($J30&lt;QC_BD_MIN,$J30&gt;QC_BD_MAX)),"Bulk density outside "&amp;QC_BD_MIN&amp;"–"&amp;QC_BD_MAX&amp;" g/cm³ for peat. Above the top of that range usually means the mineral contact has been passed. ","")&amp;IF(AND(ISNUMBER($N30),$N30&gt;QC_CARBON_PCT_MAX),"Carbon above "&amp;QC_CARBON_PCT_MAX&amp;"% — check units; this may be organic matter rather than carbon. ","")&amp;IF(AND($L30&lt;&gt;"",$M30&lt;&gt;""),"Both LOI and measured carbon given — the measured value is used. ","")&amp;IF(AND($M30="",$L30&lt;&gt;"",OM_FACTOR_IS_LOCAL&lt;&gt;"Yes"),"Carbon derived from LOI using the default factor of "&amp;CARBON_FRACTION_OM&amp;", which has not been calibrated locally. See R1. Reference. ","")&amp;IF(AND(ISNUMBER($O30),$O30=0,ISNUMBER($E30)),"Section lies entirely below the reference depth — it counts to the full-profile stock only. ",""))</f>
        <v/>
      </c>
      <c r="U30" s="14"/>
    </row>
    <row r="31" spans="1:21" ht="15.75" customHeight="1">
      <c r="A31" s="14"/>
      <c r="B31" s="14"/>
      <c r="C31" s="14"/>
      <c r="D31" s="14"/>
      <c r="E31" s="14"/>
      <c r="F31" s="14"/>
      <c r="G31" s="14" t="str">
        <f t="shared" si="8"/>
        <v/>
      </c>
      <c r="H31" s="14"/>
      <c r="I31" s="14"/>
      <c r="J31" s="24"/>
      <c r="K31" s="24"/>
      <c r="L31" s="24"/>
      <c r="M31" s="24"/>
      <c r="N31" s="16" t="str">
        <f t="shared" si="1"/>
        <v/>
      </c>
      <c r="O31" s="16" t="str">
        <f t="shared" si="9"/>
        <v/>
      </c>
      <c r="P31" s="16" t="str">
        <f t="shared" si="10"/>
        <v/>
      </c>
      <c r="Q31" s="16" t="str">
        <f t="shared" si="11"/>
        <v/>
      </c>
      <c r="R31" s="16">
        <f t="shared" si="5"/>
        <v>0</v>
      </c>
      <c r="S31" s="16" t="str">
        <f>IF(OR($B31="",NOT(ISNUMBER($F31))),"",SUMIFS(community_cores_FS!$P$5:$P$597,community_cores_FS!$B$5:$B$597,$B31,community_cores_FS!$F$5:$F$597,"&lt;="&amp;$F31))</f>
        <v/>
      </c>
      <c r="T31" s="16" t="str">
        <f>IF(AND($A31="",$B31="",$E31=""),"",IF(AND($B31&lt;&gt;"",COUNTIF('2. Core Log'!$A$5:$A$124,$B31)=0),"Core ID not in Core Log. ","")&amp;IF(AND($A31&lt;&gt;"",COUNTIF('1. Plot &amp; Site Log'!$A$5:$A$64,$A31)=0),"Plot ID not in Plot &amp; Site Log. ","")&amp;IF(AND(ISNUMBER($E31),ISNUMBER($F31),$F31&lt;=$E31),"Bottom depth is not below top depth. ","")&amp;IF($I31="","Say which bulk-density basis the lab reported. ","")&amp;IF(AND(ISNUMBER($J31),OR($J31&lt;QC_BD_MIN,$J31&gt;QC_BD_MAX)),"Bulk density outside "&amp;QC_BD_MIN&amp;"–"&amp;QC_BD_MAX&amp;" g/cm³ for peat. Above the top of that range usually means the mineral contact has been passed. ","")&amp;IF(AND(ISNUMBER($N31),$N31&gt;QC_CARBON_PCT_MAX),"Carbon above "&amp;QC_CARBON_PCT_MAX&amp;"% — check units; this may be organic matter rather than carbon. ","")&amp;IF(AND($L31&lt;&gt;"",$M31&lt;&gt;""),"Both LOI and measured carbon given — the measured value is used. ","")&amp;IF(AND($M31="",$L31&lt;&gt;"",OM_FACTOR_IS_LOCAL&lt;&gt;"Yes"),"Carbon derived from LOI using the default factor of "&amp;CARBON_FRACTION_OM&amp;", which has not been calibrated locally. See R1. Reference. ","")&amp;IF(AND(ISNUMBER($O31),$O31=0,ISNUMBER($E31)),"Section lies entirely below the reference depth — it counts to the full-profile stock only. ",""))</f>
        <v/>
      </c>
      <c r="U31" s="14"/>
    </row>
    <row r="32" spans="1:21" ht="15.75" customHeight="1">
      <c r="A32" s="14"/>
      <c r="B32" s="14"/>
      <c r="C32" s="14"/>
      <c r="D32" s="14"/>
      <c r="E32" s="14"/>
      <c r="F32" s="14"/>
      <c r="G32" s="14" t="str">
        <f t="shared" si="8"/>
        <v/>
      </c>
      <c r="H32" s="14"/>
      <c r="I32" s="14"/>
      <c r="J32" s="24"/>
      <c r="K32" s="24"/>
      <c r="L32" s="24"/>
      <c r="M32" s="24"/>
      <c r="N32" s="16" t="str">
        <f t="shared" si="1"/>
        <v/>
      </c>
      <c r="O32" s="16" t="str">
        <f t="shared" si="9"/>
        <v/>
      </c>
      <c r="P32" s="16" t="str">
        <f t="shared" si="10"/>
        <v/>
      </c>
      <c r="Q32" s="16" t="str">
        <f t="shared" si="11"/>
        <v/>
      </c>
      <c r="R32" s="16">
        <f t="shared" si="5"/>
        <v>0</v>
      </c>
      <c r="S32" s="16" t="str">
        <f>IF(OR($B32="",NOT(ISNUMBER($F32))),"",SUMIFS(community_cores_FS!$P$5:$P$597,community_cores_FS!$B$5:$B$597,$B32,community_cores_FS!$F$5:$F$597,"&lt;="&amp;$F32))</f>
        <v/>
      </c>
      <c r="T32" s="16" t="str">
        <f>IF(AND($A32="",$B32="",$E32=""),"",IF(AND($B32&lt;&gt;"",COUNTIF('2. Core Log'!$A$5:$A$124,$B32)=0),"Core ID not in Core Log. ","")&amp;IF(AND($A32&lt;&gt;"",COUNTIF('1. Plot &amp; Site Log'!$A$5:$A$64,$A32)=0),"Plot ID not in Plot &amp; Site Log. ","")&amp;IF(AND(ISNUMBER($E32),ISNUMBER($F32),$F32&lt;=$E32),"Bottom depth is not below top depth. ","")&amp;IF($I32="","Say which bulk-density basis the lab reported. ","")&amp;IF(AND(ISNUMBER($J32),OR($J32&lt;QC_BD_MIN,$J32&gt;QC_BD_MAX)),"Bulk density outside "&amp;QC_BD_MIN&amp;"–"&amp;QC_BD_MAX&amp;" g/cm³ for peat. Above the top of that range usually means the mineral contact has been passed. ","")&amp;IF(AND(ISNUMBER($N32),$N32&gt;QC_CARBON_PCT_MAX),"Carbon above "&amp;QC_CARBON_PCT_MAX&amp;"% — check units; this may be organic matter rather than carbon. ","")&amp;IF(AND($L32&lt;&gt;"",$M32&lt;&gt;""),"Both LOI and measured carbon given — the measured value is used. ","")&amp;IF(AND($M32="",$L32&lt;&gt;"",OM_FACTOR_IS_LOCAL&lt;&gt;"Yes"),"Carbon derived from LOI using the default factor of "&amp;CARBON_FRACTION_OM&amp;", which has not been calibrated locally. See R1. Reference. ","")&amp;IF(AND(ISNUMBER($O32),$O32=0,ISNUMBER($E32)),"Section lies entirely below the reference depth — it counts to the full-profile stock only. ",""))</f>
        <v/>
      </c>
      <c r="U32" s="14"/>
    </row>
    <row r="33" spans="1:21" ht="15.75" customHeight="1">
      <c r="A33" s="14"/>
      <c r="B33" s="14"/>
      <c r="C33" s="14"/>
      <c r="D33" s="14"/>
      <c r="E33" s="14"/>
      <c r="F33" s="14"/>
      <c r="G33" s="14" t="str">
        <f t="shared" si="8"/>
        <v/>
      </c>
      <c r="H33" s="14"/>
      <c r="I33" s="14"/>
      <c r="J33" s="24"/>
      <c r="K33" s="24"/>
      <c r="L33" s="24"/>
      <c r="M33" s="24"/>
      <c r="N33" s="16" t="str">
        <f t="shared" si="1"/>
        <v/>
      </c>
      <c r="O33" s="16" t="str">
        <f t="shared" si="9"/>
        <v/>
      </c>
      <c r="P33" s="16" t="str">
        <f t="shared" si="10"/>
        <v/>
      </c>
      <c r="Q33" s="16" t="str">
        <f t="shared" si="11"/>
        <v/>
      </c>
      <c r="R33" s="16">
        <f t="shared" si="5"/>
        <v>0</v>
      </c>
      <c r="S33" s="16" t="str">
        <f>IF(OR($B33="",NOT(ISNUMBER($F33))),"",SUMIFS(community_cores_FS!$P$5:$P$597,community_cores_FS!$B$5:$B$597,$B33,community_cores_FS!$F$5:$F$597,"&lt;="&amp;$F33))</f>
        <v/>
      </c>
      <c r="T33" s="16" t="str">
        <f>IF(AND($A33="",$B33="",$E33=""),"",IF(AND($B33&lt;&gt;"",COUNTIF('2. Core Log'!$A$5:$A$124,$B33)=0),"Core ID not in Core Log. ","")&amp;IF(AND($A33&lt;&gt;"",COUNTIF('1. Plot &amp; Site Log'!$A$5:$A$64,$A33)=0),"Plot ID not in Plot &amp; Site Log. ","")&amp;IF(AND(ISNUMBER($E33),ISNUMBER($F33),$F33&lt;=$E33),"Bottom depth is not below top depth. ","")&amp;IF($I33="","Say which bulk-density basis the lab reported. ","")&amp;IF(AND(ISNUMBER($J33),OR($J33&lt;QC_BD_MIN,$J33&gt;QC_BD_MAX)),"Bulk density outside "&amp;QC_BD_MIN&amp;"–"&amp;QC_BD_MAX&amp;" g/cm³ for peat. Above the top of that range usually means the mineral contact has been passed. ","")&amp;IF(AND(ISNUMBER($N33),$N33&gt;QC_CARBON_PCT_MAX),"Carbon above "&amp;QC_CARBON_PCT_MAX&amp;"% — check units; this may be organic matter rather than carbon. ","")&amp;IF(AND($L33&lt;&gt;"",$M33&lt;&gt;""),"Both LOI and measured carbon given — the measured value is used. ","")&amp;IF(AND($M33="",$L33&lt;&gt;"",OM_FACTOR_IS_LOCAL&lt;&gt;"Yes"),"Carbon derived from LOI using the default factor of "&amp;CARBON_FRACTION_OM&amp;", which has not been calibrated locally. See R1. Reference. ","")&amp;IF(AND(ISNUMBER($O33),$O33=0,ISNUMBER($E33)),"Section lies entirely below the reference depth — it counts to the full-profile stock only. ",""))</f>
        <v/>
      </c>
      <c r="U33" s="14"/>
    </row>
    <row r="34" spans="1:21" ht="15.75" customHeight="1">
      <c r="A34" s="14"/>
      <c r="B34" s="14"/>
      <c r="C34" s="14"/>
      <c r="D34" s="14"/>
      <c r="E34" s="14"/>
      <c r="F34" s="14"/>
      <c r="G34" s="14" t="str">
        <f t="shared" si="8"/>
        <v/>
      </c>
      <c r="H34" s="14"/>
      <c r="I34" s="14"/>
      <c r="J34" s="24"/>
      <c r="K34" s="24"/>
      <c r="L34" s="24"/>
      <c r="M34" s="24"/>
      <c r="N34" s="16" t="str">
        <f t="shared" si="1"/>
        <v/>
      </c>
      <c r="O34" s="16" t="str">
        <f t="shared" si="9"/>
        <v/>
      </c>
      <c r="P34" s="16" t="str">
        <f t="shared" si="10"/>
        <v/>
      </c>
      <c r="Q34" s="16" t="str">
        <f t="shared" si="11"/>
        <v/>
      </c>
      <c r="R34" s="16">
        <f t="shared" si="5"/>
        <v>0</v>
      </c>
      <c r="S34" s="16" t="str">
        <f>IF(OR($B34="",NOT(ISNUMBER($F34))),"",SUMIFS(community_cores_FS!$P$5:$P$597,community_cores_FS!$B$5:$B$597,$B34,community_cores_FS!$F$5:$F$597,"&lt;="&amp;$F34))</f>
        <v/>
      </c>
      <c r="T34" s="16" t="str">
        <f>IF(AND($A34="",$B34="",$E34=""),"",IF(AND($B34&lt;&gt;"",COUNTIF('2. Core Log'!$A$5:$A$124,$B34)=0),"Core ID not in Core Log. ","")&amp;IF(AND($A34&lt;&gt;"",COUNTIF('1. Plot &amp; Site Log'!$A$5:$A$64,$A34)=0),"Plot ID not in Plot &amp; Site Log. ","")&amp;IF(AND(ISNUMBER($E34),ISNUMBER($F34),$F34&lt;=$E34),"Bottom depth is not below top depth. ","")&amp;IF($I34="","Say which bulk-density basis the lab reported. ","")&amp;IF(AND(ISNUMBER($J34),OR($J34&lt;QC_BD_MIN,$J34&gt;QC_BD_MAX)),"Bulk density outside "&amp;QC_BD_MIN&amp;"–"&amp;QC_BD_MAX&amp;" g/cm³ for peat. Above the top of that range usually means the mineral contact has been passed. ","")&amp;IF(AND(ISNUMBER($N34),$N34&gt;QC_CARBON_PCT_MAX),"Carbon above "&amp;QC_CARBON_PCT_MAX&amp;"% — check units; this may be organic matter rather than carbon. ","")&amp;IF(AND($L34&lt;&gt;"",$M34&lt;&gt;""),"Both LOI and measured carbon given — the measured value is used. ","")&amp;IF(AND($M34="",$L34&lt;&gt;"",OM_FACTOR_IS_LOCAL&lt;&gt;"Yes"),"Carbon derived from LOI using the default factor of "&amp;CARBON_FRACTION_OM&amp;", which has not been calibrated locally. See R1. Reference. ","")&amp;IF(AND(ISNUMBER($O34),$O34=0,ISNUMBER($E34)),"Section lies entirely below the reference depth — it counts to the full-profile stock only. ",""))</f>
        <v/>
      </c>
      <c r="U34" s="14"/>
    </row>
    <row r="35" spans="1:21" ht="15.75" customHeight="1">
      <c r="A35" s="14"/>
      <c r="B35" s="14"/>
      <c r="C35" s="14"/>
      <c r="D35" s="14"/>
      <c r="E35" s="14"/>
      <c r="F35" s="14"/>
      <c r="G35" s="14" t="str">
        <f t="shared" si="8"/>
        <v/>
      </c>
      <c r="H35" s="14"/>
      <c r="I35" s="14"/>
      <c r="J35" s="24"/>
      <c r="K35" s="24"/>
      <c r="L35" s="24"/>
      <c r="M35" s="24"/>
      <c r="N35" s="16" t="str">
        <f t="shared" si="1"/>
        <v/>
      </c>
      <c r="O35" s="16" t="str">
        <f t="shared" si="9"/>
        <v/>
      </c>
      <c r="P35" s="16" t="str">
        <f t="shared" si="10"/>
        <v/>
      </c>
      <c r="Q35" s="16" t="str">
        <f t="shared" si="11"/>
        <v/>
      </c>
      <c r="R35" s="16">
        <f t="shared" si="5"/>
        <v>0</v>
      </c>
      <c r="S35" s="16" t="str">
        <f>IF(OR($B35="",NOT(ISNUMBER($F35))),"",SUMIFS(community_cores_FS!$P$5:$P$597,community_cores_FS!$B$5:$B$597,$B35,community_cores_FS!$F$5:$F$597,"&lt;="&amp;$F35))</f>
        <v/>
      </c>
      <c r="T35" s="16" t="str">
        <f>IF(AND($A35="",$B35="",$E35=""),"",IF(AND($B35&lt;&gt;"",COUNTIF('2. Core Log'!$A$5:$A$124,$B35)=0),"Core ID not in Core Log. ","")&amp;IF(AND($A35&lt;&gt;"",COUNTIF('1. Plot &amp; Site Log'!$A$5:$A$64,$A35)=0),"Plot ID not in Plot &amp; Site Log. ","")&amp;IF(AND(ISNUMBER($E35),ISNUMBER($F35),$F35&lt;=$E35),"Bottom depth is not below top depth. ","")&amp;IF($I35="","Say which bulk-density basis the lab reported. ","")&amp;IF(AND(ISNUMBER($J35),OR($J35&lt;QC_BD_MIN,$J35&gt;QC_BD_MAX)),"Bulk density outside "&amp;QC_BD_MIN&amp;"–"&amp;QC_BD_MAX&amp;" g/cm³ for peat. Above the top of that range usually means the mineral contact has been passed. ","")&amp;IF(AND(ISNUMBER($N35),$N35&gt;QC_CARBON_PCT_MAX),"Carbon above "&amp;QC_CARBON_PCT_MAX&amp;"% — check units; this may be organic matter rather than carbon. ","")&amp;IF(AND($L35&lt;&gt;"",$M35&lt;&gt;""),"Both LOI and measured carbon given — the measured value is used. ","")&amp;IF(AND($M35="",$L35&lt;&gt;"",OM_FACTOR_IS_LOCAL&lt;&gt;"Yes"),"Carbon derived from LOI using the default factor of "&amp;CARBON_FRACTION_OM&amp;", which has not been calibrated locally. See R1. Reference. ","")&amp;IF(AND(ISNUMBER($O35),$O35=0,ISNUMBER($E35)),"Section lies entirely below the reference depth — it counts to the full-profile stock only. ",""))</f>
        <v/>
      </c>
      <c r="U35" s="14"/>
    </row>
    <row r="36" spans="1:21" ht="15.75" customHeight="1">
      <c r="A36" s="14"/>
      <c r="B36" s="14"/>
      <c r="C36" s="14"/>
      <c r="D36" s="14"/>
      <c r="E36" s="14"/>
      <c r="F36" s="14"/>
      <c r="G36" s="14" t="str">
        <f t="shared" si="8"/>
        <v/>
      </c>
      <c r="H36" s="14"/>
      <c r="I36" s="14"/>
      <c r="J36" s="24"/>
      <c r="K36" s="24"/>
      <c r="L36" s="24"/>
      <c r="M36" s="24"/>
      <c r="N36" s="16" t="str">
        <f t="shared" si="1"/>
        <v/>
      </c>
      <c r="O36" s="16" t="str">
        <f t="shared" si="9"/>
        <v/>
      </c>
      <c r="P36" s="16" t="str">
        <f t="shared" si="10"/>
        <v/>
      </c>
      <c r="Q36" s="16" t="str">
        <f t="shared" si="11"/>
        <v/>
      </c>
      <c r="R36" s="16">
        <f t="shared" si="5"/>
        <v>0</v>
      </c>
      <c r="S36" s="16" t="str">
        <f>IF(OR($B36="",NOT(ISNUMBER($F36))),"",SUMIFS(community_cores_FS!$P$5:$P$597,community_cores_FS!$B$5:$B$597,$B36,community_cores_FS!$F$5:$F$597,"&lt;="&amp;$F36))</f>
        <v/>
      </c>
      <c r="T36" s="16" t="str">
        <f>IF(AND($A36="",$B36="",$E36=""),"",IF(AND($B36&lt;&gt;"",COUNTIF('2. Core Log'!$A$5:$A$124,$B36)=0),"Core ID not in Core Log. ","")&amp;IF(AND($A36&lt;&gt;"",COUNTIF('1. Plot &amp; Site Log'!$A$5:$A$64,$A36)=0),"Plot ID not in Plot &amp; Site Log. ","")&amp;IF(AND(ISNUMBER($E36),ISNUMBER($F36),$F36&lt;=$E36),"Bottom depth is not below top depth. ","")&amp;IF($I36="","Say which bulk-density basis the lab reported. ","")&amp;IF(AND(ISNUMBER($J36),OR($J36&lt;QC_BD_MIN,$J36&gt;QC_BD_MAX)),"Bulk density outside "&amp;QC_BD_MIN&amp;"–"&amp;QC_BD_MAX&amp;" g/cm³ for peat. Above the top of that range usually means the mineral contact has been passed. ","")&amp;IF(AND(ISNUMBER($N36),$N36&gt;QC_CARBON_PCT_MAX),"Carbon above "&amp;QC_CARBON_PCT_MAX&amp;"% — check units; this may be organic matter rather than carbon. ","")&amp;IF(AND($L36&lt;&gt;"",$M36&lt;&gt;""),"Both LOI and measured carbon given — the measured value is used. ","")&amp;IF(AND($M36="",$L36&lt;&gt;"",OM_FACTOR_IS_LOCAL&lt;&gt;"Yes"),"Carbon derived from LOI using the default factor of "&amp;CARBON_FRACTION_OM&amp;", which has not been calibrated locally. See R1. Reference. ","")&amp;IF(AND(ISNUMBER($O36),$O36=0,ISNUMBER($E36)),"Section lies entirely below the reference depth — it counts to the full-profile stock only. ",""))</f>
        <v/>
      </c>
      <c r="U36" s="14"/>
    </row>
    <row r="37" spans="1:21" ht="15.75" customHeight="1">
      <c r="A37" s="14"/>
      <c r="B37" s="14"/>
      <c r="C37" s="14"/>
      <c r="D37" s="14"/>
      <c r="E37" s="14"/>
      <c r="F37" s="14"/>
      <c r="G37" s="14" t="str">
        <f t="shared" si="8"/>
        <v/>
      </c>
      <c r="H37" s="14"/>
      <c r="I37" s="14"/>
      <c r="J37" s="24"/>
      <c r="K37" s="24"/>
      <c r="L37" s="24"/>
      <c r="M37" s="24"/>
      <c r="N37" s="16" t="str">
        <f t="shared" si="1"/>
        <v/>
      </c>
      <c r="O37" s="16" t="str">
        <f t="shared" si="9"/>
        <v/>
      </c>
      <c r="P37" s="16" t="str">
        <f t="shared" si="10"/>
        <v/>
      </c>
      <c r="Q37" s="16" t="str">
        <f t="shared" si="11"/>
        <v/>
      </c>
      <c r="R37" s="16">
        <f t="shared" si="5"/>
        <v>0</v>
      </c>
      <c r="S37" s="16" t="str">
        <f>IF(OR($B37="",NOT(ISNUMBER($F37))),"",SUMIFS(community_cores_FS!$P$5:$P$597,community_cores_FS!$B$5:$B$597,$B37,community_cores_FS!$F$5:$F$597,"&lt;="&amp;$F37))</f>
        <v/>
      </c>
      <c r="T37" s="16" t="str">
        <f>IF(AND($A37="",$B37="",$E37=""),"",IF(AND($B37&lt;&gt;"",COUNTIF('2. Core Log'!$A$5:$A$124,$B37)=0),"Core ID not in Core Log. ","")&amp;IF(AND($A37&lt;&gt;"",COUNTIF('1. Plot &amp; Site Log'!$A$5:$A$64,$A37)=0),"Plot ID not in Plot &amp; Site Log. ","")&amp;IF(AND(ISNUMBER($E37),ISNUMBER($F37),$F37&lt;=$E37),"Bottom depth is not below top depth. ","")&amp;IF($I37="","Say which bulk-density basis the lab reported. ","")&amp;IF(AND(ISNUMBER($J37),OR($J37&lt;QC_BD_MIN,$J37&gt;QC_BD_MAX)),"Bulk density outside "&amp;QC_BD_MIN&amp;"–"&amp;QC_BD_MAX&amp;" g/cm³ for peat. Above the top of that range usually means the mineral contact has been passed. ","")&amp;IF(AND(ISNUMBER($N37),$N37&gt;QC_CARBON_PCT_MAX),"Carbon above "&amp;QC_CARBON_PCT_MAX&amp;"% — check units; this may be organic matter rather than carbon. ","")&amp;IF(AND($L37&lt;&gt;"",$M37&lt;&gt;""),"Both LOI and measured carbon given — the measured value is used. ","")&amp;IF(AND($M37="",$L37&lt;&gt;"",OM_FACTOR_IS_LOCAL&lt;&gt;"Yes"),"Carbon derived from LOI using the default factor of "&amp;CARBON_FRACTION_OM&amp;", which has not been calibrated locally. See R1. Reference. ","")&amp;IF(AND(ISNUMBER($O37),$O37=0,ISNUMBER($E37)),"Section lies entirely below the reference depth — it counts to the full-profile stock only. ",""))</f>
        <v/>
      </c>
      <c r="U37" s="14"/>
    </row>
    <row r="38" spans="1:21" ht="15.75" customHeight="1">
      <c r="A38" s="14"/>
      <c r="B38" s="14"/>
      <c r="C38" s="14"/>
      <c r="D38" s="14"/>
      <c r="E38" s="14"/>
      <c r="F38" s="14"/>
      <c r="G38" s="14" t="str">
        <f t="shared" si="8"/>
        <v/>
      </c>
      <c r="H38" s="14"/>
      <c r="I38" s="14"/>
      <c r="J38" s="24"/>
      <c r="K38" s="24"/>
      <c r="L38" s="24"/>
      <c r="M38" s="24"/>
      <c r="N38" s="16" t="str">
        <f t="shared" si="1"/>
        <v/>
      </c>
      <c r="O38" s="16" t="str">
        <f t="shared" si="9"/>
        <v/>
      </c>
      <c r="P38" s="16" t="str">
        <f t="shared" si="10"/>
        <v/>
      </c>
      <c r="Q38" s="16" t="str">
        <f t="shared" si="11"/>
        <v/>
      </c>
      <c r="R38" s="16">
        <f t="shared" si="5"/>
        <v>0</v>
      </c>
      <c r="S38" s="16" t="str">
        <f>IF(OR($B38="",NOT(ISNUMBER($F38))),"",SUMIFS(community_cores_FS!$P$5:$P$597,community_cores_FS!$B$5:$B$597,$B38,community_cores_FS!$F$5:$F$597,"&lt;="&amp;$F38))</f>
        <v/>
      </c>
      <c r="T38" s="16" t="str">
        <f>IF(AND($A38="",$B38="",$E38=""),"",IF(AND($B38&lt;&gt;"",COUNTIF('2. Core Log'!$A$5:$A$124,$B38)=0),"Core ID not in Core Log. ","")&amp;IF(AND($A38&lt;&gt;"",COUNTIF('1. Plot &amp; Site Log'!$A$5:$A$64,$A38)=0),"Plot ID not in Plot &amp; Site Log. ","")&amp;IF(AND(ISNUMBER($E38),ISNUMBER($F38),$F38&lt;=$E38),"Bottom depth is not below top depth. ","")&amp;IF($I38="","Say which bulk-density basis the lab reported. ","")&amp;IF(AND(ISNUMBER($J38),OR($J38&lt;QC_BD_MIN,$J38&gt;QC_BD_MAX)),"Bulk density outside "&amp;QC_BD_MIN&amp;"–"&amp;QC_BD_MAX&amp;" g/cm³ for peat. Above the top of that range usually means the mineral contact has been passed. ","")&amp;IF(AND(ISNUMBER($N38),$N38&gt;QC_CARBON_PCT_MAX),"Carbon above "&amp;QC_CARBON_PCT_MAX&amp;"% — check units; this may be organic matter rather than carbon. ","")&amp;IF(AND($L38&lt;&gt;"",$M38&lt;&gt;""),"Both LOI and measured carbon given — the measured value is used. ","")&amp;IF(AND($M38="",$L38&lt;&gt;"",OM_FACTOR_IS_LOCAL&lt;&gt;"Yes"),"Carbon derived from LOI using the default factor of "&amp;CARBON_FRACTION_OM&amp;", which has not been calibrated locally. See R1. Reference. ","")&amp;IF(AND(ISNUMBER($O38),$O38=0,ISNUMBER($E38)),"Section lies entirely below the reference depth — it counts to the full-profile stock only. ",""))</f>
        <v/>
      </c>
      <c r="U38" s="14"/>
    </row>
    <row r="39" spans="1:21" ht="15.75" customHeight="1">
      <c r="A39" s="14"/>
      <c r="B39" s="14"/>
      <c r="C39" s="14"/>
      <c r="D39" s="14"/>
      <c r="E39" s="14"/>
      <c r="F39" s="14"/>
      <c r="G39" s="14" t="str">
        <f t="shared" si="8"/>
        <v/>
      </c>
      <c r="H39" s="14"/>
      <c r="I39" s="14"/>
      <c r="J39" s="24"/>
      <c r="K39" s="24"/>
      <c r="L39" s="24"/>
      <c r="M39" s="24"/>
      <c r="N39" s="16" t="str">
        <f t="shared" si="1"/>
        <v/>
      </c>
      <c r="O39" s="16" t="str">
        <f t="shared" si="9"/>
        <v/>
      </c>
      <c r="P39" s="16" t="str">
        <f t="shared" si="10"/>
        <v/>
      </c>
      <c r="Q39" s="16" t="str">
        <f t="shared" si="11"/>
        <v/>
      </c>
      <c r="R39" s="16">
        <f t="shared" si="5"/>
        <v>0</v>
      </c>
      <c r="S39" s="16" t="str">
        <f>IF(OR($B39="",NOT(ISNUMBER($F39))),"",SUMIFS(community_cores_FS!$P$5:$P$597,community_cores_FS!$B$5:$B$597,$B39,community_cores_FS!$F$5:$F$597,"&lt;="&amp;$F39))</f>
        <v/>
      </c>
      <c r="T39" s="16" t="str">
        <f>IF(AND($A39="",$B39="",$E39=""),"",IF(AND($B39&lt;&gt;"",COUNTIF('2. Core Log'!$A$5:$A$124,$B39)=0),"Core ID not in Core Log. ","")&amp;IF(AND($A39&lt;&gt;"",COUNTIF('1. Plot &amp; Site Log'!$A$5:$A$64,$A39)=0),"Plot ID not in Plot &amp; Site Log. ","")&amp;IF(AND(ISNUMBER($E39),ISNUMBER($F39),$F39&lt;=$E39),"Bottom depth is not below top depth. ","")&amp;IF($I39="","Say which bulk-density basis the lab reported. ","")&amp;IF(AND(ISNUMBER($J39),OR($J39&lt;QC_BD_MIN,$J39&gt;QC_BD_MAX)),"Bulk density outside "&amp;QC_BD_MIN&amp;"–"&amp;QC_BD_MAX&amp;" g/cm³ for peat. Above the top of that range usually means the mineral contact has been passed. ","")&amp;IF(AND(ISNUMBER($N39),$N39&gt;QC_CARBON_PCT_MAX),"Carbon above "&amp;QC_CARBON_PCT_MAX&amp;"% — check units; this may be organic matter rather than carbon. ","")&amp;IF(AND($L39&lt;&gt;"",$M39&lt;&gt;""),"Both LOI and measured carbon given — the measured value is used. ","")&amp;IF(AND($M39="",$L39&lt;&gt;"",OM_FACTOR_IS_LOCAL&lt;&gt;"Yes"),"Carbon derived from LOI using the default factor of "&amp;CARBON_FRACTION_OM&amp;", which has not been calibrated locally. See R1. Reference. ","")&amp;IF(AND(ISNUMBER($O39),$O39=0,ISNUMBER($E39)),"Section lies entirely below the reference depth — it counts to the full-profile stock only. ",""))</f>
        <v/>
      </c>
      <c r="U39" s="14"/>
    </row>
    <row r="40" spans="1:21" ht="15.75" customHeight="1">
      <c r="A40" s="14"/>
      <c r="B40" s="14"/>
      <c r="C40" s="14"/>
      <c r="D40" s="14"/>
      <c r="E40" s="14"/>
      <c r="F40" s="14"/>
      <c r="G40" s="14" t="str">
        <f t="shared" si="8"/>
        <v/>
      </c>
      <c r="H40" s="14"/>
      <c r="I40" s="14"/>
      <c r="J40" s="24"/>
      <c r="K40" s="24"/>
      <c r="L40" s="24"/>
      <c r="M40" s="24"/>
      <c r="N40" s="16" t="str">
        <f t="shared" si="1"/>
        <v/>
      </c>
      <c r="O40" s="16" t="str">
        <f t="shared" si="9"/>
        <v/>
      </c>
      <c r="P40" s="16" t="str">
        <f t="shared" si="10"/>
        <v/>
      </c>
      <c r="Q40" s="16" t="str">
        <f t="shared" si="11"/>
        <v/>
      </c>
      <c r="R40" s="16">
        <f t="shared" si="5"/>
        <v>0</v>
      </c>
      <c r="S40" s="16" t="str">
        <f>IF(OR($B40="",NOT(ISNUMBER($F40))),"",SUMIFS(community_cores_FS!$P$5:$P$597,community_cores_FS!$B$5:$B$597,$B40,community_cores_FS!$F$5:$F$597,"&lt;="&amp;$F40))</f>
        <v/>
      </c>
      <c r="T40" s="16" t="str">
        <f>IF(AND($A40="",$B40="",$E40=""),"",IF(AND($B40&lt;&gt;"",COUNTIF('2. Core Log'!$A$5:$A$124,$B40)=0),"Core ID not in Core Log. ","")&amp;IF(AND($A40&lt;&gt;"",COUNTIF('1. Plot &amp; Site Log'!$A$5:$A$64,$A40)=0),"Plot ID not in Plot &amp; Site Log. ","")&amp;IF(AND(ISNUMBER($E40),ISNUMBER($F40),$F40&lt;=$E40),"Bottom depth is not below top depth. ","")&amp;IF($I40="","Say which bulk-density basis the lab reported. ","")&amp;IF(AND(ISNUMBER($J40),OR($J40&lt;QC_BD_MIN,$J40&gt;QC_BD_MAX)),"Bulk density outside "&amp;QC_BD_MIN&amp;"–"&amp;QC_BD_MAX&amp;" g/cm³ for peat. Above the top of that range usually means the mineral contact has been passed. ","")&amp;IF(AND(ISNUMBER($N40),$N40&gt;QC_CARBON_PCT_MAX),"Carbon above "&amp;QC_CARBON_PCT_MAX&amp;"% — check units; this may be organic matter rather than carbon. ","")&amp;IF(AND($L40&lt;&gt;"",$M40&lt;&gt;""),"Both LOI and measured carbon given — the measured value is used. ","")&amp;IF(AND($M40="",$L40&lt;&gt;"",OM_FACTOR_IS_LOCAL&lt;&gt;"Yes"),"Carbon derived from LOI using the default factor of "&amp;CARBON_FRACTION_OM&amp;", which has not been calibrated locally. See R1. Reference. ","")&amp;IF(AND(ISNUMBER($O40),$O40=0,ISNUMBER($E40)),"Section lies entirely below the reference depth — it counts to the full-profile stock only. ",""))</f>
        <v/>
      </c>
      <c r="U40" s="14"/>
    </row>
    <row r="41" spans="1:21" ht="15.75" customHeight="1">
      <c r="A41" s="14"/>
      <c r="B41" s="14"/>
      <c r="C41" s="14"/>
      <c r="D41" s="14"/>
      <c r="E41" s="14"/>
      <c r="F41" s="14"/>
      <c r="G41" s="14" t="str">
        <f t="shared" si="8"/>
        <v/>
      </c>
      <c r="H41" s="14"/>
      <c r="I41" s="14"/>
      <c r="J41" s="24"/>
      <c r="K41" s="24"/>
      <c r="L41" s="24"/>
      <c r="M41" s="24"/>
      <c r="N41" s="16" t="str">
        <f t="shared" si="1"/>
        <v/>
      </c>
      <c r="O41" s="16" t="str">
        <f t="shared" si="9"/>
        <v/>
      </c>
      <c r="P41" s="16" t="str">
        <f t="shared" si="10"/>
        <v/>
      </c>
      <c r="Q41" s="16" t="str">
        <f t="shared" si="11"/>
        <v/>
      </c>
      <c r="R41" s="16">
        <f t="shared" si="5"/>
        <v>0</v>
      </c>
      <c r="S41" s="16" t="str">
        <f>IF(OR($B41="",NOT(ISNUMBER($F41))),"",SUMIFS(community_cores_FS!$P$5:$P$597,community_cores_FS!$B$5:$B$597,$B41,community_cores_FS!$F$5:$F$597,"&lt;="&amp;$F41))</f>
        <v/>
      </c>
      <c r="T41" s="16" t="str">
        <f>IF(AND($A41="",$B41="",$E41=""),"",IF(AND($B41&lt;&gt;"",COUNTIF('2. Core Log'!$A$5:$A$124,$B41)=0),"Core ID not in Core Log. ","")&amp;IF(AND($A41&lt;&gt;"",COUNTIF('1. Plot &amp; Site Log'!$A$5:$A$64,$A41)=0),"Plot ID not in Plot &amp; Site Log. ","")&amp;IF(AND(ISNUMBER($E41),ISNUMBER($F41),$F41&lt;=$E41),"Bottom depth is not below top depth. ","")&amp;IF($I41="","Say which bulk-density basis the lab reported. ","")&amp;IF(AND(ISNUMBER($J41),OR($J41&lt;QC_BD_MIN,$J41&gt;QC_BD_MAX)),"Bulk density outside "&amp;QC_BD_MIN&amp;"–"&amp;QC_BD_MAX&amp;" g/cm³ for peat. Above the top of that range usually means the mineral contact has been passed. ","")&amp;IF(AND(ISNUMBER($N41),$N41&gt;QC_CARBON_PCT_MAX),"Carbon above "&amp;QC_CARBON_PCT_MAX&amp;"% — check units; this may be organic matter rather than carbon. ","")&amp;IF(AND($L41&lt;&gt;"",$M41&lt;&gt;""),"Both LOI and measured carbon given — the measured value is used. ","")&amp;IF(AND($M41="",$L41&lt;&gt;"",OM_FACTOR_IS_LOCAL&lt;&gt;"Yes"),"Carbon derived from LOI using the default factor of "&amp;CARBON_FRACTION_OM&amp;", which has not been calibrated locally. See R1. Reference. ","")&amp;IF(AND(ISNUMBER($O41),$O41=0,ISNUMBER($E41)),"Section lies entirely below the reference depth — it counts to the full-profile stock only. ",""))</f>
        <v/>
      </c>
      <c r="U41" s="14"/>
    </row>
    <row r="42" spans="1:21" ht="15.75" customHeight="1">
      <c r="A42" s="14"/>
      <c r="B42" s="14"/>
      <c r="C42" s="14"/>
      <c r="D42" s="14"/>
      <c r="E42" s="14"/>
      <c r="F42" s="14"/>
      <c r="G42" s="14" t="str">
        <f t="shared" si="8"/>
        <v/>
      </c>
      <c r="H42" s="14"/>
      <c r="I42" s="14"/>
      <c r="J42" s="24"/>
      <c r="K42" s="24"/>
      <c r="L42" s="24"/>
      <c r="M42" s="24"/>
      <c r="N42" s="16" t="str">
        <f t="shared" si="1"/>
        <v/>
      </c>
      <c r="O42" s="16" t="str">
        <f t="shared" si="9"/>
        <v/>
      </c>
      <c r="P42" s="16" t="str">
        <f t="shared" si="10"/>
        <v/>
      </c>
      <c r="Q42" s="16" t="str">
        <f t="shared" si="11"/>
        <v/>
      </c>
      <c r="R42" s="16">
        <f t="shared" si="5"/>
        <v>0</v>
      </c>
      <c r="S42" s="16" t="str">
        <f>IF(OR($B42="",NOT(ISNUMBER($F42))),"",SUMIFS(community_cores_FS!$P$5:$P$597,community_cores_FS!$B$5:$B$597,$B42,community_cores_FS!$F$5:$F$597,"&lt;="&amp;$F42))</f>
        <v/>
      </c>
      <c r="T42" s="16" t="str">
        <f>IF(AND($A42="",$B42="",$E42=""),"",IF(AND($B42&lt;&gt;"",COUNTIF('2. Core Log'!$A$5:$A$124,$B42)=0),"Core ID not in Core Log. ","")&amp;IF(AND($A42&lt;&gt;"",COUNTIF('1. Plot &amp; Site Log'!$A$5:$A$64,$A42)=0),"Plot ID not in Plot &amp; Site Log. ","")&amp;IF(AND(ISNUMBER($E42),ISNUMBER($F42),$F42&lt;=$E42),"Bottom depth is not below top depth. ","")&amp;IF($I42="","Say which bulk-density basis the lab reported. ","")&amp;IF(AND(ISNUMBER($J42),OR($J42&lt;QC_BD_MIN,$J42&gt;QC_BD_MAX)),"Bulk density outside "&amp;QC_BD_MIN&amp;"–"&amp;QC_BD_MAX&amp;" g/cm³ for peat. Above the top of that range usually means the mineral contact has been passed. ","")&amp;IF(AND(ISNUMBER($N42),$N42&gt;QC_CARBON_PCT_MAX),"Carbon above "&amp;QC_CARBON_PCT_MAX&amp;"% — check units; this may be organic matter rather than carbon. ","")&amp;IF(AND($L42&lt;&gt;"",$M42&lt;&gt;""),"Both LOI and measured carbon given — the measured value is used. ","")&amp;IF(AND($M42="",$L42&lt;&gt;"",OM_FACTOR_IS_LOCAL&lt;&gt;"Yes"),"Carbon derived from LOI using the default factor of "&amp;CARBON_FRACTION_OM&amp;", which has not been calibrated locally. See R1. Reference. ","")&amp;IF(AND(ISNUMBER($O42),$O42=0,ISNUMBER($E42)),"Section lies entirely below the reference depth — it counts to the full-profile stock only. ",""))</f>
        <v/>
      </c>
      <c r="U42" s="14"/>
    </row>
    <row r="43" spans="1:21" ht="15.75" customHeight="1">
      <c r="A43" s="14"/>
      <c r="B43" s="14"/>
      <c r="C43" s="14"/>
      <c r="D43" s="14"/>
      <c r="E43" s="14"/>
      <c r="F43" s="14"/>
      <c r="G43" s="14" t="str">
        <f t="shared" si="8"/>
        <v/>
      </c>
      <c r="H43" s="14"/>
      <c r="I43" s="14"/>
      <c r="J43" s="24"/>
      <c r="K43" s="24"/>
      <c r="L43" s="24"/>
      <c r="M43" s="24"/>
      <c r="N43" s="16" t="str">
        <f t="shared" si="1"/>
        <v/>
      </c>
      <c r="O43" s="16" t="str">
        <f t="shared" si="9"/>
        <v/>
      </c>
      <c r="P43" s="16" t="str">
        <f t="shared" si="10"/>
        <v/>
      </c>
      <c r="Q43" s="16" t="str">
        <f t="shared" si="11"/>
        <v/>
      </c>
      <c r="R43" s="16">
        <f t="shared" si="5"/>
        <v>0</v>
      </c>
      <c r="S43" s="16" t="str">
        <f>IF(OR($B43="",NOT(ISNUMBER($F43))),"",SUMIFS(community_cores_FS!$P$5:$P$597,community_cores_FS!$B$5:$B$597,$B43,community_cores_FS!$F$5:$F$597,"&lt;="&amp;$F43))</f>
        <v/>
      </c>
      <c r="T43" s="16" t="str">
        <f>IF(AND($A43="",$B43="",$E43=""),"",IF(AND($B43&lt;&gt;"",COUNTIF('2. Core Log'!$A$5:$A$124,$B43)=0),"Core ID not in Core Log. ","")&amp;IF(AND($A43&lt;&gt;"",COUNTIF('1. Plot &amp; Site Log'!$A$5:$A$64,$A43)=0),"Plot ID not in Plot &amp; Site Log. ","")&amp;IF(AND(ISNUMBER($E43),ISNUMBER($F43),$F43&lt;=$E43),"Bottom depth is not below top depth. ","")&amp;IF($I43="","Say which bulk-density basis the lab reported. ","")&amp;IF(AND(ISNUMBER($J43),OR($J43&lt;QC_BD_MIN,$J43&gt;QC_BD_MAX)),"Bulk density outside "&amp;QC_BD_MIN&amp;"–"&amp;QC_BD_MAX&amp;" g/cm³ for peat. Above the top of that range usually means the mineral contact has been passed. ","")&amp;IF(AND(ISNUMBER($N43),$N43&gt;QC_CARBON_PCT_MAX),"Carbon above "&amp;QC_CARBON_PCT_MAX&amp;"% — check units; this may be organic matter rather than carbon. ","")&amp;IF(AND($L43&lt;&gt;"",$M43&lt;&gt;""),"Both LOI and measured carbon given — the measured value is used. ","")&amp;IF(AND($M43="",$L43&lt;&gt;"",OM_FACTOR_IS_LOCAL&lt;&gt;"Yes"),"Carbon derived from LOI using the default factor of "&amp;CARBON_FRACTION_OM&amp;", which has not been calibrated locally. See R1. Reference. ","")&amp;IF(AND(ISNUMBER($O43),$O43=0,ISNUMBER($E43)),"Section lies entirely below the reference depth — it counts to the full-profile stock only. ",""))</f>
        <v/>
      </c>
      <c r="U43" s="14"/>
    </row>
    <row r="44" spans="1:21" ht="15.75" customHeight="1">
      <c r="A44" s="14"/>
      <c r="B44" s="14"/>
      <c r="C44" s="14"/>
      <c r="D44" s="14"/>
      <c r="E44" s="14"/>
      <c r="F44" s="14"/>
      <c r="G44" s="14" t="str">
        <f t="shared" si="8"/>
        <v/>
      </c>
      <c r="H44" s="14"/>
      <c r="I44" s="14"/>
      <c r="J44" s="24"/>
      <c r="K44" s="24"/>
      <c r="L44" s="24"/>
      <c r="M44" s="24"/>
      <c r="N44" s="16" t="str">
        <f t="shared" si="1"/>
        <v/>
      </c>
      <c r="O44" s="16" t="str">
        <f t="shared" si="9"/>
        <v/>
      </c>
      <c r="P44" s="16" t="str">
        <f t="shared" si="10"/>
        <v/>
      </c>
      <c r="Q44" s="16" t="str">
        <f t="shared" si="11"/>
        <v/>
      </c>
      <c r="R44" s="16">
        <f t="shared" si="5"/>
        <v>0</v>
      </c>
      <c r="S44" s="16" t="str">
        <f>IF(OR($B44="",NOT(ISNUMBER($F44))),"",SUMIFS(community_cores_FS!$P$5:$P$597,community_cores_FS!$B$5:$B$597,$B44,community_cores_FS!$F$5:$F$597,"&lt;="&amp;$F44))</f>
        <v/>
      </c>
      <c r="T44" s="16" t="str">
        <f>IF(AND($A44="",$B44="",$E44=""),"",IF(AND($B44&lt;&gt;"",COUNTIF('2. Core Log'!$A$5:$A$124,$B44)=0),"Core ID not in Core Log. ","")&amp;IF(AND($A44&lt;&gt;"",COUNTIF('1. Plot &amp; Site Log'!$A$5:$A$64,$A44)=0),"Plot ID not in Plot &amp; Site Log. ","")&amp;IF(AND(ISNUMBER($E44),ISNUMBER($F44),$F44&lt;=$E44),"Bottom depth is not below top depth. ","")&amp;IF($I44="","Say which bulk-density basis the lab reported. ","")&amp;IF(AND(ISNUMBER($J44),OR($J44&lt;QC_BD_MIN,$J44&gt;QC_BD_MAX)),"Bulk density outside "&amp;QC_BD_MIN&amp;"–"&amp;QC_BD_MAX&amp;" g/cm³ for peat. Above the top of that range usually means the mineral contact has been passed. ","")&amp;IF(AND(ISNUMBER($N44),$N44&gt;QC_CARBON_PCT_MAX),"Carbon above "&amp;QC_CARBON_PCT_MAX&amp;"% — check units; this may be organic matter rather than carbon. ","")&amp;IF(AND($L44&lt;&gt;"",$M44&lt;&gt;""),"Both LOI and measured carbon given — the measured value is used. ","")&amp;IF(AND($M44="",$L44&lt;&gt;"",OM_FACTOR_IS_LOCAL&lt;&gt;"Yes"),"Carbon derived from LOI using the default factor of "&amp;CARBON_FRACTION_OM&amp;", which has not been calibrated locally. See R1. Reference. ","")&amp;IF(AND(ISNUMBER($O44),$O44=0,ISNUMBER($E44)),"Section lies entirely below the reference depth — it counts to the full-profile stock only. ",""))</f>
        <v/>
      </c>
      <c r="U44" s="14"/>
    </row>
    <row r="45" spans="1:21" ht="15.75" customHeight="1">
      <c r="A45" s="14"/>
      <c r="B45" s="14"/>
      <c r="C45" s="14"/>
      <c r="D45" s="14"/>
      <c r="E45" s="14"/>
      <c r="F45" s="14"/>
      <c r="G45" s="14" t="str">
        <f t="shared" si="8"/>
        <v/>
      </c>
      <c r="H45" s="14"/>
      <c r="I45" s="14"/>
      <c r="J45" s="24"/>
      <c r="K45" s="24"/>
      <c r="L45" s="24"/>
      <c r="M45" s="24"/>
      <c r="N45" s="16" t="str">
        <f t="shared" si="1"/>
        <v/>
      </c>
      <c r="O45" s="16" t="str">
        <f t="shared" si="9"/>
        <v/>
      </c>
      <c r="P45" s="16" t="str">
        <f t="shared" si="10"/>
        <v/>
      </c>
      <c r="Q45" s="16" t="str">
        <f t="shared" si="11"/>
        <v/>
      </c>
      <c r="R45" s="16">
        <f t="shared" si="5"/>
        <v>0</v>
      </c>
      <c r="S45" s="16" t="str">
        <f>IF(OR($B45="",NOT(ISNUMBER($F45))),"",SUMIFS(community_cores_FS!$P$5:$P$597,community_cores_FS!$B$5:$B$597,$B45,community_cores_FS!$F$5:$F$597,"&lt;="&amp;$F45))</f>
        <v/>
      </c>
      <c r="T45" s="16" t="str">
        <f>IF(AND($A45="",$B45="",$E45=""),"",IF(AND($B45&lt;&gt;"",COUNTIF('2. Core Log'!$A$5:$A$124,$B45)=0),"Core ID not in Core Log. ","")&amp;IF(AND($A45&lt;&gt;"",COUNTIF('1. Plot &amp; Site Log'!$A$5:$A$64,$A45)=0),"Plot ID not in Plot &amp; Site Log. ","")&amp;IF(AND(ISNUMBER($E45),ISNUMBER($F45),$F45&lt;=$E45),"Bottom depth is not below top depth. ","")&amp;IF($I45="","Say which bulk-density basis the lab reported. ","")&amp;IF(AND(ISNUMBER($J45),OR($J45&lt;QC_BD_MIN,$J45&gt;QC_BD_MAX)),"Bulk density outside "&amp;QC_BD_MIN&amp;"–"&amp;QC_BD_MAX&amp;" g/cm³ for peat. Above the top of that range usually means the mineral contact has been passed. ","")&amp;IF(AND(ISNUMBER($N45),$N45&gt;QC_CARBON_PCT_MAX),"Carbon above "&amp;QC_CARBON_PCT_MAX&amp;"% — check units; this may be organic matter rather than carbon. ","")&amp;IF(AND($L45&lt;&gt;"",$M45&lt;&gt;""),"Both LOI and measured carbon given — the measured value is used. ","")&amp;IF(AND($M45="",$L45&lt;&gt;"",OM_FACTOR_IS_LOCAL&lt;&gt;"Yes"),"Carbon derived from LOI using the default factor of "&amp;CARBON_FRACTION_OM&amp;", which has not been calibrated locally. See R1. Reference. ","")&amp;IF(AND(ISNUMBER($O45),$O45=0,ISNUMBER($E45)),"Section lies entirely below the reference depth — it counts to the full-profile stock only. ",""))</f>
        <v/>
      </c>
      <c r="U45" s="14"/>
    </row>
    <row r="46" spans="1:21" ht="15.75" customHeight="1">
      <c r="A46" s="14"/>
      <c r="B46" s="14"/>
      <c r="C46" s="14"/>
      <c r="D46" s="14"/>
      <c r="E46" s="14"/>
      <c r="F46" s="14"/>
      <c r="G46" s="14" t="str">
        <f t="shared" si="8"/>
        <v/>
      </c>
      <c r="H46" s="14"/>
      <c r="I46" s="14"/>
      <c r="J46" s="24"/>
      <c r="K46" s="24"/>
      <c r="L46" s="24"/>
      <c r="M46" s="24"/>
      <c r="N46" s="16" t="str">
        <f t="shared" si="1"/>
        <v/>
      </c>
      <c r="O46" s="16" t="str">
        <f t="shared" si="9"/>
        <v/>
      </c>
      <c r="P46" s="16" t="str">
        <f t="shared" si="10"/>
        <v/>
      </c>
      <c r="Q46" s="16" t="str">
        <f t="shared" si="11"/>
        <v/>
      </c>
      <c r="R46" s="16">
        <f t="shared" si="5"/>
        <v>0</v>
      </c>
      <c r="S46" s="16" t="str">
        <f>IF(OR($B46="",NOT(ISNUMBER($F46))),"",SUMIFS(community_cores_FS!$P$5:$P$597,community_cores_FS!$B$5:$B$597,$B46,community_cores_FS!$F$5:$F$597,"&lt;="&amp;$F46))</f>
        <v/>
      </c>
      <c r="T46" s="16" t="str">
        <f>IF(AND($A46="",$B46="",$E46=""),"",IF(AND($B46&lt;&gt;"",COUNTIF('2. Core Log'!$A$5:$A$124,$B46)=0),"Core ID not in Core Log. ","")&amp;IF(AND($A46&lt;&gt;"",COUNTIF('1. Plot &amp; Site Log'!$A$5:$A$64,$A46)=0),"Plot ID not in Plot &amp; Site Log. ","")&amp;IF(AND(ISNUMBER($E46),ISNUMBER($F46),$F46&lt;=$E46),"Bottom depth is not below top depth. ","")&amp;IF($I46="","Say which bulk-density basis the lab reported. ","")&amp;IF(AND(ISNUMBER($J46),OR($J46&lt;QC_BD_MIN,$J46&gt;QC_BD_MAX)),"Bulk density outside "&amp;QC_BD_MIN&amp;"–"&amp;QC_BD_MAX&amp;" g/cm³ for peat. Above the top of that range usually means the mineral contact has been passed. ","")&amp;IF(AND(ISNUMBER($N46),$N46&gt;QC_CARBON_PCT_MAX),"Carbon above "&amp;QC_CARBON_PCT_MAX&amp;"% — check units; this may be organic matter rather than carbon. ","")&amp;IF(AND($L46&lt;&gt;"",$M46&lt;&gt;""),"Both LOI and measured carbon given — the measured value is used. ","")&amp;IF(AND($M46="",$L46&lt;&gt;"",OM_FACTOR_IS_LOCAL&lt;&gt;"Yes"),"Carbon derived from LOI using the default factor of "&amp;CARBON_FRACTION_OM&amp;", which has not been calibrated locally. See R1. Reference. ","")&amp;IF(AND(ISNUMBER($O46),$O46=0,ISNUMBER($E46)),"Section lies entirely below the reference depth — it counts to the full-profile stock only. ",""))</f>
        <v/>
      </c>
      <c r="U46" s="14"/>
    </row>
    <row r="47" spans="1:21" ht="15.75" customHeight="1">
      <c r="A47" s="14"/>
      <c r="B47" s="14"/>
      <c r="C47" s="14"/>
      <c r="D47" s="14"/>
      <c r="E47" s="14"/>
      <c r="F47" s="14"/>
      <c r="G47" s="14" t="str">
        <f t="shared" si="8"/>
        <v/>
      </c>
      <c r="H47" s="14"/>
      <c r="I47" s="14"/>
      <c r="J47" s="24"/>
      <c r="K47" s="24"/>
      <c r="L47" s="24"/>
      <c r="M47" s="24"/>
      <c r="N47" s="16" t="str">
        <f t="shared" si="1"/>
        <v/>
      </c>
      <c r="O47" s="16" t="str">
        <f t="shared" si="9"/>
        <v/>
      </c>
      <c r="P47" s="16" t="str">
        <f t="shared" si="10"/>
        <v/>
      </c>
      <c r="Q47" s="16" t="str">
        <f t="shared" si="11"/>
        <v/>
      </c>
      <c r="R47" s="16">
        <f t="shared" si="5"/>
        <v>0</v>
      </c>
      <c r="S47" s="16" t="str">
        <f>IF(OR($B47="",NOT(ISNUMBER($F47))),"",SUMIFS(community_cores_FS!$P$5:$P$597,community_cores_FS!$B$5:$B$597,$B47,community_cores_FS!$F$5:$F$597,"&lt;="&amp;$F47))</f>
        <v/>
      </c>
      <c r="T47" s="16" t="str">
        <f>IF(AND($A47="",$B47="",$E47=""),"",IF(AND($B47&lt;&gt;"",COUNTIF('2. Core Log'!$A$5:$A$124,$B47)=0),"Core ID not in Core Log. ","")&amp;IF(AND($A47&lt;&gt;"",COUNTIF('1. Plot &amp; Site Log'!$A$5:$A$64,$A47)=0),"Plot ID not in Plot &amp; Site Log. ","")&amp;IF(AND(ISNUMBER($E47),ISNUMBER($F47),$F47&lt;=$E47),"Bottom depth is not below top depth. ","")&amp;IF($I47="","Say which bulk-density basis the lab reported. ","")&amp;IF(AND(ISNUMBER($J47),OR($J47&lt;QC_BD_MIN,$J47&gt;QC_BD_MAX)),"Bulk density outside "&amp;QC_BD_MIN&amp;"–"&amp;QC_BD_MAX&amp;" g/cm³ for peat. Above the top of that range usually means the mineral contact has been passed. ","")&amp;IF(AND(ISNUMBER($N47),$N47&gt;QC_CARBON_PCT_MAX),"Carbon above "&amp;QC_CARBON_PCT_MAX&amp;"% — check units; this may be organic matter rather than carbon. ","")&amp;IF(AND($L47&lt;&gt;"",$M47&lt;&gt;""),"Both LOI and measured carbon given — the measured value is used. ","")&amp;IF(AND($M47="",$L47&lt;&gt;"",OM_FACTOR_IS_LOCAL&lt;&gt;"Yes"),"Carbon derived from LOI using the default factor of "&amp;CARBON_FRACTION_OM&amp;", which has not been calibrated locally. See R1. Reference. ","")&amp;IF(AND(ISNUMBER($O47),$O47=0,ISNUMBER($E47)),"Section lies entirely below the reference depth — it counts to the full-profile stock only. ",""))</f>
        <v/>
      </c>
      <c r="U47" s="14"/>
    </row>
    <row r="48" spans="1:21" ht="15.75" customHeight="1">
      <c r="A48" s="14"/>
      <c r="B48" s="14"/>
      <c r="C48" s="14"/>
      <c r="D48" s="14"/>
      <c r="E48" s="14"/>
      <c r="F48" s="14"/>
      <c r="G48" s="14" t="str">
        <f t="shared" si="8"/>
        <v/>
      </c>
      <c r="H48" s="14"/>
      <c r="I48" s="14"/>
      <c r="J48" s="24"/>
      <c r="K48" s="24"/>
      <c r="L48" s="24"/>
      <c r="M48" s="24"/>
      <c r="N48" s="16" t="str">
        <f t="shared" si="1"/>
        <v/>
      </c>
      <c r="O48" s="16" t="str">
        <f t="shared" si="9"/>
        <v/>
      </c>
      <c r="P48" s="16" t="str">
        <f t="shared" si="10"/>
        <v/>
      </c>
      <c r="Q48" s="16" t="str">
        <f t="shared" si="11"/>
        <v/>
      </c>
      <c r="R48" s="16">
        <f t="shared" si="5"/>
        <v>0</v>
      </c>
      <c r="S48" s="16" t="str">
        <f>IF(OR($B48="",NOT(ISNUMBER($F48))),"",SUMIFS(community_cores_FS!$P$5:$P$597,community_cores_FS!$B$5:$B$597,$B48,community_cores_FS!$F$5:$F$597,"&lt;="&amp;$F48))</f>
        <v/>
      </c>
      <c r="T48" s="16" t="str">
        <f>IF(AND($A48="",$B48="",$E48=""),"",IF(AND($B48&lt;&gt;"",COUNTIF('2. Core Log'!$A$5:$A$124,$B48)=0),"Core ID not in Core Log. ","")&amp;IF(AND($A48&lt;&gt;"",COUNTIF('1. Plot &amp; Site Log'!$A$5:$A$64,$A48)=0),"Plot ID not in Plot &amp; Site Log. ","")&amp;IF(AND(ISNUMBER($E48),ISNUMBER($F48),$F48&lt;=$E48),"Bottom depth is not below top depth. ","")&amp;IF($I48="","Say which bulk-density basis the lab reported. ","")&amp;IF(AND(ISNUMBER($J48),OR($J48&lt;QC_BD_MIN,$J48&gt;QC_BD_MAX)),"Bulk density outside "&amp;QC_BD_MIN&amp;"–"&amp;QC_BD_MAX&amp;" g/cm³ for peat. Above the top of that range usually means the mineral contact has been passed. ","")&amp;IF(AND(ISNUMBER($N48),$N48&gt;QC_CARBON_PCT_MAX),"Carbon above "&amp;QC_CARBON_PCT_MAX&amp;"% — check units; this may be organic matter rather than carbon. ","")&amp;IF(AND($L48&lt;&gt;"",$M48&lt;&gt;""),"Both LOI and measured carbon given — the measured value is used. ","")&amp;IF(AND($M48="",$L48&lt;&gt;"",OM_FACTOR_IS_LOCAL&lt;&gt;"Yes"),"Carbon derived from LOI using the default factor of "&amp;CARBON_FRACTION_OM&amp;", which has not been calibrated locally. See R1. Reference. ","")&amp;IF(AND(ISNUMBER($O48),$O48=0,ISNUMBER($E48)),"Section lies entirely below the reference depth — it counts to the full-profile stock only. ",""))</f>
        <v/>
      </c>
      <c r="U48" s="14"/>
    </row>
    <row r="49" spans="1:21" ht="15.75" customHeight="1">
      <c r="A49" s="14"/>
      <c r="B49" s="14"/>
      <c r="C49" s="14"/>
      <c r="D49" s="14"/>
      <c r="E49" s="14"/>
      <c r="F49" s="14"/>
      <c r="G49" s="14" t="str">
        <f t="shared" si="8"/>
        <v/>
      </c>
      <c r="H49" s="14"/>
      <c r="I49" s="14"/>
      <c r="J49" s="24"/>
      <c r="K49" s="24"/>
      <c r="L49" s="24"/>
      <c r="M49" s="24"/>
      <c r="N49" s="16" t="str">
        <f t="shared" si="1"/>
        <v/>
      </c>
      <c r="O49" s="16" t="str">
        <f t="shared" si="9"/>
        <v/>
      </c>
      <c r="P49" s="16" t="str">
        <f t="shared" si="10"/>
        <v/>
      </c>
      <c r="Q49" s="16" t="str">
        <f t="shared" si="11"/>
        <v/>
      </c>
      <c r="R49" s="16">
        <f t="shared" si="5"/>
        <v>0</v>
      </c>
      <c r="S49" s="16" t="str">
        <f>IF(OR($B49="",NOT(ISNUMBER($F49))),"",SUMIFS(community_cores_FS!$P$5:$P$597,community_cores_FS!$B$5:$B$597,$B49,community_cores_FS!$F$5:$F$597,"&lt;="&amp;$F49))</f>
        <v/>
      </c>
      <c r="T49" s="16" t="str">
        <f>IF(AND($A49="",$B49="",$E49=""),"",IF(AND($B49&lt;&gt;"",COUNTIF('2. Core Log'!$A$5:$A$124,$B49)=0),"Core ID not in Core Log. ","")&amp;IF(AND($A49&lt;&gt;"",COUNTIF('1. Plot &amp; Site Log'!$A$5:$A$64,$A49)=0),"Plot ID not in Plot &amp; Site Log. ","")&amp;IF(AND(ISNUMBER($E49),ISNUMBER($F49),$F49&lt;=$E49),"Bottom depth is not below top depth. ","")&amp;IF($I49="","Say which bulk-density basis the lab reported. ","")&amp;IF(AND(ISNUMBER($J49),OR($J49&lt;QC_BD_MIN,$J49&gt;QC_BD_MAX)),"Bulk density outside "&amp;QC_BD_MIN&amp;"–"&amp;QC_BD_MAX&amp;" g/cm³ for peat. Above the top of that range usually means the mineral contact has been passed. ","")&amp;IF(AND(ISNUMBER($N49),$N49&gt;QC_CARBON_PCT_MAX),"Carbon above "&amp;QC_CARBON_PCT_MAX&amp;"% — check units; this may be organic matter rather than carbon. ","")&amp;IF(AND($L49&lt;&gt;"",$M49&lt;&gt;""),"Both LOI and measured carbon given — the measured value is used. ","")&amp;IF(AND($M49="",$L49&lt;&gt;"",OM_FACTOR_IS_LOCAL&lt;&gt;"Yes"),"Carbon derived from LOI using the default factor of "&amp;CARBON_FRACTION_OM&amp;", which has not been calibrated locally. See R1. Reference. ","")&amp;IF(AND(ISNUMBER($O49),$O49=0,ISNUMBER($E49)),"Section lies entirely below the reference depth — it counts to the full-profile stock only. ",""))</f>
        <v/>
      </c>
      <c r="U49" s="14"/>
    </row>
    <row r="50" spans="1:21" ht="15.75" customHeight="1">
      <c r="A50" s="14"/>
      <c r="B50" s="14"/>
      <c r="C50" s="14"/>
      <c r="D50" s="14"/>
      <c r="E50" s="14"/>
      <c r="F50" s="14"/>
      <c r="G50" s="14" t="str">
        <f t="shared" si="8"/>
        <v/>
      </c>
      <c r="H50" s="14"/>
      <c r="I50" s="14"/>
      <c r="J50" s="24"/>
      <c r="K50" s="24"/>
      <c r="L50" s="24"/>
      <c r="M50" s="24"/>
      <c r="N50" s="16" t="str">
        <f t="shared" si="1"/>
        <v/>
      </c>
      <c r="O50" s="16" t="str">
        <f t="shared" si="9"/>
        <v/>
      </c>
      <c r="P50" s="16" t="str">
        <f t="shared" si="10"/>
        <v/>
      </c>
      <c r="Q50" s="16" t="str">
        <f t="shared" si="11"/>
        <v/>
      </c>
      <c r="R50" s="16">
        <f t="shared" si="5"/>
        <v>0</v>
      </c>
      <c r="S50" s="16" t="str">
        <f>IF(OR($B50="",NOT(ISNUMBER($F50))),"",SUMIFS(community_cores_FS!$P$5:$P$597,community_cores_FS!$B$5:$B$597,$B50,community_cores_FS!$F$5:$F$597,"&lt;="&amp;$F50))</f>
        <v/>
      </c>
      <c r="T50" s="16" t="str">
        <f>IF(AND($A50="",$B50="",$E50=""),"",IF(AND($B50&lt;&gt;"",COUNTIF('2. Core Log'!$A$5:$A$124,$B50)=0),"Core ID not in Core Log. ","")&amp;IF(AND($A50&lt;&gt;"",COUNTIF('1. Plot &amp; Site Log'!$A$5:$A$64,$A50)=0),"Plot ID not in Plot &amp; Site Log. ","")&amp;IF(AND(ISNUMBER($E50),ISNUMBER($F50),$F50&lt;=$E50),"Bottom depth is not below top depth. ","")&amp;IF($I50="","Say which bulk-density basis the lab reported. ","")&amp;IF(AND(ISNUMBER($J50),OR($J50&lt;QC_BD_MIN,$J50&gt;QC_BD_MAX)),"Bulk density outside "&amp;QC_BD_MIN&amp;"–"&amp;QC_BD_MAX&amp;" g/cm³ for peat. Above the top of that range usually means the mineral contact has been passed. ","")&amp;IF(AND(ISNUMBER($N50),$N50&gt;QC_CARBON_PCT_MAX),"Carbon above "&amp;QC_CARBON_PCT_MAX&amp;"% — check units; this may be organic matter rather than carbon. ","")&amp;IF(AND($L50&lt;&gt;"",$M50&lt;&gt;""),"Both LOI and measured carbon given — the measured value is used. ","")&amp;IF(AND($M50="",$L50&lt;&gt;"",OM_FACTOR_IS_LOCAL&lt;&gt;"Yes"),"Carbon derived from LOI using the default factor of "&amp;CARBON_FRACTION_OM&amp;", which has not been calibrated locally. See R1. Reference. ","")&amp;IF(AND(ISNUMBER($O50),$O50=0,ISNUMBER($E50)),"Section lies entirely below the reference depth — it counts to the full-profile stock only. ",""))</f>
        <v/>
      </c>
      <c r="U50" s="14"/>
    </row>
    <row r="51" spans="1:21" ht="15.75" customHeight="1">
      <c r="A51" s="14"/>
      <c r="B51" s="14"/>
      <c r="C51" s="14"/>
      <c r="D51" s="14"/>
      <c r="E51" s="14"/>
      <c r="F51" s="14"/>
      <c r="G51" s="14" t="str">
        <f t="shared" si="8"/>
        <v/>
      </c>
      <c r="H51" s="14"/>
      <c r="I51" s="14"/>
      <c r="J51" s="24"/>
      <c r="K51" s="24"/>
      <c r="L51" s="24"/>
      <c r="M51" s="24"/>
      <c r="N51" s="16" t="str">
        <f t="shared" si="1"/>
        <v/>
      </c>
      <c r="O51" s="16" t="str">
        <f t="shared" si="9"/>
        <v/>
      </c>
      <c r="P51" s="16" t="str">
        <f t="shared" si="10"/>
        <v/>
      </c>
      <c r="Q51" s="16" t="str">
        <f t="shared" si="11"/>
        <v/>
      </c>
      <c r="R51" s="16">
        <f t="shared" si="5"/>
        <v>0</v>
      </c>
      <c r="S51" s="16" t="str">
        <f>IF(OR($B51="",NOT(ISNUMBER($F51))),"",SUMIFS(community_cores_FS!$P$5:$P$597,community_cores_FS!$B$5:$B$597,$B51,community_cores_FS!$F$5:$F$597,"&lt;="&amp;$F51))</f>
        <v/>
      </c>
      <c r="T51" s="16" t="str">
        <f>IF(AND($A51="",$B51="",$E51=""),"",IF(AND($B51&lt;&gt;"",COUNTIF('2. Core Log'!$A$5:$A$124,$B51)=0),"Core ID not in Core Log. ","")&amp;IF(AND($A51&lt;&gt;"",COUNTIF('1. Plot &amp; Site Log'!$A$5:$A$64,$A51)=0),"Plot ID not in Plot &amp; Site Log. ","")&amp;IF(AND(ISNUMBER($E51),ISNUMBER($F51),$F51&lt;=$E51),"Bottom depth is not below top depth. ","")&amp;IF($I51="","Say which bulk-density basis the lab reported. ","")&amp;IF(AND(ISNUMBER($J51),OR($J51&lt;QC_BD_MIN,$J51&gt;QC_BD_MAX)),"Bulk density outside "&amp;QC_BD_MIN&amp;"–"&amp;QC_BD_MAX&amp;" g/cm³ for peat. Above the top of that range usually means the mineral contact has been passed. ","")&amp;IF(AND(ISNUMBER($N51),$N51&gt;QC_CARBON_PCT_MAX),"Carbon above "&amp;QC_CARBON_PCT_MAX&amp;"% — check units; this may be organic matter rather than carbon. ","")&amp;IF(AND($L51&lt;&gt;"",$M51&lt;&gt;""),"Both LOI and measured carbon given — the measured value is used. ","")&amp;IF(AND($M51="",$L51&lt;&gt;"",OM_FACTOR_IS_LOCAL&lt;&gt;"Yes"),"Carbon derived from LOI using the default factor of "&amp;CARBON_FRACTION_OM&amp;", which has not been calibrated locally. See R1. Reference. ","")&amp;IF(AND(ISNUMBER($O51),$O51=0,ISNUMBER($E51)),"Section lies entirely below the reference depth — it counts to the full-profile stock only. ",""))</f>
        <v/>
      </c>
      <c r="U51" s="14"/>
    </row>
    <row r="52" spans="1:21" ht="15.75" customHeight="1">
      <c r="A52" s="14"/>
      <c r="B52" s="14"/>
      <c r="C52" s="14"/>
      <c r="D52" s="14"/>
      <c r="E52" s="14"/>
      <c r="F52" s="14"/>
      <c r="G52" s="14" t="str">
        <f t="shared" si="8"/>
        <v/>
      </c>
      <c r="H52" s="14"/>
      <c r="I52" s="14"/>
      <c r="J52" s="24"/>
      <c r="K52" s="24"/>
      <c r="L52" s="24"/>
      <c r="M52" s="24"/>
      <c r="N52" s="16" t="str">
        <f t="shared" si="1"/>
        <v/>
      </c>
      <c r="O52" s="16" t="str">
        <f t="shared" si="9"/>
        <v/>
      </c>
      <c r="P52" s="16" t="str">
        <f t="shared" si="10"/>
        <v/>
      </c>
      <c r="Q52" s="16" t="str">
        <f t="shared" si="11"/>
        <v/>
      </c>
      <c r="R52" s="16">
        <f t="shared" si="5"/>
        <v>0</v>
      </c>
      <c r="S52" s="16" t="str">
        <f>IF(OR($B52="",NOT(ISNUMBER($F52))),"",SUMIFS(community_cores_FS!$P$5:$P$597,community_cores_FS!$B$5:$B$597,$B52,community_cores_FS!$F$5:$F$597,"&lt;="&amp;$F52))</f>
        <v/>
      </c>
      <c r="T52" s="16" t="str">
        <f>IF(AND($A52="",$B52="",$E52=""),"",IF(AND($B52&lt;&gt;"",COUNTIF('2. Core Log'!$A$5:$A$124,$B52)=0),"Core ID not in Core Log. ","")&amp;IF(AND($A52&lt;&gt;"",COUNTIF('1. Plot &amp; Site Log'!$A$5:$A$64,$A52)=0),"Plot ID not in Plot &amp; Site Log. ","")&amp;IF(AND(ISNUMBER($E52),ISNUMBER($F52),$F52&lt;=$E52),"Bottom depth is not below top depth. ","")&amp;IF($I52="","Say which bulk-density basis the lab reported. ","")&amp;IF(AND(ISNUMBER($J52),OR($J52&lt;QC_BD_MIN,$J52&gt;QC_BD_MAX)),"Bulk density outside "&amp;QC_BD_MIN&amp;"–"&amp;QC_BD_MAX&amp;" g/cm³ for peat. Above the top of that range usually means the mineral contact has been passed. ","")&amp;IF(AND(ISNUMBER($N52),$N52&gt;QC_CARBON_PCT_MAX),"Carbon above "&amp;QC_CARBON_PCT_MAX&amp;"% — check units; this may be organic matter rather than carbon. ","")&amp;IF(AND($L52&lt;&gt;"",$M52&lt;&gt;""),"Both LOI and measured carbon given — the measured value is used. ","")&amp;IF(AND($M52="",$L52&lt;&gt;"",OM_FACTOR_IS_LOCAL&lt;&gt;"Yes"),"Carbon derived from LOI using the default factor of "&amp;CARBON_FRACTION_OM&amp;", which has not been calibrated locally. See R1. Reference. ","")&amp;IF(AND(ISNUMBER($O52),$O52=0,ISNUMBER($E52)),"Section lies entirely below the reference depth — it counts to the full-profile stock only. ",""))</f>
        <v/>
      </c>
      <c r="U52" s="14"/>
    </row>
    <row r="53" spans="1:21" ht="15.75" customHeight="1">
      <c r="A53" s="14"/>
      <c r="B53" s="14"/>
      <c r="C53" s="14"/>
      <c r="D53" s="14"/>
      <c r="E53" s="14"/>
      <c r="F53" s="14"/>
      <c r="G53" s="14" t="str">
        <f t="shared" si="8"/>
        <v/>
      </c>
      <c r="H53" s="14"/>
      <c r="I53" s="14"/>
      <c r="J53" s="24"/>
      <c r="K53" s="24"/>
      <c r="L53" s="24"/>
      <c r="M53" s="24"/>
      <c r="N53" s="16" t="str">
        <f t="shared" si="1"/>
        <v/>
      </c>
      <c r="O53" s="16" t="str">
        <f t="shared" si="9"/>
        <v/>
      </c>
      <c r="P53" s="16" t="str">
        <f t="shared" si="10"/>
        <v/>
      </c>
      <c r="Q53" s="16" t="str">
        <f t="shared" si="11"/>
        <v/>
      </c>
      <c r="R53" s="16">
        <f t="shared" si="5"/>
        <v>0</v>
      </c>
      <c r="S53" s="16" t="str">
        <f>IF(OR($B53="",NOT(ISNUMBER($F53))),"",SUMIFS(community_cores_FS!$P$5:$P$597,community_cores_FS!$B$5:$B$597,$B53,community_cores_FS!$F$5:$F$597,"&lt;="&amp;$F53))</f>
        <v/>
      </c>
      <c r="T53" s="16" t="str">
        <f>IF(AND($A53="",$B53="",$E53=""),"",IF(AND($B53&lt;&gt;"",COUNTIF('2. Core Log'!$A$5:$A$124,$B53)=0),"Core ID not in Core Log. ","")&amp;IF(AND($A53&lt;&gt;"",COUNTIF('1. Plot &amp; Site Log'!$A$5:$A$64,$A53)=0),"Plot ID not in Plot &amp; Site Log. ","")&amp;IF(AND(ISNUMBER($E53),ISNUMBER($F53),$F53&lt;=$E53),"Bottom depth is not below top depth. ","")&amp;IF($I53="","Say which bulk-density basis the lab reported. ","")&amp;IF(AND(ISNUMBER($J53),OR($J53&lt;QC_BD_MIN,$J53&gt;QC_BD_MAX)),"Bulk density outside "&amp;QC_BD_MIN&amp;"–"&amp;QC_BD_MAX&amp;" g/cm³ for peat. Above the top of that range usually means the mineral contact has been passed. ","")&amp;IF(AND(ISNUMBER($N53),$N53&gt;QC_CARBON_PCT_MAX),"Carbon above "&amp;QC_CARBON_PCT_MAX&amp;"% — check units; this may be organic matter rather than carbon. ","")&amp;IF(AND($L53&lt;&gt;"",$M53&lt;&gt;""),"Both LOI and measured carbon given — the measured value is used. ","")&amp;IF(AND($M53="",$L53&lt;&gt;"",OM_FACTOR_IS_LOCAL&lt;&gt;"Yes"),"Carbon derived from LOI using the default factor of "&amp;CARBON_FRACTION_OM&amp;", which has not been calibrated locally. See R1. Reference. ","")&amp;IF(AND(ISNUMBER($O53),$O53=0,ISNUMBER($E53)),"Section lies entirely below the reference depth — it counts to the full-profile stock only. ",""))</f>
        <v/>
      </c>
      <c r="U53" s="14"/>
    </row>
    <row r="54" spans="1:21" ht="15.75" customHeight="1">
      <c r="A54" s="14"/>
      <c r="B54" s="14"/>
      <c r="C54" s="14"/>
      <c r="D54" s="14"/>
      <c r="E54" s="14"/>
      <c r="F54" s="14"/>
      <c r="G54" s="14" t="str">
        <f t="shared" si="8"/>
        <v/>
      </c>
      <c r="H54" s="14"/>
      <c r="I54" s="14"/>
      <c r="J54" s="24"/>
      <c r="K54" s="24"/>
      <c r="L54" s="24"/>
      <c r="M54" s="24"/>
      <c r="N54" s="16" t="str">
        <f t="shared" si="1"/>
        <v/>
      </c>
      <c r="O54" s="16" t="str">
        <f t="shared" si="9"/>
        <v/>
      </c>
      <c r="P54" s="16" t="str">
        <f t="shared" si="10"/>
        <v/>
      </c>
      <c r="Q54" s="16" t="str">
        <f t="shared" si="11"/>
        <v/>
      </c>
      <c r="R54" s="16">
        <f t="shared" si="5"/>
        <v>0</v>
      </c>
      <c r="S54" s="16" t="str">
        <f>IF(OR($B54="",NOT(ISNUMBER($F54))),"",SUMIFS(community_cores_FS!$P$5:$P$597,community_cores_FS!$B$5:$B$597,$B54,community_cores_FS!$F$5:$F$597,"&lt;="&amp;$F54))</f>
        <v/>
      </c>
      <c r="T54" s="16" t="str">
        <f>IF(AND($A54="",$B54="",$E54=""),"",IF(AND($B54&lt;&gt;"",COUNTIF('2. Core Log'!$A$5:$A$124,$B54)=0),"Core ID not in Core Log. ","")&amp;IF(AND($A54&lt;&gt;"",COUNTIF('1. Plot &amp; Site Log'!$A$5:$A$64,$A54)=0),"Plot ID not in Plot &amp; Site Log. ","")&amp;IF(AND(ISNUMBER($E54),ISNUMBER($F54),$F54&lt;=$E54),"Bottom depth is not below top depth. ","")&amp;IF($I54="","Say which bulk-density basis the lab reported. ","")&amp;IF(AND(ISNUMBER($J54),OR($J54&lt;QC_BD_MIN,$J54&gt;QC_BD_MAX)),"Bulk density outside "&amp;QC_BD_MIN&amp;"–"&amp;QC_BD_MAX&amp;" g/cm³ for peat. Above the top of that range usually means the mineral contact has been passed. ","")&amp;IF(AND(ISNUMBER($N54),$N54&gt;QC_CARBON_PCT_MAX),"Carbon above "&amp;QC_CARBON_PCT_MAX&amp;"% — check units; this may be organic matter rather than carbon. ","")&amp;IF(AND($L54&lt;&gt;"",$M54&lt;&gt;""),"Both LOI and measured carbon given — the measured value is used. ","")&amp;IF(AND($M54="",$L54&lt;&gt;"",OM_FACTOR_IS_LOCAL&lt;&gt;"Yes"),"Carbon derived from LOI using the default factor of "&amp;CARBON_FRACTION_OM&amp;", which has not been calibrated locally. See R1. Reference. ","")&amp;IF(AND(ISNUMBER($O54),$O54=0,ISNUMBER($E54)),"Section lies entirely below the reference depth — it counts to the full-profile stock only. ",""))</f>
        <v/>
      </c>
      <c r="U54" s="14"/>
    </row>
    <row r="55" spans="1:21" ht="15.75" customHeight="1">
      <c r="A55" s="14"/>
      <c r="B55" s="14"/>
      <c r="C55" s="14"/>
      <c r="D55" s="14"/>
      <c r="E55" s="14"/>
      <c r="F55" s="14"/>
      <c r="G55" s="14" t="str">
        <f t="shared" si="8"/>
        <v/>
      </c>
      <c r="H55" s="14"/>
      <c r="I55" s="14"/>
      <c r="J55" s="24"/>
      <c r="K55" s="24"/>
      <c r="L55" s="24"/>
      <c r="M55" s="24"/>
      <c r="N55" s="16" t="str">
        <f t="shared" si="1"/>
        <v/>
      </c>
      <c r="O55" s="16" t="str">
        <f t="shared" si="9"/>
        <v/>
      </c>
      <c r="P55" s="16" t="str">
        <f t="shared" si="10"/>
        <v/>
      </c>
      <c r="Q55" s="16" t="str">
        <f t="shared" si="11"/>
        <v/>
      </c>
      <c r="R55" s="16">
        <f t="shared" si="5"/>
        <v>0</v>
      </c>
      <c r="S55" s="16" t="str">
        <f>IF(OR($B55="",NOT(ISNUMBER($F55))),"",SUMIFS(community_cores_FS!$P$5:$P$597,community_cores_FS!$B$5:$B$597,$B55,community_cores_FS!$F$5:$F$597,"&lt;="&amp;$F55))</f>
        <v/>
      </c>
      <c r="T55" s="16" t="str">
        <f>IF(AND($A55="",$B55="",$E55=""),"",IF(AND($B55&lt;&gt;"",COUNTIF('2. Core Log'!$A$5:$A$124,$B55)=0),"Core ID not in Core Log. ","")&amp;IF(AND($A55&lt;&gt;"",COUNTIF('1. Plot &amp; Site Log'!$A$5:$A$64,$A55)=0),"Plot ID not in Plot &amp; Site Log. ","")&amp;IF(AND(ISNUMBER($E55),ISNUMBER($F55),$F55&lt;=$E55),"Bottom depth is not below top depth. ","")&amp;IF($I55="","Say which bulk-density basis the lab reported. ","")&amp;IF(AND(ISNUMBER($J55),OR($J55&lt;QC_BD_MIN,$J55&gt;QC_BD_MAX)),"Bulk density outside "&amp;QC_BD_MIN&amp;"–"&amp;QC_BD_MAX&amp;" g/cm³ for peat. Above the top of that range usually means the mineral contact has been passed. ","")&amp;IF(AND(ISNUMBER($N55),$N55&gt;QC_CARBON_PCT_MAX),"Carbon above "&amp;QC_CARBON_PCT_MAX&amp;"% — check units; this may be organic matter rather than carbon. ","")&amp;IF(AND($L55&lt;&gt;"",$M55&lt;&gt;""),"Both LOI and measured carbon given — the measured value is used. ","")&amp;IF(AND($M55="",$L55&lt;&gt;"",OM_FACTOR_IS_LOCAL&lt;&gt;"Yes"),"Carbon derived from LOI using the default factor of "&amp;CARBON_FRACTION_OM&amp;", which has not been calibrated locally. See R1. Reference. ","")&amp;IF(AND(ISNUMBER($O55),$O55=0,ISNUMBER($E55)),"Section lies entirely below the reference depth — it counts to the full-profile stock only. ",""))</f>
        <v/>
      </c>
      <c r="U55" s="14"/>
    </row>
    <row r="56" spans="1:21" ht="15.75" customHeight="1">
      <c r="A56" s="14"/>
      <c r="B56" s="14"/>
      <c r="C56" s="14"/>
      <c r="D56" s="14"/>
      <c r="E56" s="14"/>
      <c r="F56" s="14"/>
      <c r="G56" s="14" t="str">
        <f t="shared" si="8"/>
        <v/>
      </c>
      <c r="H56" s="14"/>
      <c r="I56" s="14"/>
      <c r="J56" s="24"/>
      <c r="K56" s="24"/>
      <c r="L56" s="24"/>
      <c r="M56" s="24"/>
      <c r="N56" s="16" t="str">
        <f t="shared" si="1"/>
        <v/>
      </c>
      <c r="O56" s="16" t="str">
        <f t="shared" si="9"/>
        <v/>
      </c>
      <c r="P56" s="16" t="str">
        <f t="shared" si="10"/>
        <v/>
      </c>
      <c r="Q56" s="16" t="str">
        <f t="shared" si="11"/>
        <v/>
      </c>
      <c r="R56" s="16">
        <f t="shared" si="5"/>
        <v>0</v>
      </c>
      <c r="S56" s="16" t="str">
        <f>IF(OR($B56="",NOT(ISNUMBER($F56))),"",SUMIFS(community_cores_FS!$P$5:$P$597,community_cores_FS!$B$5:$B$597,$B56,community_cores_FS!$F$5:$F$597,"&lt;="&amp;$F56))</f>
        <v/>
      </c>
      <c r="T56" s="16" t="str">
        <f>IF(AND($A56="",$B56="",$E56=""),"",IF(AND($B56&lt;&gt;"",COUNTIF('2. Core Log'!$A$5:$A$124,$B56)=0),"Core ID not in Core Log. ","")&amp;IF(AND($A56&lt;&gt;"",COUNTIF('1. Plot &amp; Site Log'!$A$5:$A$64,$A56)=0),"Plot ID not in Plot &amp; Site Log. ","")&amp;IF(AND(ISNUMBER($E56),ISNUMBER($F56),$F56&lt;=$E56),"Bottom depth is not below top depth. ","")&amp;IF($I56="","Say which bulk-density basis the lab reported. ","")&amp;IF(AND(ISNUMBER($J56),OR($J56&lt;QC_BD_MIN,$J56&gt;QC_BD_MAX)),"Bulk density outside "&amp;QC_BD_MIN&amp;"–"&amp;QC_BD_MAX&amp;" g/cm³ for peat. Above the top of that range usually means the mineral contact has been passed. ","")&amp;IF(AND(ISNUMBER($N56),$N56&gt;QC_CARBON_PCT_MAX),"Carbon above "&amp;QC_CARBON_PCT_MAX&amp;"% — check units; this may be organic matter rather than carbon. ","")&amp;IF(AND($L56&lt;&gt;"",$M56&lt;&gt;""),"Both LOI and measured carbon given — the measured value is used. ","")&amp;IF(AND($M56="",$L56&lt;&gt;"",OM_FACTOR_IS_LOCAL&lt;&gt;"Yes"),"Carbon derived from LOI using the default factor of "&amp;CARBON_FRACTION_OM&amp;", which has not been calibrated locally. See R1. Reference. ","")&amp;IF(AND(ISNUMBER($O56),$O56=0,ISNUMBER($E56)),"Section lies entirely below the reference depth — it counts to the full-profile stock only. ",""))</f>
        <v/>
      </c>
      <c r="U56" s="14"/>
    </row>
    <row r="57" spans="1:21" ht="15.75" customHeight="1">
      <c r="A57" s="14"/>
      <c r="B57" s="14"/>
      <c r="C57" s="14"/>
      <c r="D57" s="14"/>
      <c r="E57" s="14"/>
      <c r="F57" s="14"/>
      <c r="G57" s="14" t="str">
        <f t="shared" si="8"/>
        <v/>
      </c>
      <c r="H57" s="14"/>
      <c r="I57" s="14"/>
      <c r="J57" s="24"/>
      <c r="K57" s="24"/>
      <c r="L57" s="24"/>
      <c r="M57" s="24"/>
      <c r="N57" s="16" t="str">
        <f t="shared" si="1"/>
        <v/>
      </c>
      <c r="O57" s="16" t="str">
        <f t="shared" si="9"/>
        <v/>
      </c>
      <c r="P57" s="16" t="str">
        <f t="shared" si="10"/>
        <v/>
      </c>
      <c r="Q57" s="16" t="str">
        <f t="shared" si="11"/>
        <v/>
      </c>
      <c r="R57" s="16">
        <f t="shared" si="5"/>
        <v>0</v>
      </c>
      <c r="S57" s="16" t="str">
        <f>IF(OR($B57="",NOT(ISNUMBER($F57))),"",SUMIFS(community_cores_FS!$P$5:$P$597,community_cores_FS!$B$5:$B$597,$B57,community_cores_FS!$F$5:$F$597,"&lt;="&amp;$F57))</f>
        <v/>
      </c>
      <c r="T57" s="16" t="str">
        <f>IF(AND($A57="",$B57="",$E57=""),"",IF(AND($B57&lt;&gt;"",COUNTIF('2. Core Log'!$A$5:$A$124,$B57)=0),"Core ID not in Core Log. ","")&amp;IF(AND($A57&lt;&gt;"",COUNTIF('1. Plot &amp; Site Log'!$A$5:$A$64,$A57)=0),"Plot ID not in Plot &amp; Site Log. ","")&amp;IF(AND(ISNUMBER($E57),ISNUMBER($F57),$F57&lt;=$E57),"Bottom depth is not below top depth. ","")&amp;IF($I57="","Say which bulk-density basis the lab reported. ","")&amp;IF(AND(ISNUMBER($J57),OR($J57&lt;QC_BD_MIN,$J57&gt;QC_BD_MAX)),"Bulk density outside "&amp;QC_BD_MIN&amp;"–"&amp;QC_BD_MAX&amp;" g/cm³ for peat. Above the top of that range usually means the mineral contact has been passed. ","")&amp;IF(AND(ISNUMBER($N57),$N57&gt;QC_CARBON_PCT_MAX),"Carbon above "&amp;QC_CARBON_PCT_MAX&amp;"% — check units; this may be organic matter rather than carbon. ","")&amp;IF(AND($L57&lt;&gt;"",$M57&lt;&gt;""),"Both LOI and measured carbon given — the measured value is used. ","")&amp;IF(AND($M57="",$L57&lt;&gt;"",OM_FACTOR_IS_LOCAL&lt;&gt;"Yes"),"Carbon derived from LOI using the default factor of "&amp;CARBON_FRACTION_OM&amp;", which has not been calibrated locally. See R1. Reference. ","")&amp;IF(AND(ISNUMBER($O57),$O57=0,ISNUMBER($E57)),"Section lies entirely below the reference depth — it counts to the full-profile stock only. ",""))</f>
        <v/>
      </c>
      <c r="U57" s="14"/>
    </row>
    <row r="58" spans="1:21" ht="15.75" customHeight="1">
      <c r="A58" s="14"/>
      <c r="B58" s="14"/>
      <c r="C58" s="14"/>
      <c r="D58" s="14"/>
      <c r="E58" s="14"/>
      <c r="F58" s="14"/>
      <c r="G58" s="14" t="str">
        <f t="shared" si="8"/>
        <v/>
      </c>
      <c r="H58" s="14"/>
      <c r="I58" s="14"/>
      <c r="J58" s="24"/>
      <c r="K58" s="24"/>
      <c r="L58" s="24"/>
      <c r="M58" s="24"/>
      <c r="N58" s="16" t="str">
        <f t="shared" si="1"/>
        <v/>
      </c>
      <c r="O58" s="16" t="str">
        <f t="shared" si="9"/>
        <v/>
      </c>
      <c r="P58" s="16" t="str">
        <f t="shared" si="10"/>
        <v/>
      </c>
      <c r="Q58" s="16" t="str">
        <f t="shared" si="11"/>
        <v/>
      </c>
      <c r="R58" s="16">
        <f t="shared" si="5"/>
        <v>0</v>
      </c>
      <c r="S58" s="16" t="str">
        <f>IF(OR($B58="",NOT(ISNUMBER($F58))),"",SUMIFS(community_cores_FS!$P$5:$P$597,community_cores_FS!$B$5:$B$597,$B58,community_cores_FS!$F$5:$F$597,"&lt;="&amp;$F58))</f>
        <v/>
      </c>
      <c r="T58" s="16" t="str">
        <f>IF(AND($A58="",$B58="",$E58=""),"",IF(AND($B58&lt;&gt;"",COUNTIF('2. Core Log'!$A$5:$A$124,$B58)=0),"Core ID not in Core Log. ","")&amp;IF(AND($A58&lt;&gt;"",COUNTIF('1. Plot &amp; Site Log'!$A$5:$A$64,$A58)=0),"Plot ID not in Plot &amp; Site Log. ","")&amp;IF(AND(ISNUMBER($E58),ISNUMBER($F58),$F58&lt;=$E58),"Bottom depth is not below top depth. ","")&amp;IF($I58="","Say which bulk-density basis the lab reported. ","")&amp;IF(AND(ISNUMBER($J58),OR($J58&lt;QC_BD_MIN,$J58&gt;QC_BD_MAX)),"Bulk density outside "&amp;QC_BD_MIN&amp;"–"&amp;QC_BD_MAX&amp;" g/cm³ for peat. Above the top of that range usually means the mineral contact has been passed. ","")&amp;IF(AND(ISNUMBER($N58),$N58&gt;QC_CARBON_PCT_MAX),"Carbon above "&amp;QC_CARBON_PCT_MAX&amp;"% — check units; this may be organic matter rather than carbon. ","")&amp;IF(AND($L58&lt;&gt;"",$M58&lt;&gt;""),"Both LOI and measured carbon given — the measured value is used. ","")&amp;IF(AND($M58="",$L58&lt;&gt;"",OM_FACTOR_IS_LOCAL&lt;&gt;"Yes"),"Carbon derived from LOI using the default factor of "&amp;CARBON_FRACTION_OM&amp;", which has not been calibrated locally. See R1. Reference. ","")&amp;IF(AND(ISNUMBER($O58),$O58=0,ISNUMBER($E58)),"Section lies entirely below the reference depth — it counts to the full-profile stock only. ",""))</f>
        <v/>
      </c>
      <c r="U58" s="14"/>
    </row>
    <row r="59" spans="1:21" ht="15.75" customHeight="1">
      <c r="A59" s="14"/>
      <c r="B59" s="14"/>
      <c r="C59" s="14"/>
      <c r="D59" s="14"/>
      <c r="E59" s="14"/>
      <c r="F59" s="14"/>
      <c r="G59" s="14" t="str">
        <f t="shared" si="8"/>
        <v/>
      </c>
      <c r="H59" s="14"/>
      <c r="I59" s="14"/>
      <c r="J59" s="24"/>
      <c r="K59" s="24"/>
      <c r="L59" s="24"/>
      <c r="M59" s="24"/>
      <c r="N59" s="16" t="str">
        <f t="shared" si="1"/>
        <v/>
      </c>
      <c r="O59" s="16" t="str">
        <f t="shared" si="9"/>
        <v/>
      </c>
      <c r="P59" s="16" t="str">
        <f t="shared" si="10"/>
        <v/>
      </c>
      <c r="Q59" s="16" t="str">
        <f t="shared" si="11"/>
        <v/>
      </c>
      <c r="R59" s="16">
        <f t="shared" si="5"/>
        <v>0</v>
      </c>
      <c r="S59" s="16" t="str">
        <f>IF(OR($B59="",NOT(ISNUMBER($F59))),"",SUMIFS(community_cores_FS!$P$5:$P$597,community_cores_FS!$B$5:$B$597,$B59,community_cores_FS!$F$5:$F$597,"&lt;="&amp;$F59))</f>
        <v/>
      </c>
      <c r="T59" s="16" t="str">
        <f>IF(AND($A59="",$B59="",$E59=""),"",IF(AND($B59&lt;&gt;"",COUNTIF('2. Core Log'!$A$5:$A$124,$B59)=0),"Core ID not in Core Log. ","")&amp;IF(AND($A59&lt;&gt;"",COUNTIF('1. Plot &amp; Site Log'!$A$5:$A$64,$A59)=0),"Plot ID not in Plot &amp; Site Log. ","")&amp;IF(AND(ISNUMBER($E59),ISNUMBER($F59),$F59&lt;=$E59),"Bottom depth is not below top depth. ","")&amp;IF($I59="","Say which bulk-density basis the lab reported. ","")&amp;IF(AND(ISNUMBER($J59),OR($J59&lt;QC_BD_MIN,$J59&gt;QC_BD_MAX)),"Bulk density outside "&amp;QC_BD_MIN&amp;"–"&amp;QC_BD_MAX&amp;" g/cm³ for peat. Above the top of that range usually means the mineral contact has been passed. ","")&amp;IF(AND(ISNUMBER($N59),$N59&gt;QC_CARBON_PCT_MAX),"Carbon above "&amp;QC_CARBON_PCT_MAX&amp;"% — check units; this may be organic matter rather than carbon. ","")&amp;IF(AND($L59&lt;&gt;"",$M59&lt;&gt;""),"Both LOI and measured carbon given — the measured value is used. ","")&amp;IF(AND($M59="",$L59&lt;&gt;"",OM_FACTOR_IS_LOCAL&lt;&gt;"Yes"),"Carbon derived from LOI using the default factor of "&amp;CARBON_FRACTION_OM&amp;", which has not been calibrated locally. See R1. Reference. ","")&amp;IF(AND(ISNUMBER($O59),$O59=0,ISNUMBER($E59)),"Section lies entirely below the reference depth — it counts to the full-profile stock only. ",""))</f>
        <v/>
      </c>
      <c r="U59" s="14"/>
    </row>
    <row r="60" spans="1:21" ht="15.75" customHeight="1">
      <c r="A60" s="14"/>
      <c r="B60" s="14"/>
      <c r="C60" s="14"/>
      <c r="D60" s="14"/>
      <c r="E60" s="14"/>
      <c r="F60" s="14"/>
      <c r="G60" s="14" t="str">
        <f t="shared" si="8"/>
        <v/>
      </c>
      <c r="H60" s="14"/>
      <c r="I60" s="14"/>
      <c r="J60" s="24"/>
      <c r="K60" s="24"/>
      <c r="L60" s="24"/>
      <c r="M60" s="24"/>
      <c r="N60" s="16" t="str">
        <f t="shared" si="1"/>
        <v/>
      </c>
      <c r="O60" s="16" t="str">
        <f t="shared" si="9"/>
        <v/>
      </c>
      <c r="P60" s="16" t="str">
        <f t="shared" si="10"/>
        <v/>
      </c>
      <c r="Q60" s="16" t="str">
        <f t="shared" si="11"/>
        <v/>
      </c>
      <c r="R60" s="16">
        <f t="shared" si="5"/>
        <v>0</v>
      </c>
      <c r="S60" s="16" t="str">
        <f>IF(OR($B60="",NOT(ISNUMBER($F60))),"",SUMIFS(community_cores_FS!$P$5:$P$597,community_cores_FS!$B$5:$B$597,$B60,community_cores_FS!$F$5:$F$597,"&lt;="&amp;$F60))</f>
        <v/>
      </c>
      <c r="T60" s="16" t="str">
        <f>IF(AND($A60="",$B60="",$E60=""),"",IF(AND($B60&lt;&gt;"",COUNTIF('2. Core Log'!$A$5:$A$124,$B60)=0),"Core ID not in Core Log. ","")&amp;IF(AND($A60&lt;&gt;"",COUNTIF('1. Plot &amp; Site Log'!$A$5:$A$64,$A60)=0),"Plot ID not in Plot &amp; Site Log. ","")&amp;IF(AND(ISNUMBER($E60),ISNUMBER($F60),$F60&lt;=$E60),"Bottom depth is not below top depth. ","")&amp;IF($I60="","Say which bulk-density basis the lab reported. ","")&amp;IF(AND(ISNUMBER($J60),OR($J60&lt;QC_BD_MIN,$J60&gt;QC_BD_MAX)),"Bulk density outside "&amp;QC_BD_MIN&amp;"–"&amp;QC_BD_MAX&amp;" g/cm³ for peat. Above the top of that range usually means the mineral contact has been passed. ","")&amp;IF(AND(ISNUMBER($N60),$N60&gt;QC_CARBON_PCT_MAX),"Carbon above "&amp;QC_CARBON_PCT_MAX&amp;"% — check units; this may be organic matter rather than carbon. ","")&amp;IF(AND($L60&lt;&gt;"",$M60&lt;&gt;""),"Both LOI and measured carbon given — the measured value is used. ","")&amp;IF(AND($M60="",$L60&lt;&gt;"",OM_FACTOR_IS_LOCAL&lt;&gt;"Yes"),"Carbon derived from LOI using the default factor of "&amp;CARBON_FRACTION_OM&amp;", which has not been calibrated locally. See R1. Reference. ","")&amp;IF(AND(ISNUMBER($O60),$O60=0,ISNUMBER($E60)),"Section lies entirely below the reference depth — it counts to the full-profile stock only. ",""))</f>
        <v/>
      </c>
      <c r="U60" s="14"/>
    </row>
    <row r="61" spans="1:21" ht="15.75" customHeight="1">
      <c r="A61" s="14"/>
      <c r="B61" s="14"/>
      <c r="C61" s="14"/>
      <c r="D61" s="14"/>
      <c r="E61" s="14"/>
      <c r="F61" s="14"/>
      <c r="G61" s="14" t="str">
        <f t="shared" si="8"/>
        <v/>
      </c>
      <c r="H61" s="14"/>
      <c r="I61" s="14"/>
      <c r="J61" s="24"/>
      <c r="K61" s="24"/>
      <c r="L61" s="24"/>
      <c r="M61" s="24"/>
      <c r="N61" s="16" t="str">
        <f t="shared" si="1"/>
        <v/>
      </c>
      <c r="O61" s="16" t="str">
        <f t="shared" si="9"/>
        <v/>
      </c>
      <c r="P61" s="16" t="str">
        <f t="shared" si="10"/>
        <v/>
      </c>
      <c r="Q61" s="16" t="str">
        <f t="shared" si="11"/>
        <v/>
      </c>
      <c r="R61" s="16">
        <f t="shared" si="5"/>
        <v>0</v>
      </c>
      <c r="S61" s="16" t="str">
        <f>IF(OR($B61="",NOT(ISNUMBER($F61))),"",SUMIFS(community_cores_FS!$P$5:$P$597,community_cores_FS!$B$5:$B$597,$B61,community_cores_FS!$F$5:$F$597,"&lt;="&amp;$F61))</f>
        <v/>
      </c>
      <c r="T61" s="16" t="str">
        <f>IF(AND($A61="",$B61="",$E61=""),"",IF(AND($B61&lt;&gt;"",COUNTIF('2. Core Log'!$A$5:$A$124,$B61)=0),"Core ID not in Core Log. ","")&amp;IF(AND($A61&lt;&gt;"",COUNTIF('1. Plot &amp; Site Log'!$A$5:$A$64,$A61)=0),"Plot ID not in Plot &amp; Site Log. ","")&amp;IF(AND(ISNUMBER($E61),ISNUMBER($F61),$F61&lt;=$E61),"Bottom depth is not below top depth. ","")&amp;IF($I61="","Say which bulk-density basis the lab reported. ","")&amp;IF(AND(ISNUMBER($J61),OR($J61&lt;QC_BD_MIN,$J61&gt;QC_BD_MAX)),"Bulk density outside "&amp;QC_BD_MIN&amp;"–"&amp;QC_BD_MAX&amp;" g/cm³ for peat. Above the top of that range usually means the mineral contact has been passed. ","")&amp;IF(AND(ISNUMBER($N61),$N61&gt;QC_CARBON_PCT_MAX),"Carbon above "&amp;QC_CARBON_PCT_MAX&amp;"% — check units; this may be organic matter rather than carbon. ","")&amp;IF(AND($L61&lt;&gt;"",$M61&lt;&gt;""),"Both LOI and measured carbon given — the measured value is used. ","")&amp;IF(AND($M61="",$L61&lt;&gt;"",OM_FACTOR_IS_LOCAL&lt;&gt;"Yes"),"Carbon derived from LOI using the default factor of "&amp;CARBON_FRACTION_OM&amp;", which has not been calibrated locally. See R1. Reference. ","")&amp;IF(AND(ISNUMBER($O61),$O61=0,ISNUMBER($E61)),"Section lies entirely below the reference depth — it counts to the full-profile stock only. ",""))</f>
        <v/>
      </c>
      <c r="U61" s="14"/>
    </row>
    <row r="62" spans="1:21" ht="15.75" customHeight="1">
      <c r="A62" s="14"/>
      <c r="B62" s="14"/>
      <c r="C62" s="14"/>
      <c r="D62" s="14"/>
      <c r="E62" s="14"/>
      <c r="F62" s="14"/>
      <c r="G62" s="14" t="str">
        <f t="shared" si="8"/>
        <v/>
      </c>
      <c r="H62" s="14"/>
      <c r="I62" s="14"/>
      <c r="J62" s="24"/>
      <c r="K62" s="24"/>
      <c r="L62" s="24"/>
      <c r="M62" s="24"/>
      <c r="N62" s="16" t="str">
        <f t="shared" ref="N62:N125" si="12">IF($M62&lt;&gt;"",$M62,IF($L62&lt;&gt;"",$L62*CARBON_FRACTION_OM,""))</f>
        <v/>
      </c>
      <c r="O62" s="16" t="str">
        <f t="shared" si="9"/>
        <v/>
      </c>
      <c r="P62" s="16" t="str">
        <f t="shared" si="10"/>
        <v/>
      </c>
      <c r="Q62" s="16" t="str">
        <f t="shared" si="11"/>
        <v/>
      </c>
      <c r="R62" s="16">
        <f t="shared" ref="R62:R125" si="13">IF(OR(NOT(ISNUMBER($P62)),NOT(ISNUMBER($G62)),$G62=0),0,$P62/$G62)</f>
        <v>0</v>
      </c>
      <c r="S62" s="16" t="str">
        <f>IF(OR($B62="",NOT(ISNUMBER($F62))),"",SUMIFS(community_cores_FS!$P$5:$P$597,community_cores_FS!$B$5:$B$597,$B62,community_cores_FS!$F$5:$F$597,"&lt;="&amp;$F62))</f>
        <v/>
      </c>
      <c r="T62" s="16" t="str">
        <f>IF(AND($A62="",$B62="",$E62=""),"",IF(AND($B62&lt;&gt;"",COUNTIF('2. Core Log'!$A$5:$A$124,$B62)=0),"Core ID not in Core Log. ","")&amp;IF(AND($A62&lt;&gt;"",COUNTIF('1. Plot &amp; Site Log'!$A$5:$A$64,$A62)=0),"Plot ID not in Plot &amp; Site Log. ","")&amp;IF(AND(ISNUMBER($E62),ISNUMBER($F62),$F62&lt;=$E62),"Bottom depth is not below top depth. ","")&amp;IF($I62="","Say which bulk-density basis the lab reported. ","")&amp;IF(AND(ISNUMBER($J62),OR($J62&lt;QC_BD_MIN,$J62&gt;QC_BD_MAX)),"Bulk density outside "&amp;QC_BD_MIN&amp;"–"&amp;QC_BD_MAX&amp;" g/cm³ for peat. Above the top of that range usually means the mineral contact has been passed. ","")&amp;IF(AND(ISNUMBER($N62),$N62&gt;QC_CARBON_PCT_MAX),"Carbon above "&amp;QC_CARBON_PCT_MAX&amp;"% — check units; this may be organic matter rather than carbon. ","")&amp;IF(AND($L62&lt;&gt;"",$M62&lt;&gt;""),"Both LOI and measured carbon given — the measured value is used. ","")&amp;IF(AND($M62="",$L62&lt;&gt;"",OM_FACTOR_IS_LOCAL&lt;&gt;"Yes"),"Carbon derived from LOI using the default factor of "&amp;CARBON_FRACTION_OM&amp;", which has not been calibrated locally. See R1. Reference. ","")&amp;IF(AND(ISNUMBER($O62),$O62=0,ISNUMBER($E62)),"Section lies entirely below the reference depth — it counts to the full-profile stock only. ",""))</f>
        <v/>
      </c>
      <c r="U62" s="14"/>
    </row>
    <row r="63" spans="1:21" ht="15.75" customHeight="1">
      <c r="A63" s="14"/>
      <c r="B63" s="14"/>
      <c r="C63" s="14"/>
      <c r="D63" s="14"/>
      <c r="E63" s="14"/>
      <c r="F63" s="14"/>
      <c r="G63" s="14" t="str">
        <f t="shared" si="8"/>
        <v/>
      </c>
      <c r="H63" s="14"/>
      <c r="I63" s="14"/>
      <c r="J63" s="24"/>
      <c r="K63" s="24"/>
      <c r="L63" s="24"/>
      <c r="M63" s="24"/>
      <c r="N63" s="16" t="str">
        <f t="shared" si="12"/>
        <v/>
      </c>
      <c r="O63" s="16" t="str">
        <f t="shared" si="9"/>
        <v/>
      </c>
      <c r="P63" s="16" t="str">
        <f t="shared" si="10"/>
        <v/>
      </c>
      <c r="Q63" s="16" t="str">
        <f t="shared" si="11"/>
        <v/>
      </c>
      <c r="R63" s="16">
        <f t="shared" si="13"/>
        <v>0</v>
      </c>
      <c r="S63" s="16" t="str">
        <f>IF(OR($B63="",NOT(ISNUMBER($F63))),"",SUMIFS(community_cores_FS!$P$5:$P$597,community_cores_FS!$B$5:$B$597,$B63,community_cores_FS!$F$5:$F$597,"&lt;="&amp;$F63))</f>
        <v/>
      </c>
      <c r="T63" s="16" t="str">
        <f>IF(AND($A63="",$B63="",$E63=""),"",IF(AND($B63&lt;&gt;"",COUNTIF('2. Core Log'!$A$5:$A$124,$B63)=0),"Core ID not in Core Log. ","")&amp;IF(AND($A63&lt;&gt;"",COUNTIF('1. Plot &amp; Site Log'!$A$5:$A$64,$A63)=0),"Plot ID not in Plot &amp; Site Log. ","")&amp;IF(AND(ISNUMBER($E63),ISNUMBER($F63),$F63&lt;=$E63),"Bottom depth is not below top depth. ","")&amp;IF($I63="","Say which bulk-density basis the lab reported. ","")&amp;IF(AND(ISNUMBER($J63),OR($J63&lt;QC_BD_MIN,$J63&gt;QC_BD_MAX)),"Bulk density outside "&amp;QC_BD_MIN&amp;"–"&amp;QC_BD_MAX&amp;" g/cm³ for peat. Above the top of that range usually means the mineral contact has been passed. ","")&amp;IF(AND(ISNUMBER($N63),$N63&gt;QC_CARBON_PCT_MAX),"Carbon above "&amp;QC_CARBON_PCT_MAX&amp;"% — check units; this may be organic matter rather than carbon. ","")&amp;IF(AND($L63&lt;&gt;"",$M63&lt;&gt;""),"Both LOI and measured carbon given — the measured value is used. ","")&amp;IF(AND($M63="",$L63&lt;&gt;"",OM_FACTOR_IS_LOCAL&lt;&gt;"Yes"),"Carbon derived from LOI using the default factor of "&amp;CARBON_FRACTION_OM&amp;", which has not been calibrated locally. See R1. Reference. ","")&amp;IF(AND(ISNUMBER($O63),$O63=0,ISNUMBER($E63)),"Section lies entirely below the reference depth — it counts to the full-profile stock only. ",""))</f>
        <v/>
      </c>
      <c r="U63" s="14"/>
    </row>
    <row r="64" spans="1:21" ht="15.75" customHeight="1">
      <c r="A64" s="14"/>
      <c r="B64" s="14"/>
      <c r="C64" s="14"/>
      <c r="D64" s="14"/>
      <c r="E64" s="14"/>
      <c r="F64" s="14"/>
      <c r="G64" s="14" t="str">
        <f t="shared" si="8"/>
        <v/>
      </c>
      <c r="H64" s="14"/>
      <c r="I64" s="14"/>
      <c r="J64" s="24"/>
      <c r="K64" s="24"/>
      <c r="L64" s="24"/>
      <c r="M64" s="24"/>
      <c r="N64" s="16" t="str">
        <f t="shared" si="12"/>
        <v/>
      </c>
      <c r="O64" s="16" t="str">
        <f t="shared" si="9"/>
        <v/>
      </c>
      <c r="P64" s="16" t="str">
        <f t="shared" si="10"/>
        <v/>
      </c>
      <c r="Q64" s="16" t="str">
        <f t="shared" si="11"/>
        <v/>
      </c>
      <c r="R64" s="16">
        <f t="shared" si="13"/>
        <v>0</v>
      </c>
      <c r="S64" s="16" t="str">
        <f>IF(OR($B64="",NOT(ISNUMBER($F64))),"",SUMIFS(community_cores_FS!$P$5:$P$597,community_cores_FS!$B$5:$B$597,$B64,community_cores_FS!$F$5:$F$597,"&lt;="&amp;$F64))</f>
        <v/>
      </c>
      <c r="T64" s="16" t="str">
        <f>IF(AND($A64="",$B64="",$E64=""),"",IF(AND($B64&lt;&gt;"",COUNTIF('2. Core Log'!$A$5:$A$124,$B64)=0),"Core ID not in Core Log. ","")&amp;IF(AND($A64&lt;&gt;"",COUNTIF('1. Plot &amp; Site Log'!$A$5:$A$64,$A64)=0),"Plot ID not in Plot &amp; Site Log. ","")&amp;IF(AND(ISNUMBER($E64),ISNUMBER($F64),$F64&lt;=$E64),"Bottom depth is not below top depth. ","")&amp;IF($I64="","Say which bulk-density basis the lab reported. ","")&amp;IF(AND(ISNUMBER($J64),OR($J64&lt;QC_BD_MIN,$J64&gt;QC_BD_MAX)),"Bulk density outside "&amp;QC_BD_MIN&amp;"–"&amp;QC_BD_MAX&amp;" g/cm³ for peat. Above the top of that range usually means the mineral contact has been passed. ","")&amp;IF(AND(ISNUMBER($N64),$N64&gt;QC_CARBON_PCT_MAX),"Carbon above "&amp;QC_CARBON_PCT_MAX&amp;"% — check units; this may be organic matter rather than carbon. ","")&amp;IF(AND($L64&lt;&gt;"",$M64&lt;&gt;""),"Both LOI and measured carbon given — the measured value is used. ","")&amp;IF(AND($M64="",$L64&lt;&gt;"",OM_FACTOR_IS_LOCAL&lt;&gt;"Yes"),"Carbon derived from LOI using the default factor of "&amp;CARBON_FRACTION_OM&amp;", which has not been calibrated locally. See R1. Reference. ","")&amp;IF(AND(ISNUMBER($O64),$O64=0,ISNUMBER($E64)),"Section lies entirely below the reference depth — it counts to the full-profile stock only. ",""))</f>
        <v/>
      </c>
      <c r="U64" s="14"/>
    </row>
    <row r="65" spans="1:21" ht="15.75" customHeight="1">
      <c r="A65" s="14"/>
      <c r="B65" s="14"/>
      <c r="C65" s="14"/>
      <c r="D65" s="14"/>
      <c r="E65" s="14"/>
      <c r="F65" s="14"/>
      <c r="G65" s="14" t="str">
        <f t="shared" si="8"/>
        <v/>
      </c>
      <c r="H65" s="14"/>
      <c r="I65" s="14"/>
      <c r="J65" s="24"/>
      <c r="K65" s="24"/>
      <c r="L65" s="24"/>
      <c r="M65" s="24"/>
      <c r="N65" s="16" t="str">
        <f t="shared" si="12"/>
        <v/>
      </c>
      <c r="O65" s="16" t="str">
        <f t="shared" si="9"/>
        <v/>
      </c>
      <c r="P65" s="16" t="str">
        <f t="shared" si="10"/>
        <v/>
      </c>
      <c r="Q65" s="16" t="str">
        <f t="shared" si="11"/>
        <v/>
      </c>
      <c r="R65" s="16">
        <f t="shared" si="13"/>
        <v>0</v>
      </c>
      <c r="S65" s="16" t="str">
        <f>IF(OR($B65="",NOT(ISNUMBER($F65))),"",SUMIFS(community_cores_FS!$P$5:$P$597,community_cores_FS!$B$5:$B$597,$B65,community_cores_FS!$F$5:$F$597,"&lt;="&amp;$F65))</f>
        <v/>
      </c>
      <c r="T65" s="16" t="str">
        <f>IF(AND($A65="",$B65="",$E65=""),"",IF(AND($B65&lt;&gt;"",COUNTIF('2. Core Log'!$A$5:$A$124,$B65)=0),"Core ID not in Core Log. ","")&amp;IF(AND($A65&lt;&gt;"",COUNTIF('1. Plot &amp; Site Log'!$A$5:$A$64,$A65)=0),"Plot ID not in Plot &amp; Site Log. ","")&amp;IF(AND(ISNUMBER($E65),ISNUMBER($F65),$F65&lt;=$E65),"Bottom depth is not below top depth. ","")&amp;IF($I65="","Say which bulk-density basis the lab reported. ","")&amp;IF(AND(ISNUMBER($J65),OR($J65&lt;QC_BD_MIN,$J65&gt;QC_BD_MAX)),"Bulk density outside "&amp;QC_BD_MIN&amp;"–"&amp;QC_BD_MAX&amp;" g/cm³ for peat. Above the top of that range usually means the mineral contact has been passed. ","")&amp;IF(AND(ISNUMBER($N65),$N65&gt;QC_CARBON_PCT_MAX),"Carbon above "&amp;QC_CARBON_PCT_MAX&amp;"% — check units; this may be organic matter rather than carbon. ","")&amp;IF(AND($L65&lt;&gt;"",$M65&lt;&gt;""),"Both LOI and measured carbon given — the measured value is used. ","")&amp;IF(AND($M65="",$L65&lt;&gt;"",OM_FACTOR_IS_LOCAL&lt;&gt;"Yes"),"Carbon derived from LOI using the default factor of "&amp;CARBON_FRACTION_OM&amp;", which has not been calibrated locally. See R1. Reference. ","")&amp;IF(AND(ISNUMBER($O65),$O65=0,ISNUMBER($E65)),"Section lies entirely below the reference depth — it counts to the full-profile stock only. ",""))</f>
        <v/>
      </c>
      <c r="U65" s="14"/>
    </row>
    <row r="66" spans="1:21" ht="15.75" customHeight="1">
      <c r="A66" s="14"/>
      <c r="B66" s="14"/>
      <c r="C66" s="14"/>
      <c r="D66" s="14"/>
      <c r="E66" s="14"/>
      <c r="F66" s="14"/>
      <c r="G66" s="14" t="str">
        <f t="shared" si="8"/>
        <v/>
      </c>
      <c r="H66" s="14"/>
      <c r="I66" s="14"/>
      <c r="J66" s="24"/>
      <c r="K66" s="24"/>
      <c r="L66" s="24"/>
      <c r="M66" s="24"/>
      <c r="N66" s="16" t="str">
        <f t="shared" si="12"/>
        <v/>
      </c>
      <c r="O66" s="16" t="str">
        <f t="shared" si="9"/>
        <v/>
      </c>
      <c r="P66" s="16" t="str">
        <f t="shared" si="10"/>
        <v/>
      </c>
      <c r="Q66" s="16" t="str">
        <f t="shared" si="11"/>
        <v/>
      </c>
      <c r="R66" s="16">
        <f t="shared" si="13"/>
        <v>0</v>
      </c>
      <c r="S66" s="16" t="str">
        <f>IF(OR($B66="",NOT(ISNUMBER($F66))),"",SUMIFS(community_cores_FS!$P$5:$P$597,community_cores_FS!$B$5:$B$597,$B66,community_cores_FS!$F$5:$F$597,"&lt;="&amp;$F66))</f>
        <v/>
      </c>
      <c r="T66" s="16" t="str">
        <f>IF(AND($A66="",$B66="",$E66=""),"",IF(AND($B66&lt;&gt;"",COUNTIF('2. Core Log'!$A$5:$A$124,$B66)=0),"Core ID not in Core Log. ","")&amp;IF(AND($A66&lt;&gt;"",COUNTIF('1. Plot &amp; Site Log'!$A$5:$A$64,$A66)=0),"Plot ID not in Plot &amp; Site Log. ","")&amp;IF(AND(ISNUMBER($E66),ISNUMBER($F66),$F66&lt;=$E66),"Bottom depth is not below top depth. ","")&amp;IF($I66="","Say which bulk-density basis the lab reported. ","")&amp;IF(AND(ISNUMBER($J66),OR($J66&lt;QC_BD_MIN,$J66&gt;QC_BD_MAX)),"Bulk density outside "&amp;QC_BD_MIN&amp;"–"&amp;QC_BD_MAX&amp;" g/cm³ for peat. Above the top of that range usually means the mineral contact has been passed. ","")&amp;IF(AND(ISNUMBER($N66),$N66&gt;QC_CARBON_PCT_MAX),"Carbon above "&amp;QC_CARBON_PCT_MAX&amp;"% — check units; this may be organic matter rather than carbon. ","")&amp;IF(AND($L66&lt;&gt;"",$M66&lt;&gt;""),"Both LOI and measured carbon given — the measured value is used. ","")&amp;IF(AND($M66="",$L66&lt;&gt;"",OM_FACTOR_IS_LOCAL&lt;&gt;"Yes"),"Carbon derived from LOI using the default factor of "&amp;CARBON_FRACTION_OM&amp;", which has not been calibrated locally. See R1. Reference. ","")&amp;IF(AND(ISNUMBER($O66),$O66=0,ISNUMBER($E66)),"Section lies entirely below the reference depth — it counts to the full-profile stock only. ",""))</f>
        <v/>
      </c>
      <c r="U66" s="14"/>
    </row>
    <row r="67" spans="1:21" ht="15.75" customHeight="1">
      <c r="A67" s="14"/>
      <c r="B67" s="14"/>
      <c r="C67" s="14"/>
      <c r="D67" s="14"/>
      <c r="E67" s="14"/>
      <c r="F67" s="14"/>
      <c r="G67" s="14" t="str">
        <f t="shared" si="8"/>
        <v/>
      </c>
      <c r="H67" s="14"/>
      <c r="I67" s="14"/>
      <c r="J67" s="24"/>
      <c r="K67" s="24"/>
      <c r="L67" s="24"/>
      <c r="M67" s="24"/>
      <c r="N67" s="16" t="str">
        <f t="shared" si="12"/>
        <v/>
      </c>
      <c r="O67" s="16" t="str">
        <f t="shared" si="9"/>
        <v/>
      </c>
      <c r="P67" s="16" t="str">
        <f t="shared" si="10"/>
        <v/>
      </c>
      <c r="Q67" s="16" t="str">
        <f t="shared" si="11"/>
        <v/>
      </c>
      <c r="R67" s="16">
        <f t="shared" si="13"/>
        <v>0</v>
      </c>
      <c r="S67" s="16" t="str">
        <f>IF(OR($B67="",NOT(ISNUMBER($F67))),"",SUMIFS(community_cores_FS!$P$5:$P$597,community_cores_FS!$B$5:$B$597,$B67,community_cores_FS!$F$5:$F$597,"&lt;="&amp;$F67))</f>
        <v/>
      </c>
      <c r="T67" s="16" t="str">
        <f>IF(AND($A67="",$B67="",$E67=""),"",IF(AND($B67&lt;&gt;"",COUNTIF('2. Core Log'!$A$5:$A$124,$B67)=0),"Core ID not in Core Log. ","")&amp;IF(AND($A67&lt;&gt;"",COUNTIF('1. Plot &amp; Site Log'!$A$5:$A$64,$A67)=0),"Plot ID not in Plot &amp; Site Log. ","")&amp;IF(AND(ISNUMBER($E67),ISNUMBER($F67),$F67&lt;=$E67),"Bottom depth is not below top depth. ","")&amp;IF($I67="","Say which bulk-density basis the lab reported. ","")&amp;IF(AND(ISNUMBER($J67),OR($J67&lt;QC_BD_MIN,$J67&gt;QC_BD_MAX)),"Bulk density outside "&amp;QC_BD_MIN&amp;"–"&amp;QC_BD_MAX&amp;" g/cm³ for peat. Above the top of that range usually means the mineral contact has been passed. ","")&amp;IF(AND(ISNUMBER($N67),$N67&gt;QC_CARBON_PCT_MAX),"Carbon above "&amp;QC_CARBON_PCT_MAX&amp;"% — check units; this may be organic matter rather than carbon. ","")&amp;IF(AND($L67&lt;&gt;"",$M67&lt;&gt;""),"Both LOI and measured carbon given — the measured value is used. ","")&amp;IF(AND($M67="",$L67&lt;&gt;"",OM_FACTOR_IS_LOCAL&lt;&gt;"Yes"),"Carbon derived from LOI using the default factor of "&amp;CARBON_FRACTION_OM&amp;", which has not been calibrated locally. See R1. Reference. ","")&amp;IF(AND(ISNUMBER($O67),$O67=0,ISNUMBER($E67)),"Section lies entirely below the reference depth — it counts to the full-profile stock only. ",""))</f>
        <v/>
      </c>
      <c r="U67" s="14"/>
    </row>
    <row r="68" spans="1:21" ht="15.75" customHeight="1">
      <c r="A68" s="14"/>
      <c r="B68" s="14"/>
      <c r="C68" s="14"/>
      <c r="D68" s="14"/>
      <c r="E68" s="14"/>
      <c r="F68" s="14"/>
      <c r="G68" s="14" t="str">
        <f t="shared" si="8"/>
        <v/>
      </c>
      <c r="H68" s="14"/>
      <c r="I68" s="14"/>
      <c r="J68" s="24"/>
      <c r="K68" s="24"/>
      <c r="L68" s="24"/>
      <c r="M68" s="24"/>
      <c r="N68" s="16" t="str">
        <f t="shared" si="12"/>
        <v/>
      </c>
      <c r="O68" s="16" t="str">
        <f t="shared" si="9"/>
        <v/>
      </c>
      <c r="P68" s="16" t="str">
        <f t="shared" si="10"/>
        <v/>
      </c>
      <c r="Q68" s="16" t="str">
        <f t="shared" si="11"/>
        <v/>
      </c>
      <c r="R68" s="16">
        <f t="shared" si="13"/>
        <v>0</v>
      </c>
      <c r="S68" s="16" t="str">
        <f>IF(OR($B68="",NOT(ISNUMBER($F68))),"",SUMIFS(community_cores_FS!$P$5:$P$597,community_cores_FS!$B$5:$B$597,$B68,community_cores_FS!$F$5:$F$597,"&lt;="&amp;$F68))</f>
        <v/>
      </c>
      <c r="T68" s="16" t="str">
        <f>IF(AND($A68="",$B68="",$E68=""),"",IF(AND($B68&lt;&gt;"",COUNTIF('2. Core Log'!$A$5:$A$124,$B68)=0),"Core ID not in Core Log. ","")&amp;IF(AND($A68&lt;&gt;"",COUNTIF('1. Plot &amp; Site Log'!$A$5:$A$64,$A68)=0),"Plot ID not in Plot &amp; Site Log. ","")&amp;IF(AND(ISNUMBER($E68),ISNUMBER($F68),$F68&lt;=$E68),"Bottom depth is not below top depth. ","")&amp;IF($I68="","Say which bulk-density basis the lab reported. ","")&amp;IF(AND(ISNUMBER($J68),OR($J68&lt;QC_BD_MIN,$J68&gt;QC_BD_MAX)),"Bulk density outside "&amp;QC_BD_MIN&amp;"–"&amp;QC_BD_MAX&amp;" g/cm³ for peat. Above the top of that range usually means the mineral contact has been passed. ","")&amp;IF(AND(ISNUMBER($N68),$N68&gt;QC_CARBON_PCT_MAX),"Carbon above "&amp;QC_CARBON_PCT_MAX&amp;"% — check units; this may be organic matter rather than carbon. ","")&amp;IF(AND($L68&lt;&gt;"",$M68&lt;&gt;""),"Both LOI and measured carbon given — the measured value is used. ","")&amp;IF(AND($M68="",$L68&lt;&gt;"",OM_FACTOR_IS_LOCAL&lt;&gt;"Yes"),"Carbon derived from LOI using the default factor of "&amp;CARBON_FRACTION_OM&amp;", which has not been calibrated locally. See R1. Reference. ","")&amp;IF(AND(ISNUMBER($O68),$O68=0,ISNUMBER($E68)),"Section lies entirely below the reference depth — it counts to the full-profile stock only. ",""))</f>
        <v/>
      </c>
      <c r="U68" s="14"/>
    </row>
    <row r="69" spans="1:21" ht="15.75" customHeight="1">
      <c r="A69" s="14"/>
      <c r="B69" s="14"/>
      <c r="C69" s="14"/>
      <c r="D69" s="14"/>
      <c r="E69" s="14"/>
      <c r="F69" s="14"/>
      <c r="G69" s="14" t="str">
        <f t="shared" si="8"/>
        <v/>
      </c>
      <c r="H69" s="14"/>
      <c r="I69" s="14"/>
      <c r="J69" s="24"/>
      <c r="K69" s="24"/>
      <c r="L69" s="24"/>
      <c r="M69" s="24"/>
      <c r="N69" s="16" t="str">
        <f t="shared" si="12"/>
        <v/>
      </c>
      <c r="O69" s="16" t="str">
        <f t="shared" si="9"/>
        <v/>
      </c>
      <c r="P69" s="16" t="str">
        <f t="shared" si="10"/>
        <v/>
      </c>
      <c r="Q69" s="16" t="str">
        <f t="shared" si="11"/>
        <v/>
      </c>
      <c r="R69" s="16">
        <f t="shared" si="13"/>
        <v>0</v>
      </c>
      <c r="S69" s="16" t="str">
        <f>IF(OR($B69="",NOT(ISNUMBER($F69))),"",SUMIFS(community_cores_FS!$P$5:$P$597,community_cores_FS!$B$5:$B$597,$B69,community_cores_FS!$F$5:$F$597,"&lt;="&amp;$F69))</f>
        <v/>
      </c>
      <c r="T69" s="16" t="str">
        <f>IF(AND($A69="",$B69="",$E69=""),"",IF(AND($B69&lt;&gt;"",COUNTIF('2. Core Log'!$A$5:$A$124,$B69)=0),"Core ID not in Core Log. ","")&amp;IF(AND($A69&lt;&gt;"",COUNTIF('1. Plot &amp; Site Log'!$A$5:$A$64,$A69)=0),"Plot ID not in Plot &amp; Site Log. ","")&amp;IF(AND(ISNUMBER($E69),ISNUMBER($F69),$F69&lt;=$E69),"Bottom depth is not below top depth. ","")&amp;IF($I69="","Say which bulk-density basis the lab reported. ","")&amp;IF(AND(ISNUMBER($J69),OR($J69&lt;QC_BD_MIN,$J69&gt;QC_BD_MAX)),"Bulk density outside "&amp;QC_BD_MIN&amp;"–"&amp;QC_BD_MAX&amp;" g/cm³ for peat. Above the top of that range usually means the mineral contact has been passed. ","")&amp;IF(AND(ISNUMBER($N69),$N69&gt;QC_CARBON_PCT_MAX),"Carbon above "&amp;QC_CARBON_PCT_MAX&amp;"% — check units; this may be organic matter rather than carbon. ","")&amp;IF(AND($L69&lt;&gt;"",$M69&lt;&gt;""),"Both LOI and measured carbon given — the measured value is used. ","")&amp;IF(AND($M69="",$L69&lt;&gt;"",OM_FACTOR_IS_LOCAL&lt;&gt;"Yes"),"Carbon derived from LOI using the default factor of "&amp;CARBON_FRACTION_OM&amp;", which has not been calibrated locally. See R1. Reference. ","")&amp;IF(AND(ISNUMBER($O69),$O69=0,ISNUMBER($E69)),"Section lies entirely below the reference depth — it counts to the full-profile stock only. ",""))</f>
        <v/>
      </c>
      <c r="U69" s="14"/>
    </row>
    <row r="70" spans="1:21" ht="15.75" customHeight="1">
      <c r="A70" s="14"/>
      <c r="B70" s="14"/>
      <c r="C70" s="14"/>
      <c r="D70" s="14"/>
      <c r="E70" s="14"/>
      <c r="F70" s="14"/>
      <c r="G70" s="14" t="str">
        <f t="shared" si="8"/>
        <v/>
      </c>
      <c r="H70" s="14"/>
      <c r="I70" s="14"/>
      <c r="J70" s="24"/>
      <c r="K70" s="24"/>
      <c r="L70" s="24"/>
      <c r="M70" s="24"/>
      <c r="N70" s="16" t="str">
        <f t="shared" si="12"/>
        <v/>
      </c>
      <c r="O70" s="16" t="str">
        <f t="shared" si="9"/>
        <v/>
      </c>
      <c r="P70" s="16" t="str">
        <f t="shared" si="10"/>
        <v/>
      </c>
      <c r="Q70" s="16" t="str">
        <f t="shared" si="11"/>
        <v/>
      </c>
      <c r="R70" s="16">
        <f t="shared" si="13"/>
        <v>0</v>
      </c>
      <c r="S70" s="16" t="str">
        <f>IF(OR($B70="",NOT(ISNUMBER($F70))),"",SUMIFS(community_cores_FS!$P$5:$P$597,community_cores_FS!$B$5:$B$597,$B70,community_cores_FS!$F$5:$F$597,"&lt;="&amp;$F70))</f>
        <v/>
      </c>
      <c r="T70" s="16" t="str">
        <f>IF(AND($A70="",$B70="",$E70=""),"",IF(AND($B70&lt;&gt;"",COUNTIF('2. Core Log'!$A$5:$A$124,$B70)=0),"Core ID not in Core Log. ","")&amp;IF(AND($A70&lt;&gt;"",COUNTIF('1. Plot &amp; Site Log'!$A$5:$A$64,$A70)=0),"Plot ID not in Plot &amp; Site Log. ","")&amp;IF(AND(ISNUMBER($E70),ISNUMBER($F70),$F70&lt;=$E70),"Bottom depth is not below top depth. ","")&amp;IF($I70="","Say which bulk-density basis the lab reported. ","")&amp;IF(AND(ISNUMBER($J70),OR($J70&lt;QC_BD_MIN,$J70&gt;QC_BD_MAX)),"Bulk density outside "&amp;QC_BD_MIN&amp;"–"&amp;QC_BD_MAX&amp;" g/cm³ for peat. Above the top of that range usually means the mineral contact has been passed. ","")&amp;IF(AND(ISNUMBER($N70),$N70&gt;QC_CARBON_PCT_MAX),"Carbon above "&amp;QC_CARBON_PCT_MAX&amp;"% — check units; this may be organic matter rather than carbon. ","")&amp;IF(AND($L70&lt;&gt;"",$M70&lt;&gt;""),"Both LOI and measured carbon given — the measured value is used. ","")&amp;IF(AND($M70="",$L70&lt;&gt;"",OM_FACTOR_IS_LOCAL&lt;&gt;"Yes"),"Carbon derived from LOI using the default factor of "&amp;CARBON_FRACTION_OM&amp;", which has not been calibrated locally. See R1. Reference. ","")&amp;IF(AND(ISNUMBER($O70),$O70=0,ISNUMBER($E70)),"Section lies entirely below the reference depth — it counts to the full-profile stock only. ",""))</f>
        <v/>
      </c>
      <c r="U70" s="14"/>
    </row>
    <row r="71" spans="1:21" ht="15.75" customHeight="1">
      <c r="A71" s="14"/>
      <c r="B71" s="14"/>
      <c r="C71" s="14"/>
      <c r="D71" s="14"/>
      <c r="E71" s="14"/>
      <c r="F71" s="14"/>
      <c r="G71" s="14" t="str">
        <f t="shared" si="8"/>
        <v/>
      </c>
      <c r="H71" s="14"/>
      <c r="I71" s="14"/>
      <c r="J71" s="24"/>
      <c r="K71" s="24"/>
      <c r="L71" s="24"/>
      <c r="M71" s="24"/>
      <c r="N71" s="16" t="str">
        <f t="shared" si="12"/>
        <v/>
      </c>
      <c r="O71" s="16" t="str">
        <f t="shared" si="9"/>
        <v/>
      </c>
      <c r="P71" s="16" t="str">
        <f t="shared" si="10"/>
        <v/>
      </c>
      <c r="Q71" s="16" t="str">
        <f t="shared" si="11"/>
        <v/>
      </c>
      <c r="R71" s="16">
        <f t="shared" si="13"/>
        <v>0</v>
      </c>
      <c r="S71" s="16" t="str">
        <f>IF(OR($B71="",NOT(ISNUMBER($F71))),"",SUMIFS(community_cores_FS!$P$5:$P$597,community_cores_FS!$B$5:$B$597,$B71,community_cores_FS!$F$5:$F$597,"&lt;="&amp;$F71))</f>
        <v/>
      </c>
      <c r="T71" s="16" t="str">
        <f>IF(AND($A71="",$B71="",$E71=""),"",IF(AND($B71&lt;&gt;"",COUNTIF('2. Core Log'!$A$5:$A$124,$B71)=0),"Core ID not in Core Log. ","")&amp;IF(AND($A71&lt;&gt;"",COUNTIF('1. Plot &amp; Site Log'!$A$5:$A$64,$A71)=0),"Plot ID not in Plot &amp; Site Log. ","")&amp;IF(AND(ISNUMBER($E71),ISNUMBER($F71),$F71&lt;=$E71),"Bottom depth is not below top depth. ","")&amp;IF($I71="","Say which bulk-density basis the lab reported. ","")&amp;IF(AND(ISNUMBER($J71),OR($J71&lt;QC_BD_MIN,$J71&gt;QC_BD_MAX)),"Bulk density outside "&amp;QC_BD_MIN&amp;"–"&amp;QC_BD_MAX&amp;" g/cm³ for peat. Above the top of that range usually means the mineral contact has been passed. ","")&amp;IF(AND(ISNUMBER($N71),$N71&gt;QC_CARBON_PCT_MAX),"Carbon above "&amp;QC_CARBON_PCT_MAX&amp;"% — check units; this may be organic matter rather than carbon. ","")&amp;IF(AND($L71&lt;&gt;"",$M71&lt;&gt;""),"Both LOI and measured carbon given — the measured value is used. ","")&amp;IF(AND($M71="",$L71&lt;&gt;"",OM_FACTOR_IS_LOCAL&lt;&gt;"Yes"),"Carbon derived from LOI using the default factor of "&amp;CARBON_FRACTION_OM&amp;", which has not been calibrated locally. See R1. Reference. ","")&amp;IF(AND(ISNUMBER($O71),$O71=0,ISNUMBER($E71)),"Section lies entirely below the reference depth — it counts to the full-profile stock only. ",""))</f>
        <v/>
      </c>
      <c r="U71" s="14"/>
    </row>
    <row r="72" spans="1:21" ht="15.75" customHeight="1">
      <c r="A72" s="14"/>
      <c r="B72" s="14"/>
      <c r="C72" s="14"/>
      <c r="D72" s="14"/>
      <c r="E72" s="14"/>
      <c r="F72" s="14"/>
      <c r="G72" s="14" t="str">
        <f t="shared" si="8"/>
        <v/>
      </c>
      <c r="H72" s="14"/>
      <c r="I72" s="14"/>
      <c r="J72" s="24"/>
      <c r="K72" s="24"/>
      <c r="L72" s="24"/>
      <c r="M72" s="24"/>
      <c r="N72" s="16" t="str">
        <f t="shared" si="12"/>
        <v/>
      </c>
      <c r="O72" s="16" t="str">
        <f t="shared" si="9"/>
        <v/>
      </c>
      <c r="P72" s="16" t="str">
        <f t="shared" si="10"/>
        <v/>
      </c>
      <c r="Q72" s="16" t="str">
        <f t="shared" si="11"/>
        <v/>
      </c>
      <c r="R72" s="16">
        <f t="shared" si="13"/>
        <v>0</v>
      </c>
      <c r="S72" s="16" t="str">
        <f>IF(OR($B72="",NOT(ISNUMBER($F72))),"",SUMIFS(community_cores_FS!$P$5:$P$597,community_cores_FS!$B$5:$B$597,$B72,community_cores_FS!$F$5:$F$597,"&lt;="&amp;$F72))</f>
        <v/>
      </c>
      <c r="T72" s="16" t="str">
        <f>IF(AND($A72="",$B72="",$E72=""),"",IF(AND($B72&lt;&gt;"",COUNTIF('2. Core Log'!$A$5:$A$124,$B72)=0),"Core ID not in Core Log. ","")&amp;IF(AND($A72&lt;&gt;"",COUNTIF('1. Plot &amp; Site Log'!$A$5:$A$64,$A72)=0),"Plot ID not in Plot &amp; Site Log. ","")&amp;IF(AND(ISNUMBER($E72),ISNUMBER($F72),$F72&lt;=$E72),"Bottom depth is not below top depth. ","")&amp;IF($I72="","Say which bulk-density basis the lab reported. ","")&amp;IF(AND(ISNUMBER($J72),OR($J72&lt;QC_BD_MIN,$J72&gt;QC_BD_MAX)),"Bulk density outside "&amp;QC_BD_MIN&amp;"–"&amp;QC_BD_MAX&amp;" g/cm³ for peat. Above the top of that range usually means the mineral contact has been passed. ","")&amp;IF(AND(ISNUMBER($N72),$N72&gt;QC_CARBON_PCT_MAX),"Carbon above "&amp;QC_CARBON_PCT_MAX&amp;"% — check units; this may be organic matter rather than carbon. ","")&amp;IF(AND($L72&lt;&gt;"",$M72&lt;&gt;""),"Both LOI and measured carbon given — the measured value is used. ","")&amp;IF(AND($M72="",$L72&lt;&gt;"",OM_FACTOR_IS_LOCAL&lt;&gt;"Yes"),"Carbon derived from LOI using the default factor of "&amp;CARBON_FRACTION_OM&amp;", which has not been calibrated locally. See R1. Reference. ","")&amp;IF(AND(ISNUMBER($O72),$O72=0,ISNUMBER($E72)),"Section lies entirely below the reference depth — it counts to the full-profile stock only. ",""))</f>
        <v/>
      </c>
      <c r="U72" s="14"/>
    </row>
    <row r="73" spans="1:21" ht="15.75" customHeight="1">
      <c r="A73" s="14"/>
      <c r="B73" s="14"/>
      <c r="C73" s="14"/>
      <c r="D73" s="14"/>
      <c r="E73" s="14"/>
      <c r="F73" s="14"/>
      <c r="G73" s="14" t="str">
        <f t="shared" si="8"/>
        <v/>
      </c>
      <c r="H73" s="14"/>
      <c r="I73" s="14"/>
      <c r="J73" s="24"/>
      <c r="K73" s="24"/>
      <c r="L73" s="24"/>
      <c r="M73" s="24"/>
      <c r="N73" s="16" t="str">
        <f t="shared" si="12"/>
        <v/>
      </c>
      <c r="O73" s="16" t="str">
        <f t="shared" si="9"/>
        <v/>
      </c>
      <c r="P73" s="16" t="str">
        <f t="shared" si="10"/>
        <v/>
      </c>
      <c r="Q73" s="16" t="str">
        <f t="shared" si="11"/>
        <v/>
      </c>
      <c r="R73" s="16">
        <f t="shared" si="13"/>
        <v>0</v>
      </c>
      <c r="S73" s="16" t="str">
        <f>IF(OR($B73="",NOT(ISNUMBER($F73))),"",SUMIFS(community_cores_FS!$P$5:$P$597,community_cores_FS!$B$5:$B$597,$B73,community_cores_FS!$F$5:$F$597,"&lt;="&amp;$F73))</f>
        <v/>
      </c>
      <c r="T73" s="16" t="str">
        <f>IF(AND($A73="",$B73="",$E73=""),"",IF(AND($B73&lt;&gt;"",COUNTIF('2. Core Log'!$A$5:$A$124,$B73)=0),"Core ID not in Core Log. ","")&amp;IF(AND($A73&lt;&gt;"",COUNTIF('1. Plot &amp; Site Log'!$A$5:$A$64,$A73)=0),"Plot ID not in Plot &amp; Site Log. ","")&amp;IF(AND(ISNUMBER($E73),ISNUMBER($F73),$F73&lt;=$E73),"Bottom depth is not below top depth. ","")&amp;IF($I73="","Say which bulk-density basis the lab reported. ","")&amp;IF(AND(ISNUMBER($J73),OR($J73&lt;QC_BD_MIN,$J73&gt;QC_BD_MAX)),"Bulk density outside "&amp;QC_BD_MIN&amp;"–"&amp;QC_BD_MAX&amp;" g/cm³ for peat. Above the top of that range usually means the mineral contact has been passed. ","")&amp;IF(AND(ISNUMBER($N73),$N73&gt;QC_CARBON_PCT_MAX),"Carbon above "&amp;QC_CARBON_PCT_MAX&amp;"% — check units; this may be organic matter rather than carbon. ","")&amp;IF(AND($L73&lt;&gt;"",$M73&lt;&gt;""),"Both LOI and measured carbon given — the measured value is used. ","")&amp;IF(AND($M73="",$L73&lt;&gt;"",OM_FACTOR_IS_LOCAL&lt;&gt;"Yes"),"Carbon derived from LOI using the default factor of "&amp;CARBON_FRACTION_OM&amp;", which has not been calibrated locally. See R1. Reference. ","")&amp;IF(AND(ISNUMBER($O73),$O73=0,ISNUMBER($E73)),"Section lies entirely below the reference depth — it counts to the full-profile stock only. ",""))</f>
        <v/>
      </c>
      <c r="U73" s="14"/>
    </row>
    <row r="74" spans="1:21" ht="15.75" customHeight="1">
      <c r="A74" s="14"/>
      <c r="B74" s="14"/>
      <c r="C74" s="14"/>
      <c r="D74" s="14"/>
      <c r="E74" s="14"/>
      <c r="F74" s="14"/>
      <c r="G74" s="14" t="str">
        <f t="shared" si="8"/>
        <v/>
      </c>
      <c r="H74" s="14"/>
      <c r="I74" s="14"/>
      <c r="J74" s="24"/>
      <c r="K74" s="24"/>
      <c r="L74" s="24"/>
      <c r="M74" s="24"/>
      <c r="N74" s="16" t="str">
        <f t="shared" si="12"/>
        <v/>
      </c>
      <c r="O74" s="16" t="str">
        <f t="shared" si="9"/>
        <v/>
      </c>
      <c r="P74" s="16" t="str">
        <f t="shared" si="10"/>
        <v/>
      </c>
      <c r="Q74" s="16" t="str">
        <f t="shared" si="11"/>
        <v/>
      </c>
      <c r="R74" s="16">
        <f t="shared" si="13"/>
        <v>0</v>
      </c>
      <c r="S74" s="16" t="str">
        <f>IF(OR($B74="",NOT(ISNUMBER($F74))),"",SUMIFS(community_cores_FS!$P$5:$P$597,community_cores_FS!$B$5:$B$597,$B74,community_cores_FS!$F$5:$F$597,"&lt;="&amp;$F74))</f>
        <v/>
      </c>
      <c r="T74" s="16" t="str">
        <f>IF(AND($A74="",$B74="",$E74=""),"",IF(AND($B74&lt;&gt;"",COUNTIF('2. Core Log'!$A$5:$A$124,$B74)=0),"Core ID not in Core Log. ","")&amp;IF(AND($A74&lt;&gt;"",COUNTIF('1. Plot &amp; Site Log'!$A$5:$A$64,$A74)=0),"Plot ID not in Plot &amp; Site Log. ","")&amp;IF(AND(ISNUMBER($E74),ISNUMBER($F74),$F74&lt;=$E74),"Bottom depth is not below top depth. ","")&amp;IF($I74="","Say which bulk-density basis the lab reported. ","")&amp;IF(AND(ISNUMBER($J74),OR($J74&lt;QC_BD_MIN,$J74&gt;QC_BD_MAX)),"Bulk density outside "&amp;QC_BD_MIN&amp;"–"&amp;QC_BD_MAX&amp;" g/cm³ for peat. Above the top of that range usually means the mineral contact has been passed. ","")&amp;IF(AND(ISNUMBER($N74),$N74&gt;QC_CARBON_PCT_MAX),"Carbon above "&amp;QC_CARBON_PCT_MAX&amp;"% — check units; this may be organic matter rather than carbon. ","")&amp;IF(AND($L74&lt;&gt;"",$M74&lt;&gt;""),"Both LOI and measured carbon given — the measured value is used. ","")&amp;IF(AND($M74="",$L74&lt;&gt;"",OM_FACTOR_IS_LOCAL&lt;&gt;"Yes"),"Carbon derived from LOI using the default factor of "&amp;CARBON_FRACTION_OM&amp;", which has not been calibrated locally. See R1. Reference. ","")&amp;IF(AND(ISNUMBER($O74),$O74=0,ISNUMBER($E74)),"Section lies entirely below the reference depth — it counts to the full-profile stock only. ",""))</f>
        <v/>
      </c>
      <c r="U74" s="14"/>
    </row>
    <row r="75" spans="1:21" ht="15.75" customHeight="1">
      <c r="A75" s="14"/>
      <c r="B75" s="14"/>
      <c r="C75" s="14"/>
      <c r="D75" s="14"/>
      <c r="E75" s="14"/>
      <c r="F75" s="14"/>
      <c r="G75" s="14" t="str">
        <f t="shared" si="8"/>
        <v/>
      </c>
      <c r="H75" s="14"/>
      <c r="I75" s="14"/>
      <c r="J75" s="24"/>
      <c r="K75" s="24"/>
      <c r="L75" s="24"/>
      <c r="M75" s="24"/>
      <c r="N75" s="16" t="str">
        <f t="shared" si="12"/>
        <v/>
      </c>
      <c r="O75" s="16" t="str">
        <f t="shared" si="9"/>
        <v/>
      </c>
      <c r="P75" s="16" t="str">
        <f t="shared" si="10"/>
        <v/>
      </c>
      <c r="Q75" s="16" t="str">
        <f t="shared" si="11"/>
        <v/>
      </c>
      <c r="R75" s="16">
        <f t="shared" si="13"/>
        <v>0</v>
      </c>
      <c r="S75" s="16" t="str">
        <f>IF(OR($B75="",NOT(ISNUMBER($F75))),"",SUMIFS(community_cores_FS!$P$5:$P$597,community_cores_FS!$B$5:$B$597,$B75,community_cores_FS!$F$5:$F$597,"&lt;="&amp;$F75))</f>
        <v/>
      </c>
      <c r="T75" s="16" t="str">
        <f>IF(AND($A75="",$B75="",$E75=""),"",IF(AND($B75&lt;&gt;"",COUNTIF('2. Core Log'!$A$5:$A$124,$B75)=0),"Core ID not in Core Log. ","")&amp;IF(AND($A75&lt;&gt;"",COUNTIF('1. Plot &amp; Site Log'!$A$5:$A$64,$A75)=0),"Plot ID not in Plot &amp; Site Log. ","")&amp;IF(AND(ISNUMBER($E75),ISNUMBER($F75),$F75&lt;=$E75),"Bottom depth is not below top depth. ","")&amp;IF($I75="","Say which bulk-density basis the lab reported. ","")&amp;IF(AND(ISNUMBER($J75),OR($J75&lt;QC_BD_MIN,$J75&gt;QC_BD_MAX)),"Bulk density outside "&amp;QC_BD_MIN&amp;"–"&amp;QC_BD_MAX&amp;" g/cm³ for peat. Above the top of that range usually means the mineral contact has been passed. ","")&amp;IF(AND(ISNUMBER($N75),$N75&gt;QC_CARBON_PCT_MAX),"Carbon above "&amp;QC_CARBON_PCT_MAX&amp;"% — check units; this may be organic matter rather than carbon. ","")&amp;IF(AND($L75&lt;&gt;"",$M75&lt;&gt;""),"Both LOI and measured carbon given — the measured value is used. ","")&amp;IF(AND($M75="",$L75&lt;&gt;"",OM_FACTOR_IS_LOCAL&lt;&gt;"Yes"),"Carbon derived from LOI using the default factor of "&amp;CARBON_FRACTION_OM&amp;", which has not been calibrated locally. See R1. Reference. ","")&amp;IF(AND(ISNUMBER($O75),$O75=0,ISNUMBER($E75)),"Section lies entirely below the reference depth — it counts to the full-profile stock only. ",""))</f>
        <v/>
      </c>
      <c r="U75" s="14"/>
    </row>
    <row r="76" spans="1:21" ht="15.75" customHeight="1">
      <c r="A76" s="14"/>
      <c r="B76" s="14"/>
      <c r="C76" s="14"/>
      <c r="D76" s="14"/>
      <c r="E76" s="14"/>
      <c r="F76" s="14"/>
      <c r="G76" s="14" t="str">
        <f t="shared" si="8"/>
        <v/>
      </c>
      <c r="H76" s="14"/>
      <c r="I76" s="14"/>
      <c r="J76" s="24"/>
      <c r="K76" s="24"/>
      <c r="L76" s="24"/>
      <c r="M76" s="24"/>
      <c r="N76" s="16" t="str">
        <f t="shared" si="12"/>
        <v/>
      </c>
      <c r="O76" s="16" t="str">
        <f t="shared" si="9"/>
        <v/>
      </c>
      <c r="P76" s="16" t="str">
        <f t="shared" si="10"/>
        <v/>
      </c>
      <c r="Q76" s="16" t="str">
        <f t="shared" si="11"/>
        <v/>
      </c>
      <c r="R76" s="16">
        <f t="shared" si="13"/>
        <v>0</v>
      </c>
      <c r="S76" s="16" t="str">
        <f>IF(OR($B76="",NOT(ISNUMBER($F76))),"",SUMIFS(community_cores_FS!$P$5:$P$597,community_cores_FS!$B$5:$B$597,$B76,community_cores_FS!$F$5:$F$597,"&lt;="&amp;$F76))</f>
        <v/>
      </c>
      <c r="T76" s="16" t="str">
        <f>IF(AND($A76="",$B76="",$E76=""),"",IF(AND($B76&lt;&gt;"",COUNTIF('2. Core Log'!$A$5:$A$124,$B76)=0),"Core ID not in Core Log. ","")&amp;IF(AND($A76&lt;&gt;"",COUNTIF('1. Plot &amp; Site Log'!$A$5:$A$64,$A76)=0),"Plot ID not in Plot &amp; Site Log. ","")&amp;IF(AND(ISNUMBER($E76),ISNUMBER($F76),$F76&lt;=$E76),"Bottom depth is not below top depth. ","")&amp;IF($I76="","Say which bulk-density basis the lab reported. ","")&amp;IF(AND(ISNUMBER($J76),OR($J76&lt;QC_BD_MIN,$J76&gt;QC_BD_MAX)),"Bulk density outside "&amp;QC_BD_MIN&amp;"–"&amp;QC_BD_MAX&amp;" g/cm³ for peat. Above the top of that range usually means the mineral contact has been passed. ","")&amp;IF(AND(ISNUMBER($N76),$N76&gt;QC_CARBON_PCT_MAX),"Carbon above "&amp;QC_CARBON_PCT_MAX&amp;"% — check units; this may be organic matter rather than carbon. ","")&amp;IF(AND($L76&lt;&gt;"",$M76&lt;&gt;""),"Both LOI and measured carbon given — the measured value is used. ","")&amp;IF(AND($M76="",$L76&lt;&gt;"",OM_FACTOR_IS_LOCAL&lt;&gt;"Yes"),"Carbon derived from LOI using the default factor of "&amp;CARBON_FRACTION_OM&amp;", which has not been calibrated locally. See R1. Reference. ","")&amp;IF(AND(ISNUMBER($O76),$O76=0,ISNUMBER($E76)),"Section lies entirely below the reference depth — it counts to the full-profile stock only. ",""))</f>
        <v/>
      </c>
      <c r="U76" s="14"/>
    </row>
    <row r="77" spans="1:21" ht="15.75" customHeight="1">
      <c r="A77" s="14"/>
      <c r="B77" s="14"/>
      <c r="C77" s="14"/>
      <c r="D77" s="14"/>
      <c r="E77" s="14"/>
      <c r="F77" s="14"/>
      <c r="G77" s="14" t="str">
        <f t="shared" si="8"/>
        <v/>
      </c>
      <c r="H77" s="14"/>
      <c r="I77" s="14"/>
      <c r="J77" s="24"/>
      <c r="K77" s="24"/>
      <c r="L77" s="24"/>
      <c r="M77" s="24"/>
      <c r="N77" s="16" t="str">
        <f t="shared" si="12"/>
        <v/>
      </c>
      <c r="O77" s="16" t="str">
        <f t="shared" si="9"/>
        <v/>
      </c>
      <c r="P77" s="16" t="str">
        <f t="shared" si="10"/>
        <v/>
      </c>
      <c r="Q77" s="16" t="str">
        <f t="shared" si="11"/>
        <v/>
      </c>
      <c r="R77" s="16">
        <f t="shared" si="13"/>
        <v>0</v>
      </c>
      <c r="S77" s="16" t="str">
        <f>IF(OR($B77="",NOT(ISNUMBER($F77))),"",SUMIFS(community_cores_FS!$P$5:$P$597,community_cores_FS!$B$5:$B$597,$B77,community_cores_FS!$F$5:$F$597,"&lt;="&amp;$F77))</f>
        <v/>
      </c>
      <c r="T77" s="16" t="str">
        <f>IF(AND($A77="",$B77="",$E77=""),"",IF(AND($B77&lt;&gt;"",COUNTIF('2. Core Log'!$A$5:$A$124,$B77)=0),"Core ID not in Core Log. ","")&amp;IF(AND($A77&lt;&gt;"",COUNTIF('1. Plot &amp; Site Log'!$A$5:$A$64,$A77)=0),"Plot ID not in Plot &amp; Site Log. ","")&amp;IF(AND(ISNUMBER($E77),ISNUMBER($F77),$F77&lt;=$E77),"Bottom depth is not below top depth. ","")&amp;IF($I77="","Say which bulk-density basis the lab reported. ","")&amp;IF(AND(ISNUMBER($J77),OR($J77&lt;QC_BD_MIN,$J77&gt;QC_BD_MAX)),"Bulk density outside "&amp;QC_BD_MIN&amp;"–"&amp;QC_BD_MAX&amp;" g/cm³ for peat. Above the top of that range usually means the mineral contact has been passed. ","")&amp;IF(AND(ISNUMBER($N77),$N77&gt;QC_CARBON_PCT_MAX),"Carbon above "&amp;QC_CARBON_PCT_MAX&amp;"% — check units; this may be organic matter rather than carbon. ","")&amp;IF(AND($L77&lt;&gt;"",$M77&lt;&gt;""),"Both LOI and measured carbon given — the measured value is used. ","")&amp;IF(AND($M77="",$L77&lt;&gt;"",OM_FACTOR_IS_LOCAL&lt;&gt;"Yes"),"Carbon derived from LOI using the default factor of "&amp;CARBON_FRACTION_OM&amp;", which has not been calibrated locally. See R1. Reference. ","")&amp;IF(AND(ISNUMBER($O77),$O77=0,ISNUMBER($E77)),"Section lies entirely below the reference depth — it counts to the full-profile stock only. ",""))</f>
        <v/>
      </c>
      <c r="U77" s="14"/>
    </row>
    <row r="78" spans="1:21" ht="15.75" customHeight="1">
      <c r="A78" s="14"/>
      <c r="B78" s="14"/>
      <c r="C78" s="14"/>
      <c r="D78" s="14"/>
      <c r="E78" s="14"/>
      <c r="F78" s="14"/>
      <c r="G78" s="14" t="str">
        <f t="shared" si="8"/>
        <v/>
      </c>
      <c r="H78" s="14"/>
      <c r="I78" s="14"/>
      <c r="J78" s="24"/>
      <c r="K78" s="24"/>
      <c r="L78" s="24"/>
      <c r="M78" s="24"/>
      <c r="N78" s="16" t="str">
        <f t="shared" si="12"/>
        <v/>
      </c>
      <c r="O78" s="16" t="str">
        <f t="shared" si="9"/>
        <v/>
      </c>
      <c r="P78" s="16" t="str">
        <f t="shared" si="10"/>
        <v/>
      </c>
      <c r="Q78" s="16" t="str">
        <f t="shared" si="11"/>
        <v/>
      </c>
      <c r="R78" s="16">
        <f t="shared" si="13"/>
        <v>0</v>
      </c>
      <c r="S78" s="16" t="str">
        <f>IF(OR($B78="",NOT(ISNUMBER($F78))),"",SUMIFS(community_cores_FS!$P$5:$P$597,community_cores_FS!$B$5:$B$597,$B78,community_cores_FS!$F$5:$F$597,"&lt;="&amp;$F78))</f>
        <v/>
      </c>
      <c r="T78" s="16" t="str">
        <f>IF(AND($A78="",$B78="",$E78=""),"",IF(AND($B78&lt;&gt;"",COUNTIF('2. Core Log'!$A$5:$A$124,$B78)=0),"Core ID not in Core Log. ","")&amp;IF(AND($A78&lt;&gt;"",COUNTIF('1. Plot &amp; Site Log'!$A$5:$A$64,$A78)=0),"Plot ID not in Plot &amp; Site Log. ","")&amp;IF(AND(ISNUMBER($E78),ISNUMBER($F78),$F78&lt;=$E78),"Bottom depth is not below top depth. ","")&amp;IF($I78="","Say which bulk-density basis the lab reported. ","")&amp;IF(AND(ISNUMBER($J78),OR($J78&lt;QC_BD_MIN,$J78&gt;QC_BD_MAX)),"Bulk density outside "&amp;QC_BD_MIN&amp;"–"&amp;QC_BD_MAX&amp;" g/cm³ for peat. Above the top of that range usually means the mineral contact has been passed. ","")&amp;IF(AND(ISNUMBER($N78),$N78&gt;QC_CARBON_PCT_MAX),"Carbon above "&amp;QC_CARBON_PCT_MAX&amp;"% — check units; this may be organic matter rather than carbon. ","")&amp;IF(AND($L78&lt;&gt;"",$M78&lt;&gt;""),"Both LOI and measured carbon given — the measured value is used. ","")&amp;IF(AND($M78="",$L78&lt;&gt;"",OM_FACTOR_IS_LOCAL&lt;&gt;"Yes"),"Carbon derived from LOI using the default factor of "&amp;CARBON_FRACTION_OM&amp;", which has not been calibrated locally. See R1. Reference. ","")&amp;IF(AND(ISNUMBER($O78),$O78=0,ISNUMBER($E78)),"Section lies entirely below the reference depth — it counts to the full-profile stock only. ",""))</f>
        <v/>
      </c>
      <c r="U78" s="14"/>
    </row>
    <row r="79" spans="1:21" ht="15.75" customHeight="1">
      <c r="A79" s="14"/>
      <c r="B79" s="14"/>
      <c r="C79" s="14"/>
      <c r="D79" s="14"/>
      <c r="E79" s="14"/>
      <c r="F79" s="14"/>
      <c r="G79" s="14" t="str">
        <f t="shared" si="8"/>
        <v/>
      </c>
      <c r="H79" s="14"/>
      <c r="I79" s="14"/>
      <c r="J79" s="24"/>
      <c r="K79" s="24"/>
      <c r="L79" s="24"/>
      <c r="M79" s="24"/>
      <c r="N79" s="16" t="str">
        <f t="shared" si="12"/>
        <v/>
      </c>
      <c r="O79" s="16" t="str">
        <f t="shared" si="9"/>
        <v/>
      </c>
      <c r="P79" s="16" t="str">
        <f t="shared" si="10"/>
        <v/>
      </c>
      <c r="Q79" s="16" t="str">
        <f t="shared" si="11"/>
        <v/>
      </c>
      <c r="R79" s="16">
        <f t="shared" si="13"/>
        <v>0</v>
      </c>
      <c r="S79" s="16" t="str">
        <f>IF(OR($B79="",NOT(ISNUMBER($F79))),"",SUMIFS(community_cores_FS!$P$5:$P$597,community_cores_FS!$B$5:$B$597,$B79,community_cores_FS!$F$5:$F$597,"&lt;="&amp;$F79))</f>
        <v/>
      </c>
      <c r="T79" s="16" t="str">
        <f>IF(AND($A79="",$B79="",$E79=""),"",IF(AND($B79&lt;&gt;"",COUNTIF('2. Core Log'!$A$5:$A$124,$B79)=0),"Core ID not in Core Log. ","")&amp;IF(AND($A79&lt;&gt;"",COUNTIF('1. Plot &amp; Site Log'!$A$5:$A$64,$A79)=0),"Plot ID not in Plot &amp; Site Log. ","")&amp;IF(AND(ISNUMBER($E79),ISNUMBER($F79),$F79&lt;=$E79),"Bottom depth is not below top depth. ","")&amp;IF($I79="","Say which bulk-density basis the lab reported. ","")&amp;IF(AND(ISNUMBER($J79),OR($J79&lt;QC_BD_MIN,$J79&gt;QC_BD_MAX)),"Bulk density outside "&amp;QC_BD_MIN&amp;"–"&amp;QC_BD_MAX&amp;" g/cm³ for peat. Above the top of that range usually means the mineral contact has been passed. ","")&amp;IF(AND(ISNUMBER($N79),$N79&gt;QC_CARBON_PCT_MAX),"Carbon above "&amp;QC_CARBON_PCT_MAX&amp;"% — check units; this may be organic matter rather than carbon. ","")&amp;IF(AND($L79&lt;&gt;"",$M79&lt;&gt;""),"Both LOI and measured carbon given — the measured value is used. ","")&amp;IF(AND($M79="",$L79&lt;&gt;"",OM_FACTOR_IS_LOCAL&lt;&gt;"Yes"),"Carbon derived from LOI using the default factor of "&amp;CARBON_FRACTION_OM&amp;", which has not been calibrated locally. See R1. Reference. ","")&amp;IF(AND(ISNUMBER($O79),$O79=0,ISNUMBER($E79)),"Section lies entirely below the reference depth — it counts to the full-profile stock only. ",""))</f>
        <v/>
      </c>
      <c r="U79" s="14"/>
    </row>
    <row r="80" spans="1:21" ht="15.75" customHeight="1">
      <c r="A80" s="14"/>
      <c r="B80" s="14"/>
      <c r="C80" s="14"/>
      <c r="D80" s="14"/>
      <c r="E80" s="14"/>
      <c r="F80" s="14"/>
      <c r="G80" s="14" t="str">
        <f t="shared" si="8"/>
        <v/>
      </c>
      <c r="H80" s="14"/>
      <c r="I80" s="14"/>
      <c r="J80" s="24"/>
      <c r="K80" s="24"/>
      <c r="L80" s="24"/>
      <c r="M80" s="24"/>
      <c r="N80" s="16" t="str">
        <f t="shared" si="12"/>
        <v/>
      </c>
      <c r="O80" s="16" t="str">
        <f t="shared" si="9"/>
        <v/>
      </c>
      <c r="P80" s="16" t="str">
        <f t="shared" si="10"/>
        <v/>
      </c>
      <c r="Q80" s="16" t="str">
        <f t="shared" si="11"/>
        <v/>
      </c>
      <c r="R80" s="16">
        <f t="shared" si="13"/>
        <v>0</v>
      </c>
      <c r="S80" s="16" t="str">
        <f>IF(OR($B80="",NOT(ISNUMBER($F80))),"",SUMIFS(community_cores_FS!$P$5:$P$597,community_cores_FS!$B$5:$B$597,$B80,community_cores_FS!$F$5:$F$597,"&lt;="&amp;$F80))</f>
        <v/>
      </c>
      <c r="T80" s="16" t="str">
        <f>IF(AND($A80="",$B80="",$E80=""),"",IF(AND($B80&lt;&gt;"",COUNTIF('2. Core Log'!$A$5:$A$124,$B80)=0),"Core ID not in Core Log. ","")&amp;IF(AND($A80&lt;&gt;"",COUNTIF('1. Plot &amp; Site Log'!$A$5:$A$64,$A80)=0),"Plot ID not in Plot &amp; Site Log. ","")&amp;IF(AND(ISNUMBER($E80),ISNUMBER($F80),$F80&lt;=$E80),"Bottom depth is not below top depth. ","")&amp;IF($I80="","Say which bulk-density basis the lab reported. ","")&amp;IF(AND(ISNUMBER($J80),OR($J80&lt;QC_BD_MIN,$J80&gt;QC_BD_MAX)),"Bulk density outside "&amp;QC_BD_MIN&amp;"–"&amp;QC_BD_MAX&amp;" g/cm³ for peat. Above the top of that range usually means the mineral contact has been passed. ","")&amp;IF(AND(ISNUMBER($N80),$N80&gt;QC_CARBON_PCT_MAX),"Carbon above "&amp;QC_CARBON_PCT_MAX&amp;"% — check units; this may be organic matter rather than carbon. ","")&amp;IF(AND($L80&lt;&gt;"",$M80&lt;&gt;""),"Both LOI and measured carbon given — the measured value is used. ","")&amp;IF(AND($M80="",$L80&lt;&gt;"",OM_FACTOR_IS_LOCAL&lt;&gt;"Yes"),"Carbon derived from LOI using the default factor of "&amp;CARBON_FRACTION_OM&amp;", which has not been calibrated locally. See R1. Reference. ","")&amp;IF(AND(ISNUMBER($O80),$O80=0,ISNUMBER($E80)),"Section lies entirely below the reference depth — it counts to the full-profile stock only. ",""))</f>
        <v/>
      </c>
      <c r="U80" s="14"/>
    </row>
    <row r="81" spans="1:21" ht="15.75" customHeight="1">
      <c r="A81" s="14"/>
      <c r="B81" s="14"/>
      <c r="C81" s="14"/>
      <c r="D81" s="14"/>
      <c r="E81" s="14"/>
      <c r="F81" s="14"/>
      <c r="G81" s="14" t="str">
        <f t="shared" si="8"/>
        <v/>
      </c>
      <c r="H81" s="14"/>
      <c r="I81" s="14"/>
      <c r="J81" s="24"/>
      <c r="K81" s="24"/>
      <c r="L81" s="24"/>
      <c r="M81" s="24"/>
      <c r="N81" s="16" t="str">
        <f t="shared" si="12"/>
        <v/>
      </c>
      <c r="O81" s="16" t="str">
        <f t="shared" si="9"/>
        <v/>
      </c>
      <c r="P81" s="16" t="str">
        <f t="shared" si="10"/>
        <v/>
      </c>
      <c r="Q81" s="16" t="str">
        <f t="shared" si="11"/>
        <v/>
      </c>
      <c r="R81" s="16">
        <f t="shared" si="13"/>
        <v>0</v>
      </c>
      <c r="S81" s="16" t="str">
        <f>IF(OR($B81="",NOT(ISNUMBER($F81))),"",SUMIFS(community_cores_FS!$P$5:$P$597,community_cores_FS!$B$5:$B$597,$B81,community_cores_FS!$F$5:$F$597,"&lt;="&amp;$F81))</f>
        <v/>
      </c>
      <c r="T81" s="16" t="str">
        <f>IF(AND($A81="",$B81="",$E81=""),"",IF(AND($B81&lt;&gt;"",COUNTIF('2. Core Log'!$A$5:$A$124,$B81)=0),"Core ID not in Core Log. ","")&amp;IF(AND($A81&lt;&gt;"",COUNTIF('1. Plot &amp; Site Log'!$A$5:$A$64,$A81)=0),"Plot ID not in Plot &amp; Site Log. ","")&amp;IF(AND(ISNUMBER($E81),ISNUMBER($F81),$F81&lt;=$E81),"Bottom depth is not below top depth. ","")&amp;IF($I81="","Say which bulk-density basis the lab reported. ","")&amp;IF(AND(ISNUMBER($J81),OR($J81&lt;QC_BD_MIN,$J81&gt;QC_BD_MAX)),"Bulk density outside "&amp;QC_BD_MIN&amp;"–"&amp;QC_BD_MAX&amp;" g/cm³ for peat. Above the top of that range usually means the mineral contact has been passed. ","")&amp;IF(AND(ISNUMBER($N81),$N81&gt;QC_CARBON_PCT_MAX),"Carbon above "&amp;QC_CARBON_PCT_MAX&amp;"% — check units; this may be organic matter rather than carbon. ","")&amp;IF(AND($L81&lt;&gt;"",$M81&lt;&gt;""),"Both LOI and measured carbon given — the measured value is used. ","")&amp;IF(AND($M81="",$L81&lt;&gt;"",OM_FACTOR_IS_LOCAL&lt;&gt;"Yes"),"Carbon derived from LOI using the default factor of "&amp;CARBON_FRACTION_OM&amp;", which has not been calibrated locally. See R1. Reference. ","")&amp;IF(AND(ISNUMBER($O81),$O81=0,ISNUMBER($E81)),"Section lies entirely below the reference depth — it counts to the full-profile stock only. ",""))</f>
        <v/>
      </c>
      <c r="U81" s="14"/>
    </row>
    <row r="82" spans="1:21" ht="15.75" customHeight="1">
      <c r="A82" s="14"/>
      <c r="B82" s="14"/>
      <c r="C82" s="14"/>
      <c r="D82" s="14"/>
      <c r="E82" s="14"/>
      <c r="F82" s="14"/>
      <c r="G82" s="14" t="str">
        <f t="shared" si="8"/>
        <v/>
      </c>
      <c r="H82" s="14"/>
      <c r="I82" s="14"/>
      <c r="J82" s="24"/>
      <c r="K82" s="24"/>
      <c r="L82" s="24"/>
      <c r="M82" s="24"/>
      <c r="N82" s="16" t="str">
        <f t="shared" si="12"/>
        <v/>
      </c>
      <c r="O82" s="16" t="str">
        <f t="shared" si="9"/>
        <v/>
      </c>
      <c r="P82" s="16" t="str">
        <f t="shared" si="10"/>
        <v/>
      </c>
      <c r="Q82" s="16" t="str">
        <f t="shared" si="11"/>
        <v/>
      </c>
      <c r="R82" s="16">
        <f t="shared" si="13"/>
        <v>0</v>
      </c>
      <c r="S82" s="16" t="str">
        <f>IF(OR($B82="",NOT(ISNUMBER($F82))),"",SUMIFS(community_cores_FS!$P$5:$P$597,community_cores_FS!$B$5:$B$597,$B82,community_cores_FS!$F$5:$F$597,"&lt;="&amp;$F82))</f>
        <v/>
      </c>
      <c r="T82" s="16" t="str">
        <f>IF(AND($A82="",$B82="",$E82=""),"",IF(AND($B82&lt;&gt;"",COUNTIF('2. Core Log'!$A$5:$A$124,$B82)=0),"Core ID not in Core Log. ","")&amp;IF(AND($A82&lt;&gt;"",COUNTIF('1. Plot &amp; Site Log'!$A$5:$A$64,$A82)=0),"Plot ID not in Plot &amp; Site Log. ","")&amp;IF(AND(ISNUMBER($E82),ISNUMBER($F82),$F82&lt;=$E82),"Bottom depth is not below top depth. ","")&amp;IF($I82="","Say which bulk-density basis the lab reported. ","")&amp;IF(AND(ISNUMBER($J82),OR($J82&lt;QC_BD_MIN,$J82&gt;QC_BD_MAX)),"Bulk density outside "&amp;QC_BD_MIN&amp;"–"&amp;QC_BD_MAX&amp;" g/cm³ for peat. Above the top of that range usually means the mineral contact has been passed. ","")&amp;IF(AND(ISNUMBER($N82),$N82&gt;QC_CARBON_PCT_MAX),"Carbon above "&amp;QC_CARBON_PCT_MAX&amp;"% — check units; this may be organic matter rather than carbon. ","")&amp;IF(AND($L82&lt;&gt;"",$M82&lt;&gt;""),"Both LOI and measured carbon given — the measured value is used. ","")&amp;IF(AND($M82="",$L82&lt;&gt;"",OM_FACTOR_IS_LOCAL&lt;&gt;"Yes"),"Carbon derived from LOI using the default factor of "&amp;CARBON_FRACTION_OM&amp;", which has not been calibrated locally. See R1. Reference. ","")&amp;IF(AND(ISNUMBER($O82),$O82=0,ISNUMBER($E82)),"Section lies entirely below the reference depth — it counts to the full-profile stock only. ",""))</f>
        <v/>
      </c>
      <c r="U82" s="14"/>
    </row>
    <row r="83" spans="1:21" ht="15.75" customHeight="1">
      <c r="A83" s="14"/>
      <c r="B83" s="14"/>
      <c r="C83" s="14"/>
      <c r="D83" s="14"/>
      <c r="E83" s="14"/>
      <c r="F83" s="14"/>
      <c r="G83" s="14" t="str">
        <f t="shared" si="8"/>
        <v/>
      </c>
      <c r="H83" s="14"/>
      <c r="I83" s="14"/>
      <c r="J83" s="24"/>
      <c r="K83" s="24"/>
      <c r="L83" s="24"/>
      <c r="M83" s="24"/>
      <c r="N83" s="16" t="str">
        <f t="shared" si="12"/>
        <v/>
      </c>
      <c r="O83" s="16" t="str">
        <f t="shared" si="9"/>
        <v/>
      </c>
      <c r="P83" s="16" t="str">
        <f t="shared" si="10"/>
        <v/>
      </c>
      <c r="Q83" s="16" t="str">
        <f t="shared" si="11"/>
        <v/>
      </c>
      <c r="R83" s="16">
        <f t="shared" si="13"/>
        <v>0</v>
      </c>
      <c r="S83" s="16" t="str">
        <f>IF(OR($B83="",NOT(ISNUMBER($F83))),"",SUMIFS(community_cores_FS!$P$5:$P$597,community_cores_FS!$B$5:$B$597,$B83,community_cores_FS!$F$5:$F$597,"&lt;="&amp;$F83))</f>
        <v/>
      </c>
      <c r="T83" s="16" t="str">
        <f>IF(AND($A83="",$B83="",$E83=""),"",IF(AND($B83&lt;&gt;"",COUNTIF('2. Core Log'!$A$5:$A$124,$B83)=0),"Core ID not in Core Log. ","")&amp;IF(AND($A83&lt;&gt;"",COUNTIF('1. Plot &amp; Site Log'!$A$5:$A$64,$A83)=0),"Plot ID not in Plot &amp; Site Log. ","")&amp;IF(AND(ISNUMBER($E83),ISNUMBER($F83),$F83&lt;=$E83),"Bottom depth is not below top depth. ","")&amp;IF($I83="","Say which bulk-density basis the lab reported. ","")&amp;IF(AND(ISNUMBER($J83),OR($J83&lt;QC_BD_MIN,$J83&gt;QC_BD_MAX)),"Bulk density outside "&amp;QC_BD_MIN&amp;"–"&amp;QC_BD_MAX&amp;" g/cm³ for peat. Above the top of that range usually means the mineral contact has been passed. ","")&amp;IF(AND(ISNUMBER($N83),$N83&gt;QC_CARBON_PCT_MAX),"Carbon above "&amp;QC_CARBON_PCT_MAX&amp;"% — check units; this may be organic matter rather than carbon. ","")&amp;IF(AND($L83&lt;&gt;"",$M83&lt;&gt;""),"Both LOI and measured carbon given — the measured value is used. ","")&amp;IF(AND($M83="",$L83&lt;&gt;"",OM_FACTOR_IS_LOCAL&lt;&gt;"Yes"),"Carbon derived from LOI using the default factor of "&amp;CARBON_FRACTION_OM&amp;", which has not been calibrated locally. See R1. Reference. ","")&amp;IF(AND(ISNUMBER($O83),$O83=0,ISNUMBER($E83)),"Section lies entirely below the reference depth — it counts to the full-profile stock only. ",""))</f>
        <v/>
      </c>
      <c r="U83" s="14"/>
    </row>
    <row r="84" spans="1:21" ht="15.75" customHeight="1">
      <c r="A84" s="14"/>
      <c r="B84" s="14"/>
      <c r="C84" s="14"/>
      <c r="D84" s="14"/>
      <c r="E84" s="14"/>
      <c r="F84" s="14"/>
      <c r="G84" s="14" t="str">
        <f t="shared" si="8"/>
        <v/>
      </c>
      <c r="H84" s="14"/>
      <c r="I84" s="14"/>
      <c r="J84" s="24"/>
      <c r="K84" s="24"/>
      <c r="L84" s="24"/>
      <c r="M84" s="24"/>
      <c r="N84" s="16" t="str">
        <f t="shared" si="12"/>
        <v/>
      </c>
      <c r="O84" s="16" t="str">
        <f t="shared" si="9"/>
        <v/>
      </c>
      <c r="P84" s="16" t="str">
        <f t="shared" si="10"/>
        <v/>
      </c>
      <c r="Q84" s="16" t="str">
        <f t="shared" si="11"/>
        <v/>
      </c>
      <c r="R84" s="16">
        <f t="shared" si="13"/>
        <v>0</v>
      </c>
      <c r="S84" s="16" t="str">
        <f>IF(OR($B84="",NOT(ISNUMBER($F84))),"",SUMIFS(community_cores_FS!$P$5:$P$597,community_cores_FS!$B$5:$B$597,$B84,community_cores_FS!$F$5:$F$597,"&lt;="&amp;$F84))</f>
        <v/>
      </c>
      <c r="T84" s="16" t="str">
        <f>IF(AND($A84="",$B84="",$E84=""),"",IF(AND($B84&lt;&gt;"",COUNTIF('2. Core Log'!$A$5:$A$124,$B84)=0),"Core ID not in Core Log. ","")&amp;IF(AND($A84&lt;&gt;"",COUNTIF('1. Plot &amp; Site Log'!$A$5:$A$64,$A84)=0),"Plot ID not in Plot &amp; Site Log. ","")&amp;IF(AND(ISNUMBER($E84),ISNUMBER($F84),$F84&lt;=$E84),"Bottom depth is not below top depth. ","")&amp;IF($I84="","Say which bulk-density basis the lab reported. ","")&amp;IF(AND(ISNUMBER($J84),OR($J84&lt;QC_BD_MIN,$J84&gt;QC_BD_MAX)),"Bulk density outside "&amp;QC_BD_MIN&amp;"–"&amp;QC_BD_MAX&amp;" g/cm³ for peat. Above the top of that range usually means the mineral contact has been passed. ","")&amp;IF(AND(ISNUMBER($N84),$N84&gt;QC_CARBON_PCT_MAX),"Carbon above "&amp;QC_CARBON_PCT_MAX&amp;"% — check units; this may be organic matter rather than carbon. ","")&amp;IF(AND($L84&lt;&gt;"",$M84&lt;&gt;""),"Both LOI and measured carbon given — the measured value is used. ","")&amp;IF(AND($M84="",$L84&lt;&gt;"",OM_FACTOR_IS_LOCAL&lt;&gt;"Yes"),"Carbon derived from LOI using the default factor of "&amp;CARBON_FRACTION_OM&amp;", which has not been calibrated locally. See R1. Reference. ","")&amp;IF(AND(ISNUMBER($O84),$O84=0,ISNUMBER($E84)),"Section lies entirely below the reference depth — it counts to the full-profile stock only. ",""))</f>
        <v/>
      </c>
      <c r="U84" s="14"/>
    </row>
    <row r="85" spans="1:21" ht="15.75" customHeight="1">
      <c r="A85" s="14"/>
      <c r="B85" s="14"/>
      <c r="C85" s="14"/>
      <c r="D85" s="14"/>
      <c r="E85" s="14"/>
      <c r="F85" s="14"/>
      <c r="G85" s="14" t="str">
        <f t="shared" si="8"/>
        <v/>
      </c>
      <c r="H85" s="14"/>
      <c r="I85" s="14"/>
      <c r="J85" s="24"/>
      <c r="K85" s="24"/>
      <c r="L85" s="24"/>
      <c r="M85" s="24"/>
      <c r="N85" s="16" t="str">
        <f t="shared" si="12"/>
        <v/>
      </c>
      <c r="O85" s="16" t="str">
        <f t="shared" si="9"/>
        <v/>
      </c>
      <c r="P85" s="16" t="str">
        <f t="shared" si="10"/>
        <v/>
      </c>
      <c r="Q85" s="16" t="str">
        <f t="shared" si="11"/>
        <v/>
      </c>
      <c r="R85" s="16">
        <f t="shared" si="13"/>
        <v>0</v>
      </c>
      <c r="S85" s="16" t="str">
        <f>IF(OR($B85="",NOT(ISNUMBER($F85))),"",SUMIFS(community_cores_FS!$P$5:$P$597,community_cores_FS!$B$5:$B$597,$B85,community_cores_FS!$F$5:$F$597,"&lt;="&amp;$F85))</f>
        <v/>
      </c>
      <c r="T85" s="16" t="str">
        <f>IF(AND($A85="",$B85="",$E85=""),"",IF(AND($B85&lt;&gt;"",COUNTIF('2. Core Log'!$A$5:$A$124,$B85)=0),"Core ID not in Core Log. ","")&amp;IF(AND($A85&lt;&gt;"",COUNTIF('1. Plot &amp; Site Log'!$A$5:$A$64,$A85)=0),"Plot ID not in Plot &amp; Site Log. ","")&amp;IF(AND(ISNUMBER($E85),ISNUMBER($F85),$F85&lt;=$E85),"Bottom depth is not below top depth. ","")&amp;IF($I85="","Say which bulk-density basis the lab reported. ","")&amp;IF(AND(ISNUMBER($J85),OR($J85&lt;QC_BD_MIN,$J85&gt;QC_BD_MAX)),"Bulk density outside "&amp;QC_BD_MIN&amp;"–"&amp;QC_BD_MAX&amp;" g/cm³ for peat. Above the top of that range usually means the mineral contact has been passed. ","")&amp;IF(AND(ISNUMBER($N85),$N85&gt;QC_CARBON_PCT_MAX),"Carbon above "&amp;QC_CARBON_PCT_MAX&amp;"% — check units; this may be organic matter rather than carbon. ","")&amp;IF(AND($L85&lt;&gt;"",$M85&lt;&gt;""),"Both LOI and measured carbon given — the measured value is used. ","")&amp;IF(AND($M85="",$L85&lt;&gt;"",OM_FACTOR_IS_LOCAL&lt;&gt;"Yes"),"Carbon derived from LOI using the default factor of "&amp;CARBON_FRACTION_OM&amp;", which has not been calibrated locally. See R1. Reference. ","")&amp;IF(AND(ISNUMBER($O85),$O85=0,ISNUMBER($E85)),"Section lies entirely below the reference depth — it counts to the full-profile stock only. ",""))</f>
        <v/>
      </c>
      <c r="U85" s="14"/>
    </row>
    <row r="86" spans="1:21" ht="15.75" customHeight="1">
      <c r="A86" s="14"/>
      <c r="B86" s="14"/>
      <c r="C86" s="14"/>
      <c r="D86" s="14"/>
      <c r="E86" s="14"/>
      <c r="F86" s="14"/>
      <c r="G86" s="14" t="str">
        <f t="shared" si="8"/>
        <v/>
      </c>
      <c r="H86" s="14"/>
      <c r="I86" s="14"/>
      <c r="J86" s="24"/>
      <c r="K86" s="24"/>
      <c r="L86" s="24"/>
      <c r="M86" s="24"/>
      <c r="N86" s="16" t="str">
        <f t="shared" si="12"/>
        <v/>
      </c>
      <c r="O86" s="16" t="str">
        <f t="shared" si="9"/>
        <v/>
      </c>
      <c r="P86" s="16" t="str">
        <f t="shared" si="10"/>
        <v/>
      </c>
      <c r="Q86" s="16" t="str">
        <f t="shared" si="11"/>
        <v/>
      </c>
      <c r="R86" s="16">
        <f t="shared" si="13"/>
        <v>0</v>
      </c>
      <c r="S86" s="16" t="str">
        <f>IF(OR($B86="",NOT(ISNUMBER($F86))),"",SUMIFS(community_cores_FS!$P$5:$P$597,community_cores_FS!$B$5:$B$597,$B86,community_cores_FS!$F$5:$F$597,"&lt;="&amp;$F86))</f>
        <v/>
      </c>
      <c r="T86" s="16" t="str">
        <f>IF(AND($A86="",$B86="",$E86=""),"",IF(AND($B86&lt;&gt;"",COUNTIF('2. Core Log'!$A$5:$A$124,$B86)=0),"Core ID not in Core Log. ","")&amp;IF(AND($A86&lt;&gt;"",COUNTIF('1. Plot &amp; Site Log'!$A$5:$A$64,$A86)=0),"Plot ID not in Plot &amp; Site Log. ","")&amp;IF(AND(ISNUMBER($E86),ISNUMBER($F86),$F86&lt;=$E86),"Bottom depth is not below top depth. ","")&amp;IF($I86="","Say which bulk-density basis the lab reported. ","")&amp;IF(AND(ISNUMBER($J86),OR($J86&lt;QC_BD_MIN,$J86&gt;QC_BD_MAX)),"Bulk density outside "&amp;QC_BD_MIN&amp;"–"&amp;QC_BD_MAX&amp;" g/cm³ for peat. Above the top of that range usually means the mineral contact has been passed. ","")&amp;IF(AND(ISNUMBER($N86),$N86&gt;QC_CARBON_PCT_MAX),"Carbon above "&amp;QC_CARBON_PCT_MAX&amp;"% — check units; this may be organic matter rather than carbon. ","")&amp;IF(AND($L86&lt;&gt;"",$M86&lt;&gt;""),"Both LOI and measured carbon given — the measured value is used. ","")&amp;IF(AND($M86="",$L86&lt;&gt;"",OM_FACTOR_IS_LOCAL&lt;&gt;"Yes"),"Carbon derived from LOI using the default factor of "&amp;CARBON_FRACTION_OM&amp;", which has not been calibrated locally. See R1. Reference. ","")&amp;IF(AND(ISNUMBER($O86),$O86=0,ISNUMBER($E86)),"Section lies entirely below the reference depth — it counts to the full-profile stock only. ",""))</f>
        <v/>
      </c>
      <c r="U86" s="14"/>
    </row>
    <row r="87" spans="1:21" ht="15.75" customHeight="1">
      <c r="A87" s="14"/>
      <c r="B87" s="14"/>
      <c r="C87" s="14"/>
      <c r="D87" s="14"/>
      <c r="E87" s="14"/>
      <c r="F87" s="14"/>
      <c r="G87" s="14" t="str">
        <f t="shared" si="8"/>
        <v/>
      </c>
      <c r="H87" s="14"/>
      <c r="I87" s="14"/>
      <c r="J87" s="24"/>
      <c r="K87" s="24"/>
      <c r="L87" s="24"/>
      <c r="M87" s="24"/>
      <c r="N87" s="16" t="str">
        <f t="shared" si="12"/>
        <v/>
      </c>
      <c r="O87" s="16" t="str">
        <f t="shared" si="9"/>
        <v/>
      </c>
      <c r="P87" s="16" t="str">
        <f t="shared" si="10"/>
        <v/>
      </c>
      <c r="Q87" s="16" t="str">
        <f t="shared" si="11"/>
        <v/>
      </c>
      <c r="R87" s="16">
        <f t="shared" si="13"/>
        <v>0</v>
      </c>
      <c r="S87" s="16" t="str">
        <f>IF(OR($B87="",NOT(ISNUMBER($F87))),"",SUMIFS(community_cores_FS!$P$5:$P$597,community_cores_FS!$B$5:$B$597,$B87,community_cores_FS!$F$5:$F$597,"&lt;="&amp;$F87))</f>
        <v/>
      </c>
      <c r="T87" s="16" t="str">
        <f>IF(AND($A87="",$B87="",$E87=""),"",IF(AND($B87&lt;&gt;"",COUNTIF('2. Core Log'!$A$5:$A$124,$B87)=0),"Core ID not in Core Log. ","")&amp;IF(AND($A87&lt;&gt;"",COUNTIF('1. Plot &amp; Site Log'!$A$5:$A$64,$A87)=0),"Plot ID not in Plot &amp; Site Log. ","")&amp;IF(AND(ISNUMBER($E87),ISNUMBER($F87),$F87&lt;=$E87),"Bottom depth is not below top depth. ","")&amp;IF($I87="","Say which bulk-density basis the lab reported. ","")&amp;IF(AND(ISNUMBER($J87),OR($J87&lt;QC_BD_MIN,$J87&gt;QC_BD_MAX)),"Bulk density outside "&amp;QC_BD_MIN&amp;"–"&amp;QC_BD_MAX&amp;" g/cm³ for peat. Above the top of that range usually means the mineral contact has been passed. ","")&amp;IF(AND(ISNUMBER($N87),$N87&gt;QC_CARBON_PCT_MAX),"Carbon above "&amp;QC_CARBON_PCT_MAX&amp;"% — check units; this may be organic matter rather than carbon. ","")&amp;IF(AND($L87&lt;&gt;"",$M87&lt;&gt;""),"Both LOI and measured carbon given — the measured value is used. ","")&amp;IF(AND($M87="",$L87&lt;&gt;"",OM_FACTOR_IS_LOCAL&lt;&gt;"Yes"),"Carbon derived from LOI using the default factor of "&amp;CARBON_FRACTION_OM&amp;", which has not been calibrated locally. See R1. Reference. ","")&amp;IF(AND(ISNUMBER($O87),$O87=0,ISNUMBER($E87)),"Section lies entirely below the reference depth — it counts to the full-profile stock only. ",""))</f>
        <v/>
      </c>
      <c r="U87" s="14"/>
    </row>
    <row r="88" spans="1:21" ht="15.75" customHeight="1">
      <c r="A88" s="14"/>
      <c r="B88" s="14"/>
      <c r="C88" s="14"/>
      <c r="D88" s="14"/>
      <c r="E88" s="14"/>
      <c r="F88" s="14"/>
      <c r="G88" s="14" t="str">
        <f t="shared" si="8"/>
        <v/>
      </c>
      <c r="H88" s="14"/>
      <c r="I88" s="14"/>
      <c r="J88" s="24"/>
      <c r="K88" s="24"/>
      <c r="L88" s="24"/>
      <c r="M88" s="24"/>
      <c r="N88" s="16" t="str">
        <f t="shared" si="12"/>
        <v/>
      </c>
      <c r="O88" s="16" t="str">
        <f t="shared" si="9"/>
        <v/>
      </c>
      <c r="P88" s="16" t="str">
        <f t="shared" si="10"/>
        <v/>
      </c>
      <c r="Q88" s="16" t="str">
        <f t="shared" si="11"/>
        <v/>
      </c>
      <c r="R88" s="16">
        <f t="shared" si="13"/>
        <v>0</v>
      </c>
      <c r="S88" s="16" t="str">
        <f>IF(OR($B88="",NOT(ISNUMBER($F88))),"",SUMIFS(community_cores_FS!$P$5:$P$597,community_cores_FS!$B$5:$B$597,$B88,community_cores_FS!$F$5:$F$597,"&lt;="&amp;$F88))</f>
        <v/>
      </c>
      <c r="T88" s="16" t="str">
        <f>IF(AND($A88="",$B88="",$E88=""),"",IF(AND($B88&lt;&gt;"",COUNTIF('2. Core Log'!$A$5:$A$124,$B88)=0),"Core ID not in Core Log. ","")&amp;IF(AND($A88&lt;&gt;"",COUNTIF('1. Plot &amp; Site Log'!$A$5:$A$64,$A88)=0),"Plot ID not in Plot &amp; Site Log. ","")&amp;IF(AND(ISNUMBER($E88),ISNUMBER($F88),$F88&lt;=$E88),"Bottom depth is not below top depth. ","")&amp;IF($I88="","Say which bulk-density basis the lab reported. ","")&amp;IF(AND(ISNUMBER($J88),OR($J88&lt;QC_BD_MIN,$J88&gt;QC_BD_MAX)),"Bulk density outside "&amp;QC_BD_MIN&amp;"–"&amp;QC_BD_MAX&amp;" g/cm³ for peat. Above the top of that range usually means the mineral contact has been passed. ","")&amp;IF(AND(ISNUMBER($N88),$N88&gt;QC_CARBON_PCT_MAX),"Carbon above "&amp;QC_CARBON_PCT_MAX&amp;"% — check units; this may be organic matter rather than carbon. ","")&amp;IF(AND($L88&lt;&gt;"",$M88&lt;&gt;""),"Both LOI and measured carbon given — the measured value is used. ","")&amp;IF(AND($M88="",$L88&lt;&gt;"",OM_FACTOR_IS_LOCAL&lt;&gt;"Yes"),"Carbon derived from LOI using the default factor of "&amp;CARBON_FRACTION_OM&amp;", which has not been calibrated locally. See R1. Reference. ","")&amp;IF(AND(ISNUMBER($O88),$O88=0,ISNUMBER($E88)),"Section lies entirely below the reference depth — it counts to the full-profile stock only. ",""))</f>
        <v/>
      </c>
      <c r="U88" s="14"/>
    </row>
    <row r="89" spans="1:21" ht="15.75" customHeight="1">
      <c r="A89" s="14"/>
      <c r="B89" s="14"/>
      <c r="C89" s="14"/>
      <c r="D89" s="14"/>
      <c r="E89" s="14"/>
      <c r="F89" s="14"/>
      <c r="G89" s="14" t="str">
        <f t="shared" si="8"/>
        <v/>
      </c>
      <c r="H89" s="14"/>
      <c r="I89" s="14"/>
      <c r="J89" s="24"/>
      <c r="K89" s="24"/>
      <c r="L89" s="24"/>
      <c r="M89" s="24"/>
      <c r="N89" s="16" t="str">
        <f t="shared" si="12"/>
        <v/>
      </c>
      <c r="O89" s="16" t="str">
        <f t="shared" si="9"/>
        <v/>
      </c>
      <c r="P89" s="16" t="str">
        <f t="shared" si="10"/>
        <v/>
      </c>
      <c r="Q89" s="16" t="str">
        <f t="shared" si="11"/>
        <v/>
      </c>
      <c r="R89" s="16">
        <f t="shared" si="13"/>
        <v>0</v>
      </c>
      <c r="S89" s="16" t="str">
        <f>IF(OR($B89="",NOT(ISNUMBER($F89))),"",SUMIFS(community_cores_FS!$P$5:$P$597,community_cores_FS!$B$5:$B$597,$B89,community_cores_FS!$F$5:$F$597,"&lt;="&amp;$F89))</f>
        <v/>
      </c>
      <c r="T89" s="16" t="str">
        <f>IF(AND($A89="",$B89="",$E89=""),"",IF(AND($B89&lt;&gt;"",COUNTIF('2. Core Log'!$A$5:$A$124,$B89)=0),"Core ID not in Core Log. ","")&amp;IF(AND($A89&lt;&gt;"",COUNTIF('1. Plot &amp; Site Log'!$A$5:$A$64,$A89)=0),"Plot ID not in Plot &amp; Site Log. ","")&amp;IF(AND(ISNUMBER($E89),ISNUMBER($F89),$F89&lt;=$E89),"Bottom depth is not below top depth. ","")&amp;IF($I89="","Say which bulk-density basis the lab reported. ","")&amp;IF(AND(ISNUMBER($J89),OR($J89&lt;QC_BD_MIN,$J89&gt;QC_BD_MAX)),"Bulk density outside "&amp;QC_BD_MIN&amp;"–"&amp;QC_BD_MAX&amp;" g/cm³ for peat. Above the top of that range usually means the mineral contact has been passed. ","")&amp;IF(AND(ISNUMBER($N89),$N89&gt;QC_CARBON_PCT_MAX),"Carbon above "&amp;QC_CARBON_PCT_MAX&amp;"% — check units; this may be organic matter rather than carbon. ","")&amp;IF(AND($L89&lt;&gt;"",$M89&lt;&gt;""),"Both LOI and measured carbon given — the measured value is used. ","")&amp;IF(AND($M89="",$L89&lt;&gt;"",OM_FACTOR_IS_LOCAL&lt;&gt;"Yes"),"Carbon derived from LOI using the default factor of "&amp;CARBON_FRACTION_OM&amp;", which has not been calibrated locally. See R1. Reference. ","")&amp;IF(AND(ISNUMBER($O89),$O89=0,ISNUMBER($E89)),"Section lies entirely below the reference depth — it counts to the full-profile stock only. ",""))</f>
        <v/>
      </c>
      <c r="U89" s="14"/>
    </row>
    <row r="90" spans="1:21" ht="15.75" customHeight="1">
      <c r="A90" s="14"/>
      <c r="B90" s="14"/>
      <c r="C90" s="14"/>
      <c r="D90" s="14"/>
      <c r="E90" s="14"/>
      <c r="F90" s="14"/>
      <c r="G90" s="14" t="str">
        <f t="shared" si="8"/>
        <v/>
      </c>
      <c r="H90" s="14"/>
      <c r="I90" s="14"/>
      <c r="J90" s="24"/>
      <c r="K90" s="24"/>
      <c r="L90" s="24"/>
      <c r="M90" s="24"/>
      <c r="N90" s="16" t="str">
        <f t="shared" si="12"/>
        <v/>
      </c>
      <c r="O90" s="16" t="str">
        <f t="shared" si="9"/>
        <v/>
      </c>
      <c r="P90" s="16" t="str">
        <f t="shared" si="10"/>
        <v/>
      </c>
      <c r="Q90" s="16" t="str">
        <f t="shared" si="11"/>
        <v/>
      </c>
      <c r="R90" s="16">
        <f t="shared" si="13"/>
        <v>0</v>
      </c>
      <c r="S90" s="16" t="str">
        <f>IF(OR($B90="",NOT(ISNUMBER($F90))),"",SUMIFS(community_cores_FS!$P$5:$P$597,community_cores_FS!$B$5:$B$597,$B90,community_cores_FS!$F$5:$F$597,"&lt;="&amp;$F90))</f>
        <v/>
      </c>
      <c r="T90" s="16" t="str">
        <f>IF(AND($A90="",$B90="",$E90=""),"",IF(AND($B90&lt;&gt;"",COUNTIF('2. Core Log'!$A$5:$A$124,$B90)=0),"Core ID not in Core Log. ","")&amp;IF(AND($A90&lt;&gt;"",COUNTIF('1. Plot &amp; Site Log'!$A$5:$A$64,$A90)=0),"Plot ID not in Plot &amp; Site Log. ","")&amp;IF(AND(ISNUMBER($E90),ISNUMBER($F90),$F90&lt;=$E90),"Bottom depth is not below top depth. ","")&amp;IF($I90="","Say which bulk-density basis the lab reported. ","")&amp;IF(AND(ISNUMBER($J90),OR($J90&lt;QC_BD_MIN,$J90&gt;QC_BD_MAX)),"Bulk density outside "&amp;QC_BD_MIN&amp;"–"&amp;QC_BD_MAX&amp;" g/cm³ for peat. Above the top of that range usually means the mineral contact has been passed. ","")&amp;IF(AND(ISNUMBER($N90),$N90&gt;QC_CARBON_PCT_MAX),"Carbon above "&amp;QC_CARBON_PCT_MAX&amp;"% — check units; this may be organic matter rather than carbon. ","")&amp;IF(AND($L90&lt;&gt;"",$M90&lt;&gt;""),"Both LOI and measured carbon given — the measured value is used. ","")&amp;IF(AND($M90="",$L90&lt;&gt;"",OM_FACTOR_IS_LOCAL&lt;&gt;"Yes"),"Carbon derived from LOI using the default factor of "&amp;CARBON_FRACTION_OM&amp;", which has not been calibrated locally. See R1. Reference. ","")&amp;IF(AND(ISNUMBER($O90),$O90=0,ISNUMBER($E90)),"Section lies entirely below the reference depth — it counts to the full-profile stock only. ",""))</f>
        <v/>
      </c>
      <c r="U90" s="14"/>
    </row>
    <row r="91" spans="1:21" ht="15.75" customHeight="1">
      <c r="A91" s="14"/>
      <c r="B91" s="14"/>
      <c r="C91" s="14"/>
      <c r="D91" s="14"/>
      <c r="E91" s="14"/>
      <c r="F91" s="14"/>
      <c r="G91" s="14" t="str">
        <f t="shared" ref="G91:G154" si="14">IF(OR($E91="",$F91=""),"",$F91-$E91)</f>
        <v/>
      </c>
      <c r="H91" s="14"/>
      <c r="I91" s="14"/>
      <c r="J91" s="24"/>
      <c r="K91" s="24"/>
      <c r="L91" s="24"/>
      <c r="M91" s="24"/>
      <c r="N91" s="16" t="str">
        <f t="shared" si="12"/>
        <v/>
      </c>
      <c r="O91" s="16" t="str">
        <f t="shared" ref="O91:O154" si="15">IF(OR($E91="",$F91=""),"",MAX(0,MIN($F91,REFERENCE_DEPTH_CM)-MIN($E91,REFERENCE_DEPTH_CM)))</f>
        <v/>
      </c>
      <c r="P91" s="16" t="str">
        <f t="shared" ref="P91:P154" si="16">IF(OR($J91="",$N91="",$G91=""),"",$J91*($N91/100)*$G91*10)</f>
        <v/>
      </c>
      <c r="Q91" s="16" t="str">
        <f t="shared" ref="Q91:Q154" si="17">IF(OR($J91="",$N91="",$O91=""),"",$J91*($N91/100)*$O91*10)</f>
        <v/>
      </c>
      <c r="R91" s="16">
        <f t="shared" si="13"/>
        <v>0</v>
      </c>
      <c r="S91" s="16" t="str">
        <f>IF(OR($B91="",NOT(ISNUMBER($F91))),"",SUMIFS(community_cores_FS!$P$5:$P$597,community_cores_FS!$B$5:$B$597,$B91,community_cores_FS!$F$5:$F$597,"&lt;="&amp;$F91))</f>
        <v/>
      </c>
      <c r="T91" s="16" t="str">
        <f>IF(AND($A91="",$B91="",$E91=""),"",IF(AND($B91&lt;&gt;"",COUNTIF('2. Core Log'!$A$5:$A$124,$B91)=0),"Core ID not in Core Log. ","")&amp;IF(AND($A91&lt;&gt;"",COUNTIF('1. Plot &amp; Site Log'!$A$5:$A$64,$A91)=0),"Plot ID not in Plot &amp; Site Log. ","")&amp;IF(AND(ISNUMBER($E91),ISNUMBER($F91),$F91&lt;=$E91),"Bottom depth is not below top depth. ","")&amp;IF($I91="","Say which bulk-density basis the lab reported. ","")&amp;IF(AND(ISNUMBER($J91),OR($J91&lt;QC_BD_MIN,$J91&gt;QC_BD_MAX)),"Bulk density outside "&amp;QC_BD_MIN&amp;"–"&amp;QC_BD_MAX&amp;" g/cm³ for peat. Above the top of that range usually means the mineral contact has been passed. ","")&amp;IF(AND(ISNUMBER($N91),$N91&gt;QC_CARBON_PCT_MAX),"Carbon above "&amp;QC_CARBON_PCT_MAX&amp;"% — check units; this may be organic matter rather than carbon. ","")&amp;IF(AND($L91&lt;&gt;"",$M91&lt;&gt;""),"Both LOI and measured carbon given — the measured value is used. ","")&amp;IF(AND($M91="",$L91&lt;&gt;"",OM_FACTOR_IS_LOCAL&lt;&gt;"Yes"),"Carbon derived from LOI using the default factor of "&amp;CARBON_FRACTION_OM&amp;", which has not been calibrated locally. See R1. Reference. ","")&amp;IF(AND(ISNUMBER($O91),$O91=0,ISNUMBER($E91)),"Section lies entirely below the reference depth — it counts to the full-profile stock only. ",""))</f>
        <v/>
      </c>
      <c r="U91" s="14"/>
    </row>
    <row r="92" spans="1:21" ht="15.75" customHeight="1">
      <c r="A92" s="14"/>
      <c r="B92" s="14"/>
      <c r="C92" s="14"/>
      <c r="D92" s="14"/>
      <c r="E92" s="14"/>
      <c r="F92" s="14"/>
      <c r="G92" s="14" t="str">
        <f t="shared" si="14"/>
        <v/>
      </c>
      <c r="H92" s="14"/>
      <c r="I92" s="14"/>
      <c r="J92" s="24"/>
      <c r="K92" s="24"/>
      <c r="L92" s="24"/>
      <c r="M92" s="24"/>
      <c r="N92" s="16" t="str">
        <f t="shared" si="12"/>
        <v/>
      </c>
      <c r="O92" s="16" t="str">
        <f t="shared" si="15"/>
        <v/>
      </c>
      <c r="P92" s="16" t="str">
        <f t="shared" si="16"/>
        <v/>
      </c>
      <c r="Q92" s="16" t="str">
        <f t="shared" si="17"/>
        <v/>
      </c>
      <c r="R92" s="16">
        <f t="shared" si="13"/>
        <v>0</v>
      </c>
      <c r="S92" s="16" t="str">
        <f>IF(OR($B92="",NOT(ISNUMBER($F92))),"",SUMIFS(community_cores_FS!$P$5:$P$597,community_cores_FS!$B$5:$B$597,$B92,community_cores_FS!$F$5:$F$597,"&lt;="&amp;$F92))</f>
        <v/>
      </c>
      <c r="T92" s="16" t="str">
        <f>IF(AND($A92="",$B92="",$E92=""),"",IF(AND($B92&lt;&gt;"",COUNTIF('2. Core Log'!$A$5:$A$124,$B92)=0),"Core ID not in Core Log. ","")&amp;IF(AND($A92&lt;&gt;"",COUNTIF('1. Plot &amp; Site Log'!$A$5:$A$64,$A92)=0),"Plot ID not in Plot &amp; Site Log. ","")&amp;IF(AND(ISNUMBER($E92),ISNUMBER($F92),$F92&lt;=$E92),"Bottom depth is not below top depth. ","")&amp;IF($I92="","Say which bulk-density basis the lab reported. ","")&amp;IF(AND(ISNUMBER($J92),OR($J92&lt;QC_BD_MIN,$J92&gt;QC_BD_MAX)),"Bulk density outside "&amp;QC_BD_MIN&amp;"–"&amp;QC_BD_MAX&amp;" g/cm³ for peat. Above the top of that range usually means the mineral contact has been passed. ","")&amp;IF(AND(ISNUMBER($N92),$N92&gt;QC_CARBON_PCT_MAX),"Carbon above "&amp;QC_CARBON_PCT_MAX&amp;"% — check units; this may be organic matter rather than carbon. ","")&amp;IF(AND($L92&lt;&gt;"",$M92&lt;&gt;""),"Both LOI and measured carbon given — the measured value is used. ","")&amp;IF(AND($M92="",$L92&lt;&gt;"",OM_FACTOR_IS_LOCAL&lt;&gt;"Yes"),"Carbon derived from LOI using the default factor of "&amp;CARBON_FRACTION_OM&amp;", which has not been calibrated locally. See R1. Reference. ","")&amp;IF(AND(ISNUMBER($O92),$O92=0,ISNUMBER($E92)),"Section lies entirely below the reference depth — it counts to the full-profile stock only. ",""))</f>
        <v/>
      </c>
      <c r="U92" s="14"/>
    </row>
    <row r="93" spans="1:21" ht="15.75" customHeight="1">
      <c r="A93" s="14"/>
      <c r="B93" s="14"/>
      <c r="C93" s="14"/>
      <c r="D93" s="14"/>
      <c r="E93" s="14"/>
      <c r="F93" s="14"/>
      <c r="G93" s="14" t="str">
        <f t="shared" si="14"/>
        <v/>
      </c>
      <c r="H93" s="14"/>
      <c r="I93" s="14"/>
      <c r="J93" s="24"/>
      <c r="K93" s="24"/>
      <c r="L93" s="24"/>
      <c r="M93" s="24"/>
      <c r="N93" s="16" t="str">
        <f t="shared" si="12"/>
        <v/>
      </c>
      <c r="O93" s="16" t="str">
        <f t="shared" si="15"/>
        <v/>
      </c>
      <c r="P93" s="16" t="str">
        <f t="shared" si="16"/>
        <v/>
      </c>
      <c r="Q93" s="16" t="str">
        <f t="shared" si="17"/>
        <v/>
      </c>
      <c r="R93" s="16">
        <f t="shared" si="13"/>
        <v>0</v>
      </c>
      <c r="S93" s="16" t="str">
        <f>IF(OR($B93="",NOT(ISNUMBER($F93))),"",SUMIFS(community_cores_FS!$P$5:$P$597,community_cores_FS!$B$5:$B$597,$B93,community_cores_FS!$F$5:$F$597,"&lt;="&amp;$F93))</f>
        <v/>
      </c>
      <c r="T93" s="16" t="str">
        <f>IF(AND($A93="",$B93="",$E93=""),"",IF(AND($B93&lt;&gt;"",COUNTIF('2. Core Log'!$A$5:$A$124,$B93)=0),"Core ID not in Core Log. ","")&amp;IF(AND($A93&lt;&gt;"",COUNTIF('1. Plot &amp; Site Log'!$A$5:$A$64,$A93)=0),"Plot ID not in Plot &amp; Site Log. ","")&amp;IF(AND(ISNUMBER($E93),ISNUMBER($F93),$F93&lt;=$E93),"Bottom depth is not below top depth. ","")&amp;IF($I93="","Say which bulk-density basis the lab reported. ","")&amp;IF(AND(ISNUMBER($J93),OR($J93&lt;QC_BD_MIN,$J93&gt;QC_BD_MAX)),"Bulk density outside "&amp;QC_BD_MIN&amp;"–"&amp;QC_BD_MAX&amp;" g/cm³ for peat. Above the top of that range usually means the mineral contact has been passed. ","")&amp;IF(AND(ISNUMBER($N93),$N93&gt;QC_CARBON_PCT_MAX),"Carbon above "&amp;QC_CARBON_PCT_MAX&amp;"% — check units; this may be organic matter rather than carbon. ","")&amp;IF(AND($L93&lt;&gt;"",$M93&lt;&gt;""),"Both LOI and measured carbon given — the measured value is used. ","")&amp;IF(AND($M93="",$L93&lt;&gt;"",OM_FACTOR_IS_LOCAL&lt;&gt;"Yes"),"Carbon derived from LOI using the default factor of "&amp;CARBON_FRACTION_OM&amp;", which has not been calibrated locally. See R1. Reference. ","")&amp;IF(AND(ISNUMBER($O93),$O93=0,ISNUMBER($E93)),"Section lies entirely below the reference depth — it counts to the full-profile stock only. ",""))</f>
        <v/>
      </c>
      <c r="U93" s="14"/>
    </row>
    <row r="94" spans="1:21" ht="15.75" customHeight="1">
      <c r="A94" s="14"/>
      <c r="B94" s="14"/>
      <c r="C94" s="14"/>
      <c r="D94" s="14"/>
      <c r="E94" s="14"/>
      <c r="F94" s="14"/>
      <c r="G94" s="14" t="str">
        <f t="shared" si="14"/>
        <v/>
      </c>
      <c r="H94" s="14"/>
      <c r="I94" s="14"/>
      <c r="J94" s="24"/>
      <c r="K94" s="24"/>
      <c r="L94" s="24"/>
      <c r="M94" s="24"/>
      <c r="N94" s="16" t="str">
        <f t="shared" si="12"/>
        <v/>
      </c>
      <c r="O94" s="16" t="str">
        <f t="shared" si="15"/>
        <v/>
      </c>
      <c r="P94" s="16" t="str">
        <f t="shared" si="16"/>
        <v/>
      </c>
      <c r="Q94" s="16" t="str">
        <f t="shared" si="17"/>
        <v/>
      </c>
      <c r="R94" s="16">
        <f t="shared" si="13"/>
        <v>0</v>
      </c>
      <c r="S94" s="16" t="str">
        <f>IF(OR($B94="",NOT(ISNUMBER($F94))),"",SUMIFS(community_cores_FS!$P$5:$P$597,community_cores_FS!$B$5:$B$597,$B94,community_cores_FS!$F$5:$F$597,"&lt;="&amp;$F94))</f>
        <v/>
      </c>
      <c r="T94" s="16" t="str">
        <f>IF(AND($A94="",$B94="",$E94=""),"",IF(AND($B94&lt;&gt;"",COUNTIF('2. Core Log'!$A$5:$A$124,$B94)=0),"Core ID not in Core Log. ","")&amp;IF(AND($A94&lt;&gt;"",COUNTIF('1. Plot &amp; Site Log'!$A$5:$A$64,$A94)=0),"Plot ID not in Plot &amp; Site Log. ","")&amp;IF(AND(ISNUMBER($E94),ISNUMBER($F94),$F94&lt;=$E94),"Bottom depth is not below top depth. ","")&amp;IF($I94="","Say which bulk-density basis the lab reported. ","")&amp;IF(AND(ISNUMBER($J94),OR($J94&lt;QC_BD_MIN,$J94&gt;QC_BD_MAX)),"Bulk density outside "&amp;QC_BD_MIN&amp;"–"&amp;QC_BD_MAX&amp;" g/cm³ for peat. Above the top of that range usually means the mineral contact has been passed. ","")&amp;IF(AND(ISNUMBER($N94),$N94&gt;QC_CARBON_PCT_MAX),"Carbon above "&amp;QC_CARBON_PCT_MAX&amp;"% — check units; this may be organic matter rather than carbon. ","")&amp;IF(AND($L94&lt;&gt;"",$M94&lt;&gt;""),"Both LOI and measured carbon given — the measured value is used. ","")&amp;IF(AND($M94="",$L94&lt;&gt;"",OM_FACTOR_IS_LOCAL&lt;&gt;"Yes"),"Carbon derived from LOI using the default factor of "&amp;CARBON_FRACTION_OM&amp;", which has not been calibrated locally. See R1. Reference. ","")&amp;IF(AND(ISNUMBER($O94),$O94=0,ISNUMBER($E94)),"Section lies entirely below the reference depth — it counts to the full-profile stock only. ",""))</f>
        <v/>
      </c>
      <c r="U94" s="14"/>
    </row>
    <row r="95" spans="1:21" ht="15.75" customHeight="1">
      <c r="A95" s="14"/>
      <c r="B95" s="14"/>
      <c r="C95" s="14"/>
      <c r="D95" s="14"/>
      <c r="E95" s="14"/>
      <c r="F95" s="14"/>
      <c r="G95" s="14" t="str">
        <f t="shared" si="14"/>
        <v/>
      </c>
      <c r="H95" s="14"/>
      <c r="I95" s="14"/>
      <c r="J95" s="24"/>
      <c r="K95" s="24"/>
      <c r="L95" s="24"/>
      <c r="M95" s="24"/>
      <c r="N95" s="16" t="str">
        <f t="shared" si="12"/>
        <v/>
      </c>
      <c r="O95" s="16" t="str">
        <f t="shared" si="15"/>
        <v/>
      </c>
      <c r="P95" s="16" t="str">
        <f t="shared" si="16"/>
        <v/>
      </c>
      <c r="Q95" s="16" t="str">
        <f t="shared" si="17"/>
        <v/>
      </c>
      <c r="R95" s="16">
        <f t="shared" si="13"/>
        <v>0</v>
      </c>
      <c r="S95" s="16" t="str">
        <f>IF(OR($B95="",NOT(ISNUMBER($F95))),"",SUMIFS(community_cores_FS!$P$5:$P$597,community_cores_FS!$B$5:$B$597,$B95,community_cores_FS!$F$5:$F$597,"&lt;="&amp;$F95))</f>
        <v/>
      </c>
      <c r="T95" s="16" t="str">
        <f>IF(AND($A95="",$B95="",$E95=""),"",IF(AND($B95&lt;&gt;"",COUNTIF('2. Core Log'!$A$5:$A$124,$B95)=0),"Core ID not in Core Log. ","")&amp;IF(AND($A95&lt;&gt;"",COUNTIF('1. Plot &amp; Site Log'!$A$5:$A$64,$A95)=0),"Plot ID not in Plot &amp; Site Log. ","")&amp;IF(AND(ISNUMBER($E95),ISNUMBER($F95),$F95&lt;=$E95),"Bottom depth is not below top depth. ","")&amp;IF($I95="","Say which bulk-density basis the lab reported. ","")&amp;IF(AND(ISNUMBER($J95),OR($J95&lt;QC_BD_MIN,$J95&gt;QC_BD_MAX)),"Bulk density outside "&amp;QC_BD_MIN&amp;"–"&amp;QC_BD_MAX&amp;" g/cm³ for peat. Above the top of that range usually means the mineral contact has been passed. ","")&amp;IF(AND(ISNUMBER($N95),$N95&gt;QC_CARBON_PCT_MAX),"Carbon above "&amp;QC_CARBON_PCT_MAX&amp;"% — check units; this may be organic matter rather than carbon. ","")&amp;IF(AND($L95&lt;&gt;"",$M95&lt;&gt;""),"Both LOI and measured carbon given — the measured value is used. ","")&amp;IF(AND($M95="",$L95&lt;&gt;"",OM_FACTOR_IS_LOCAL&lt;&gt;"Yes"),"Carbon derived from LOI using the default factor of "&amp;CARBON_FRACTION_OM&amp;", which has not been calibrated locally. See R1. Reference. ","")&amp;IF(AND(ISNUMBER($O95),$O95=0,ISNUMBER($E95)),"Section lies entirely below the reference depth — it counts to the full-profile stock only. ",""))</f>
        <v/>
      </c>
      <c r="U95" s="14"/>
    </row>
    <row r="96" spans="1:21" ht="15.75" customHeight="1">
      <c r="A96" s="14"/>
      <c r="B96" s="14"/>
      <c r="C96" s="14"/>
      <c r="D96" s="14"/>
      <c r="E96" s="14"/>
      <c r="F96" s="14"/>
      <c r="G96" s="14" t="str">
        <f t="shared" si="14"/>
        <v/>
      </c>
      <c r="H96" s="14"/>
      <c r="I96" s="14"/>
      <c r="J96" s="24"/>
      <c r="K96" s="24"/>
      <c r="L96" s="24"/>
      <c r="M96" s="24"/>
      <c r="N96" s="16" t="str">
        <f t="shared" si="12"/>
        <v/>
      </c>
      <c r="O96" s="16" t="str">
        <f t="shared" si="15"/>
        <v/>
      </c>
      <c r="P96" s="16" t="str">
        <f t="shared" si="16"/>
        <v/>
      </c>
      <c r="Q96" s="16" t="str">
        <f t="shared" si="17"/>
        <v/>
      </c>
      <c r="R96" s="16">
        <f t="shared" si="13"/>
        <v>0</v>
      </c>
      <c r="S96" s="16" t="str">
        <f>IF(OR($B96="",NOT(ISNUMBER($F96))),"",SUMIFS(community_cores_FS!$P$5:$P$597,community_cores_FS!$B$5:$B$597,$B96,community_cores_FS!$F$5:$F$597,"&lt;="&amp;$F96))</f>
        <v/>
      </c>
      <c r="T96" s="16" t="str">
        <f>IF(AND($A96="",$B96="",$E96=""),"",IF(AND($B96&lt;&gt;"",COUNTIF('2. Core Log'!$A$5:$A$124,$B96)=0),"Core ID not in Core Log. ","")&amp;IF(AND($A96&lt;&gt;"",COUNTIF('1. Plot &amp; Site Log'!$A$5:$A$64,$A96)=0),"Plot ID not in Plot &amp; Site Log. ","")&amp;IF(AND(ISNUMBER($E96),ISNUMBER($F96),$F96&lt;=$E96),"Bottom depth is not below top depth. ","")&amp;IF($I96="","Say which bulk-density basis the lab reported. ","")&amp;IF(AND(ISNUMBER($J96),OR($J96&lt;QC_BD_MIN,$J96&gt;QC_BD_MAX)),"Bulk density outside "&amp;QC_BD_MIN&amp;"–"&amp;QC_BD_MAX&amp;" g/cm³ for peat. Above the top of that range usually means the mineral contact has been passed. ","")&amp;IF(AND(ISNUMBER($N96),$N96&gt;QC_CARBON_PCT_MAX),"Carbon above "&amp;QC_CARBON_PCT_MAX&amp;"% — check units; this may be organic matter rather than carbon. ","")&amp;IF(AND($L96&lt;&gt;"",$M96&lt;&gt;""),"Both LOI and measured carbon given — the measured value is used. ","")&amp;IF(AND($M96="",$L96&lt;&gt;"",OM_FACTOR_IS_LOCAL&lt;&gt;"Yes"),"Carbon derived from LOI using the default factor of "&amp;CARBON_FRACTION_OM&amp;", which has not been calibrated locally. See R1. Reference. ","")&amp;IF(AND(ISNUMBER($O96),$O96=0,ISNUMBER($E96)),"Section lies entirely below the reference depth — it counts to the full-profile stock only. ",""))</f>
        <v/>
      </c>
      <c r="U96" s="14"/>
    </row>
    <row r="97" spans="1:21" ht="15.75" customHeight="1">
      <c r="A97" s="14"/>
      <c r="B97" s="14"/>
      <c r="C97" s="14"/>
      <c r="D97" s="14"/>
      <c r="E97" s="14"/>
      <c r="F97" s="14"/>
      <c r="G97" s="14" t="str">
        <f t="shared" si="14"/>
        <v/>
      </c>
      <c r="H97" s="14"/>
      <c r="I97" s="14"/>
      <c r="J97" s="24"/>
      <c r="K97" s="24"/>
      <c r="L97" s="24"/>
      <c r="M97" s="24"/>
      <c r="N97" s="16" t="str">
        <f t="shared" si="12"/>
        <v/>
      </c>
      <c r="O97" s="16" t="str">
        <f t="shared" si="15"/>
        <v/>
      </c>
      <c r="P97" s="16" t="str">
        <f t="shared" si="16"/>
        <v/>
      </c>
      <c r="Q97" s="16" t="str">
        <f t="shared" si="17"/>
        <v/>
      </c>
      <c r="R97" s="16">
        <f t="shared" si="13"/>
        <v>0</v>
      </c>
      <c r="S97" s="16" t="str">
        <f>IF(OR($B97="",NOT(ISNUMBER($F97))),"",SUMIFS(community_cores_FS!$P$5:$P$597,community_cores_FS!$B$5:$B$597,$B97,community_cores_FS!$F$5:$F$597,"&lt;="&amp;$F97))</f>
        <v/>
      </c>
      <c r="T97" s="16" t="str">
        <f>IF(AND($A97="",$B97="",$E97=""),"",IF(AND($B97&lt;&gt;"",COUNTIF('2. Core Log'!$A$5:$A$124,$B97)=0),"Core ID not in Core Log. ","")&amp;IF(AND($A97&lt;&gt;"",COUNTIF('1. Plot &amp; Site Log'!$A$5:$A$64,$A97)=0),"Plot ID not in Plot &amp; Site Log. ","")&amp;IF(AND(ISNUMBER($E97),ISNUMBER($F97),$F97&lt;=$E97),"Bottom depth is not below top depth. ","")&amp;IF($I97="","Say which bulk-density basis the lab reported. ","")&amp;IF(AND(ISNUMBER($J97),OR($J97&lt;QC_BD_MIN,$J97&gt;QC_BD_MAX)),"Bulk density outside "&amp;QC_BD_MIN&amp;"–"&amp;QC_BD_MAX&amp;" g/cm³ for peat. Above the top of that range usually means the mineral contact has been passed. ","")&amp;IF(AND(ISNUMBER($N97),$N97&gt;QC_CARBON_PCT_MAX),"Carbon above "&amp;QC_CARBON_PCT_MAX&amp;"% — check units; this may be organic matter rather than carbon. ","")&amp;IF(AND($L97&lt;&gt;"",$M97&lt;&gt;""),"Both LOI and measured carbon given — the measured value is used. ","")&amp;IF(AND($M97="",$L97&lt;&gt;"",OM_FACTOR_IS_LOCAL&lt;&gt;"Yes"),"Carbon derived from LOI using the default factor of "&amp;CARBON_FRACTION_OM&amp;", which has not been calibrated locally. See R1. Reference. ","")&amp;IF(AND(ISNUMBER($O97),$O97=0,ISNUMBER($E97)),"Section lies entirely below the reference depth — it counts to the full-profile stock only. ",""))</f>
        <v/>
      </c>
      <c r="U97" s="14"/>
    </row>
    <row r="98" spans="1:21" ht="15.75" customHeight="1">
      <c r="A98" s="14"/>
      <c r="B98" s="14"/>
      <c r="C98" s="14"/>
      <c r="D98" s="14"/>
      <c r="E98" s="14"/>
      <c r="F98" s="14"/>
      <c r="G98" s="14" t="str">
        <f t="shared" si="14"/>
        <v/>
      </c>
      <c r="H98" s="14"/>
      <c r="I98" s="14"/>
      <c r="J98" s="24"/>
      <c r="K98" s="24"/>
      <c r="L98" s="24"/>
      <c r="M98" s="24"/>
      <c r="N98" s="16" t="str">
        <f t="shared" si="12"/>
        <v/>
      </c>
      <c r="O98" s="16" t="str">
        <f t="shared" si="15"/>
        <v/>
      </c>
      <c r="P98" s="16" t="str">
        <f t="shared" si="16"/>
        <v/>
      </c>
      <c r="Q98" s="16" t="str">
        <f t="shared" si="17"/>
        <v/>
      </c>
      <c r="R98" s="16">
        <f t="shared" si="13"/>
        <v>0</v>
      </c>
      <c r="S98" s="16" t="str">
        <f>IF(OR($B98="",NOT(ISNUMBER($F98))),"",SUMIFS(community_cores_FS!$P$5:$P$597,community_cores_FS!$B$5:$B$597,$B98,community_cores_FS!$F$5:$F$597,"&lt;="&amp;$F98))</f>
        <v/>
      </c>
      <c r="T98" s="16" t="str">
        <f>IF(AND($A98="",$B98="",$E98=""),"",IF(AND($B98&lt;&gt;"",COUNTIF('2. Core Log'!$A$5:$A$124,$B98)=0),"Core ID not in Core Log. ","")&amp;IF(AND($A98&lt;&gt;"",COUNTIF('1. Plot &amp; Site Log'!$A$5:$A$64,$A98)=0),"Plot ID not in Plot &amp; Site Log. ","")&amp;IF(AND(ISNUMBER($E98),ISNUMBER($F98),$F98&lt;=$E98),"Bottom depth is not below top depth. ","")&amp;IF($I98="","Say which bulk-density basis the lab reported. ","")&amp;IF(AND(ISNUMBER($J98),OR($J98&lt;QC_BD_MIN,$J98&gt;QC_BD_MAX)),"Bulk density outside "&amp;QC_BD_MIN&amp;"–"&amp;QC_BD_MAX&amp;" g/cm³ for peat. Above the top of that range usually means the mineral contact has been passed. ","")&amp;IF(AND(ISNUMBER($N98),$N98&gt;QC_CARBON_PCT_MAX),"Carbon above "&amp;QC_CARBON_PCT_MAX&amp;"% — check units; this may be organic matter rather than carbon. ","")&amp;IF(AND($L98&lt;&gt;"",$M98&lt;&gt;""),"Both LOI and measured carbon given — the measured value is used. ","")&amp;IF(AND($M98="",$L98&lt;&gt;"",OM_FACTOR_IS_LOCAL&lt;&gt;"Yes"),"Carbon derived from LOI using the default factor of "&amp;CARBON_FRACTION_OM&amp;", which has not been calibrated locally. See R1. Reference. ","")&amp;IF(AND(ISNUMBER($O98),$O98=0,ISNUMBER($E98)),"Section lies entirely below the reference depth — it counts to the full-profile stock only. ",""))</f>
        <v/>
      </c>
      <c r="U98" s="14"/>
    </row>
    <row r="99" spans="1:21" ht="15.75" customHeight="1">
      <c r="A99" s="14"/>
      <c r="B99" s="14"/>
      <c r="C99" s="14"/>
      <c r="D99" s="14"/>
      <c r="E99" s="14"/>
      <c r="F99" s="14"/>
      <c r="G99" s="14" t="str">
        <f t="shared" si="14"/>
        <v/>
      </c>
      <c r="H99" s="14"/>
      <c r="I99" s="14"/>
      <c r="J99" s="24"/>
      <c r="K99" s="24"/>
      <c r="L99" s="24"/>
      <c r="M99" s="24"/>
      <c r="N99" s="16" t="str">
        <f t="shared" si="12"/>
        <v/>
      </c>
      <c r="O99" s="16" t="str">
        <f t="shared" si="15"/>
        <v/>
      </c>
      <c r="P99" s="16" t="str">
        <f t="shared" si="16"/>
        <v/>
      </c>
      <c r="Q99" s="16" t="str">
        <f t="shared" si="17"/>
        <v/>
      </c>
      <c r="R99" s="16">
        <f t="shared" si="13"/>
        <v>0</v>
      </c>
      <c r="S99" s="16" t="str">
        <f>IF(OR($B99="",NOT(ISNUMBER($F99))),"",SUMIFS(community_cores_FS!$P$5:$P$597,community_cores_FS!$B$5:$B$597,$B99,community_cores_FS!$F$5:$F$597,"&lt;="&amp;$F99))</f>
        <v/>
      </c>
      <c r="T99" s="16" t="str">
        <f>IF(AND($A99="",$B99="",$E99=""),"",IF(AND($B99&lt;&gt;"",COUNTIF('2. Core Log'!$A$5:$A$124,$B99)=0),"Core ID not in Core Log. ","")&amp;IF(AND($A99&lt;&gt;"",COUNTIF('1. Plot &amp; Site Log'!$A$5:$A$64,$A99)=0),"Plot ID not in Plot &amp; Site Log. ","")&amp;IF(AND(ISNUMBER($E99),ISNUMBER($F99),$F99&lt;=$E99),"Bottom depth is not below top depth. ","")&amp;IF($I99="","Say which bulk-density basis the lab reported. ","")&amp;IF(AND(ISNUMBER($J99),OR($J99&lt;QC_BD_MIN,$J99&gt;QC_BD_MAX)),"Bulk density outside "&amp;QC_BD_MIN&amp;"–"&amp;QC_BD_MAX&amp;" g/cm³ for peat. Above the top of that range usually means the mineral contact has been passed. ","")&amp;IF(AND(ISNUMBER($N99),$N99&gt;QC_CARBON_PCT_MAX),"Carbon above "&amp;QC_CARBON_PCT_MAX&amp;"% — check units; this may be organic matter rather than carbon. ","")&amp;IF(AND($L99&lt;&gt;"",$M99&lt;&gt;""),"Both LOI and measured carbon given — the measured value is used. ","")&amp;IF(AND($M99="",$L99&lt;&gt;"",OM_FACTOR_IS_LOCAL&lt;&gt;"Yes"),"Carbon derived from LOI using the default factor of "&amp;CARBON_FRACTION_OM&amp;", which has not been calibrated locally. See R1. Reference. ","")&amp;IF(AND(ISNUMBER($O99),$O99=0,ISNUMBER($E99)),"Section lies entirely below the reference depth — it counts to the full-profile stock only. ",""))</f>
        <v/>
      </c>
      <c r="U99" s="14"/>
    </row>
    <row r="100" spans="1:21" ht="15.75" customHeight="1">
      <c r="A100" s="14"/>
      <c r="B100" s="14"/>
      <c r="C100" s="14"/>
      <c r="D100" s="14"/>
      <c r="E100" s="14"/>
      <c r="F100" s="14"/>
      <c r="G100" s="14" t="str">
        <f t="shared" si="14"/>
        <v/>
      </c>
      <c r="H100" s="14"/>
      <c r="I100" s="14"/>
      <c r="J100" s="24"/>
      <c r="K100" s="24"/>
      <c r="L100" s="24"/>
      <c r="M100" s="24"/>
      <c r="N100" s="16" t="str">
        <f t="shared" si="12"/>
        <v/>
      </c>
      <c r="O100" s="16" t="str">
        <f t="shared" si="15"/>
        <v/>
      </c>
      <c r="P100" s="16" t="str">
        <f t="shared" si="16"/>
        <v/>
      </c>
      <c r="Q100" s="16" t="str">
        <f t="shared" si="17"/>
        <v/>
      </c>
      <c r="R100" s="16">
        <f t="shared" si="13"/>
        <v>0</v>
      </c>
      <c r="S100" s="16" t="str">
        <f>IF(OR($B100="",NOT(ISNUMBER($F100))),"",SUMIFS(community_cores_FS!$P$5:$P$597,community_cores_FS!$B$5:$B$597,$B100,community_cores_FS!$F$5:$F$597,"&lt;="&amp;$F100))</f>
        <v/>
      </c>
      <c r="T100" s="16" t="str">
        <f>IF(AND($A100="",$B100="",$E100=""),"",IF(AND($B100&lt;&gt;"",COUNTIF('2. Core Log'!$A$5:$A$124,$B100)=0),"Core ID not in Core Log. ","")&amp;IF(AND($A100&lt;&gt;"",COUNTIF('1. Plot &amp; Site Log'!$A$5:$A$64,$A100)=0),"Plot ID not in Plot &amp; Site Log. ","")&amp;IF(AND(ISNUMBER($E100),ISNUMBER($F100),$F100&lt;=$E100),"Bottom depth is not below top depth. ","")&amp;IF($I100="","Say which bulk-density basis the lab reported. ","")&amp;IF(AND(ISNUMBER($J100),OR($J100&lt;QC_BD_MIN,$J100&gt;QC_BD_MAX)),"Bulk density outside "&amp;QC_BD_MIN&amp;"–"&amp;QC_BD_MAX&amp;" g/cm³ for peat. Above the top of that range usually means the mineral contact has been passed. ","")&amp;IF(AND(ISNUMBER($N100),$N100&gt;QC_CARBON_PCT_MAX),"Carbon above "&amp;QC_CARBON_PCT_MAX&amp;"% — check units; this may be organic matter rather than carbon. ","")&amp;IF(AND($L100&lt;&gt;"",$M100&lt;&gt;""),"Both LOI and measured carbon given — the measured value is used. ","")&amp;IF(AND($M100="",$L100&lt;&gt;"",OM_FACTOR_IS_LOCAL&lt;&gt;"Yes"),"Carbon derived from LOI using the default factor of "&amp;CARBON_FRACTION_OM&amp;", which has not been calibrated locally. See R1. Reference. ","")&amp;IF(AND(ISNUMBER($O100),$O100=0,ISNUMBER($E100)),"Section lies entirely below the reference depth — it counts to the full-profile stock only. ",""))</f>
        <v/>
      </c>
      <c r="U100" s="14"/>
    </row>
    <row r="101" spans="1:21" ht="15.75" customHeight="1">
      <c r="A101" s="14"/>
      <c r="B101" s="14"/>
      <c r="C101" s="14"/>
      <c r="D101" s="14"/>
      <c r="E101" s="14"/>
      <c r="F101" s="14"/>
      <c r="G101" s="14" t="str">
        <f t="shared" si="14"/>
        <v/>
      </c>
      <c r="H101" s="14"/>
      <c r="I101" s="14"/>
      <c r="J101" s="24"/>
      <c r="K101" s="24"/>
      <c r="L101" s="24"/>
      <c r="M101" s="24"/>
      <c r="N101" s="16" t="str">
        <f t="shared" si="12"/>
        <v/>
      </c>
      <c r="O101" s="16" t="str">
        <f t="shared" si="15"/>
        <v/>
      </c>
      <c r="P101" s="16" t="str">
        <f t="shared" si="16"/>
        <v/>
      </c>
      <c r="Q101" s="16" t="str">
        <f t="shared" si="17"/>
        <v/>
      </c>
      <c r="R101" s="16">
        <f t="shared" si="13"/>
        <v>0</v>
      </c>
      <c r="S101" s="16" t="str">
        <f>IF(OR($B101="",NOT(ISNUMBER($F101))),"",SUMIFS(community_cores_FS!$P$5:$P$597,community_cores_FS!$B$5:$B$597,$B101,community_cores_FS!$F$5:$F$597,"&lt;="&amp;$F101))</f>
        <v/>
      </c>
      <c r="T101" s="16" t="str">
        <f>IF(AND($A101="",$B101="",$E101=""),"",IF(AND($B101&lt;&gt;"",COUNTIF('2. Core Log'!$A$5:$A$124,$B101)=0),"Core ID not in Core Log. ","")&amp;IF(AND($A101&lt;&gt;"",COUNTIF('1. Plot &amp; Site Log'!$A$5:$A$64,$A101)=0),"Plot ID not in Plot &amp; Site Log. ","")&amp;IF(AND(ISNUMBER($E101),ISNUMBER($F101),$F101&lt;=$E101),"Bottom depth is not below top depth. ","")&amp;IF($I101="","Say which bulk-density basis the lab reported. ","")&amp;IF(AND(ISNUMBER($J101),OR($J101&lt;QC_BD_MIN,$J101&gt;QC_BD_MAX)),"Bulk density outside "&amp;QC_BD_MIN&amp;"–"&amp;QC_BD_MAX&amp;" g/cm³ for peat. Above the top of that range usually means the mineral contact has been passed. ","")&amp;IF(AND(ISNUMBER($N101),$N101&gt;QC_CARBON_PCT_MAX),"Carbon above "&amp;QC_CARBON_PCT_MAX&amp;"% — check units; this may be organic matter rather than carbon. ","")&amp;IF(AND($L101&lt;&gt;"",$M101&lt;&gt;""),"Both LOI and measured carbon given — the measured value is used. ","")&amp;IF(AND($M101="",$L101&lt;&gt;"",OM_FACTOR_IS_LOCAL&lt;&gt;"Yes"),"Carbon derived from LOI using the default factor of "&amp;CARBON_FRACTION_OM&amp;", which has not been calibrated locally. See R1. Reference. ","")&amp;IF(AND(ISNUMBER($O101),$O101=0,ISNUMBER($E101)),"Section lies entirely below the reference depth — it counts to the full-profile stock only. ",""))</f>
        <v/>
      </c>
      <c r="U101" s="14"/>
    </row>
    <row r="102" spans="1:21" ht="15.75" customHeight="1">
      <c r="A102" s="14"/>
      <c r="B102" s="14"/>
      <c r="C102" s="14"/>
      <c r="D102" s="14"/>
      <c r="E102" s="14"/>
      <c r="F102" s="14"/>
      <c r="G102" s="14" t="str">
        <f t="shared" si="14"/>
        <v/>
      </c>
      <c r="H102" s="14"/>
      <c r="I102" s="14"/>
      <c r="J102" s="24"/>
      <c r="K102" s="24"/>
      <c r="L102" s="24"/>
      <c r="M102" s="24"/>
      <c r="N102" s="16" t="str">
        <f t="shared" si="12"/>
        <v/>
      </c>
      <c r="O102" s="16" t="str">
        <f t="shared" si="15"/>
        <v/>
      </c>
      <c r="P102" s="16" t="str">
        <f t="shared" si="16"/>
        <v/>
      </c>
      <c r="Q102" s="16" t="str">
        <f t="shared" si="17"/>
        <v/>
      </c>
      <c r="R102" s="16">
        <f t="shared" si="13"/>
        <v>0</v>
      </c>
      <c r="S102" s="16" t="str">
        <f>IF(OR($B102="",NOT(ISNUMBER($F102))),"",SUMIFS(community_cores_FS!$P$5:$P$597,community_cores_FS!$B$5:$B$597,$B102,community_cores_FS!$F$5:$F$597,"&lt;="&amp;$F102))</f>
        <v/>
      </c>
      <c r="T102" s="16" t="str">
        <f>IF(AND($A102="",$B102="",$E102=""),"",IF(AND($B102&lt;&gt;"",COUNTIF('2. Core Log'!$A$5:$A$124,$B102)=0),"Core ID not in Core Log. ","")&amp;IF(AND($A102&lt;&gt;"",COUNTIF('1. Plot &amp; Site Log'!$A$5:$A$64,$A102)=0),"Plot ID not in Plot &amp; Site Log. ","")&amp;IF(AND(ISNUMBER($E102),ISNUMBER($F102),$F102&lt;=$E102),"Bottom depth is not below top depth. ","")&amp;IF($I102="","Say which bulk-density basis the lab reported. ","")&amp;IF(AND(ISNUMBER($J102),OR($J102&lt;QC_BD_MIN,$J102&gt;QC_BD_MAX)),"Bulk density outside "&amp;QC_BD_MIN&amp;"–"&amp;QC_BD_MAX&amp;" g/cm³ for peat. Above the top of that range usually means the mineral contact has been passed. ","")&amp;IF(AND(ISNUMBER($N102),$N102&gt;QC_CARBON_PCT_MAX),"Carbon above "&amp;QC_CARBON_PCT_MAX&amp;"% — check units; this may be organic matter rather than carbon. ","")&amp;IF(AND($L102&lt;&gt;"",$M102&lt;&gt;""),"Both LOI and measured carbon given — the measured value is used. ","")&amp;IF(AND($M102="",$L102&lt;&gt;"",OM_FACTOR_IS_LOCAL&lt;&gt;"Yes"),"Carbon derived from LOI using the default factor of "&amp;CARBON_FRACTION_OM&amp;", which has not been calibrated locally. See R1. Reference. ","")&amp;IF(AND(ISNUMBER($O102),$O102=0,ISNUMBER($E102)),"Section lies entirely below the reference depth — it counts to the full-profile stock only. ",""))</f>
        <v/>
      </c>
      <c r="U102" s="14"/>
    </row>
    <row r="103" spans="1:21" ht="15.75" customHeight="1">
      <c r="A103" s="14"/>
      <c r="B103" s="14"/>
      <c r="C103" s="14"/>
      <c r="D103" s="14"/>
      <c r="E103" s="14"/>
      <c r="F103" s="14"/>
      <c r="G103" s="14" t="str">
        <f t="shared" si="14"/>
        <v/>
      </c>
      <c r="H103" s="14"/>
      <c r="I103" s="14"/>
      <c r="J103" s="24"/>
      <c r="K103" s="24"/>
      <c r="L103" s="24"/>
      <c r="M103" s="24"/>
      <c r="N103" s="16" t="str">
        <f t="shared" si="12"/>
        <v/>
      </c>
      <c r="O103" s="16" t="str">
        <f t="shared" si="15"/>
        <v/>
      </c>
      <c r="P103" s="16" t="str">
        <f t="shared" si="16"/>
        <v/>
      </c>
      <c r="Q103" s="16" t="str">
        <f t="shared" si="17"/>
        <v/>
      </c>
      <c r="R103" s="16">
        <f t="shared" si="13"/>
        <v>0</v>
      </c>
      <c r="S103" s="16" t="str">
        <f>IF(OR($B103="",NOT(ISNUMBER($F103))),"",SUMIFS(community_cores_FS!$P$5:$P$597,community_cores_FS!$B$5:$B$597,$B103,community_cores_FS!$F$5:$F$597,"&lt;="&amp;$F103))</f>
        <v/>
      </c>
      <c r="T103" s="16" t="str">
        <f>IF(AND($A103="",$B103="",$E103=""),"",IF(AND($B103&lt;&gt;"",COUNTIF('2. Core Log'!$A$5:$A$124,$B103)=0),"Core ID not in Core Log. ","")&amp;IF(AND($A103&lt;&gt;"",COUNTIF('1. Plot &amp; Site Log'!$A$5:$A$64,$A103)=0),"Plot ID not in Plot &amp; Site Log. ","")&amp;IF(AND(ISNUMBER($E103),ISNUMBER($F103),$F103&lt;=$E103),"Bottom depth is not below top depth. ","")&amp;IF($I103="","Say which bulk-density basis the lab reported. ","")&amp;IF(AND(ISNUMBER($J103),OR($J103&lt;QC_BD_MIN,$J103&gt;QC_BD_MAX)),"Bulk density outside "&amp;QC_BD_MIN&amp;"–"&amp;QC_BD_MAX&amp;" g/cm³ for peat. Above the top of that range usually means the mineral contact has been passed. ","")&amp;IF(AND(ISNUMBER($N103),$N103&gt;QC_CARBON_PCT_MAX),"Carbon above "&amp;QC_CARBON_PCT_MAX&amp;"% — check units; this may be organic matter rather than carbon. ","")&amp;IF(AND($L103&lt;&gt;"",$M103&lt;&gt;""),"Both LOI and measured carbon given — the measured value is used. ","")&amp;IF(AND($M103="",$L103&lt;&gt;"",OM_FACTOR_IS_LOCAL&lt;&gt;"Yes"),"Carbon derived from LOI using the default factor of "&amp;CARBON_FRACTION_OM&amp;", which has not been calibrated locally. See R1. Reference. ","")&amp;IF(AND(ISNUMBER($O103),$O103=0,ISNUMBER($E103)),"Section lies entirely below the reference depth — it counts to the full-profile stock only. ",""))</f>
        <v/>
      </c>
      <c r="U103" s="14"/>
    </row>
    <row r="104" spans="1:21" ht="15.75" customHeight="1">
      <c r="A104" s="14"/>
      <c r="B104" s="14"/>
      <c r="C104" s="14"/>
      <c r="D104" s="14"/>
      <c r="E104" s="14"/>
      <c r="F104" s="14"/>
      <c r="G104" s="14" t="str">
        <f t="shared" si="14"/>
        <v/>
      </c>
      <c r="H104" s="14"/>
      <c r="I104" s="14"/>
      <c r="J104" s="24"/>
      <c r="K104" s="24"/>
      <c r="L104" s="24"/>
      <c r="M104" s="24"/>
      <c r="N104" s="16" t="str">
        <f t="shared" si="12"/>
        <v/>
      </c>
      <c r="O104" s="16" t="str">
        <f t="shared" si="15"/>
        <v/>
      </c>
      <c r="P104" s="16" t="str">
        <f t="shared" si="16"/>
        <v/>
      </c>
      <c r="Q104" s="16" t="str">
        <f t="shared" si="17"/>
        <v/>
      </c>
      <c r="R104" s="16">
        <f t="shared" si="13"/>
        <v>0</v>
      </c>
      <c r="S104" s="16" t="str">
        <f>IF(OR($B104="",NOT(ISNUMBER($F104))),"",SUMIFS(community_cores_FS!$P$5:$P$597,community_cores_FS!$B$5:$B$597,$B104,community_cores_FS!$F$5:$F$597,"&lt;="&amp;$F104))</f>
        <v/>
      </c>
      <c r="T104" s="16" t="str">
        <f>IF(AND($A104="",$B104="",$E104=""),"",IF(AND($B104&lt;&gt;"",COUNTIF('2. Core Log'!$A$5:$A$124,$B104)=0),"Core ID not in Core Log. ","")&amp;IF(AND($A104&lt;&gt;"",COUNTIF('1. Plot &amp; Site Log'!$A$5:$A$64,$A104)=0),"Plot ID not in Plot &amp; Site Log. ","")&amp;IF(AND(ISNUMBER($E104),ISNUMBER($F104),$F104&lt;=$E104),"Bottom depth is not below top depth. ","")&amp;IF($I104="","Say which bulk-density basis the lab reported. ","")&amp;IF(AND(ISNUMBER($J104),OR($J104&lt;QC_BD_MIN,$J104&gt;QC_BD_MAX)),"Bulk density outside "&amp;QC_BD_MIN&amp;"–"&amp;QC_BD_MAX&amp;" g/cm³ for peat. Above the top of that range usually means the mineral contact has been passed. ","")&amp;IF(AND(ISNUMBER($N104),$N104&gt;QC_CARBON_PCT_MAX),"Carbon above "&amp;QC_CARBON_PCT_MAX&amp;"% — check units; this may be organic matter rather than carbon. ","")&amp;IF(AND($L104&lt;&gt;"",$M104&lt;&gt;""),"Both LOI and measured carbon given — the measured value is used. ","")&amp;IF(AND($M104="",$L104&lt;&gt;"",OM_FACTOR_IS_LOCAL&lt;&gt;"Yes"),"Carbon derived from LOI using the default factor of "&amp;CARBON_FRACTION_OM&amp;", which has not been calibrated locally. See R1. Reference. ","")&amp;IF(AND(ISNUMBER($O104),$O104=0,ISNUMBER($E104)),"Section lies entirely below the reference depth — it counts to the full-profile stock only. ",""))</f>
        <v/>
      </c>
      <c r="U104" s="14"/>
    </row>
    <row r="105" spans="1:21" ht="15.75" customHeight="1">
      <c r="A105" s="14"/>
      <c r="B105" s="14"/>
      <c r="C105" s="14"/>
      <c r="D105" s="14"/>
      <c r="E105" s="14"/>
      <c r="F105" s="14"/>
      <c r="G105" s="14" t="str">
        <f t="shared" si="14"/>
        <v/>
      </c>
      <c r="H105" s="14"/>
      <c r="I105" s="14"/>
      <c r="J105" s="24"/>
      <c r="K105" s="24"/>
      <c r="L105" s="24"/>
      <c r="M105" s="24"/>
      <c r="N105" s="16" t="str">
        <f t="shared" si="12"/>
        <v/>
      </c>
      <c r="O105" s="16" t="str">
        <f t="shared" si="15"/>
        <v/>
      </c>
      <c r="P105" s="16" t="str">
        <f t="shared" si="16"/>
        <v/>
      </c>
      <c r="Q105" s="16" t="str">
        <f t="shared" si="17"/>
        <v/>
      </c>
      <c r="R105" s="16">
        <f t="shared" si="13"/>
        <v>0</v>
      </c>
      <c r="S105" s="16" t="str">
        <f>IF(OR($B105="",NOT(ISNUMBER($F105))),"",SUMIFS(community_cores_FS!$P$5:$P$597,community_cores_FS!$B$5:$B$597,$B105,community_cores_FS!$F$5:$F$597,"&lt;="&amp;$F105))</f>
        <v/>
      </c>
      <c r="T105" s="16" t="str">
        <f>IF(AND($A105="",$B105="",$E105=""),"",IF(AND($B105&lt;&gt;"",COUNTIF('2. Core Log'!$A$5:$A$124,$B105)=0),"Core ID not in Core Log. ","")&amp;IF(AND($A105&lt;&gt;"",COUNTIF('1. Plot &amp; Site Log'!$A$5:$A$64,$A105)=0),"Plot ID not in Plot &amp; Site Log. ","")&amp;IF(AND(ISNUMBER($E105),ISNUMBER($F105),$F105&lt;=$E105),"Bottom depth is not below top depth. ","")&amp;IF($I105="","Say which bulk-density basis the lab reported. ","")&amp;IF(AND(ISNUMBER($J105),OR($J105&lt;QC_BD_MIN,$J105&gt;QC_BD_MAX)),"Bulk density outside "&amp;QC_BD_MIN&amp;"–"&amp;QC_BD_MAX&amp;" g/cm³ for peat. Above the top of that range usually means the mineral contact has been passed. ","")&amp;IF(AND(ISNUMBER($N105),$N105&gt;QC_CARBON_PCT_MAX),"Carbon above "&amp;QC_CARBON_PCT_MAX&amp;"% — check units; this may be organic matter rather than carbon. ","")&amp;IF(AND($L105&lt;&gt;"",$M105&lt;&gt;""),"Both LOI and measured carbon given — the measured value is used. ","")&amp;IF(AND($M105="",$L105&lt;&gt;"",OM_FACTOR_IS_LOCAL&lt;&gt;"Yes"),"Carbon derived from LOI using the default factor of "&amp;CARBON_FRACTION_OM&amp;", which has not been calibrated locally. See R1. Reference. ","")&amp;IF(AND(ISNUMBER($O105),$O105=0,ISNUMBER($E105)),"Section lies entirely below the reference depth — it counts to the full-profile stock only. ",""))</f>
        <v/>
      </c>
      <c r="U105" s="14"/>
    </row>
    <row r="106" spans="1:21" ht="15.75" customHeight="1">
      <c r="A106" s="14"/>
      <c r="B106" s="14"/>
      <c r="C106" s="14"/>
      <c r="D106" s="14"/>
      <c r="E106" s="14"/>
      <c r="F106" s="14"/>
      <c r="G106" s="14" t="str">
        <f t="shared" si="14"/>
        <v/>
      </c>
      <c r="H106" s="14"/>
      <c r="I106" s="14"/>
      <c r="J106" s="24"/>
      <c r="K106" s="24"/>
      <c r="L106" s="24"/>
      <c r="M106" s="24"/>
      <c r="N106" s="16" t="str">
        <f t="shared" si="12"/>
        <v/>
      </c>
      <c r="O106" s="16" t="str">
        <f t="shared" si="15"/>
        <v/>
      </c>
      <c r="P106" s="16" t="str">
        <f t="shared" si="16"/>
        <v/>
      </c>
      <c r="Q106" s="16" t="str">
        <f t="shared" si="17"/>
        <v/>
      </c>
      <c r="R106" s="16">
        <f t="shared" si="13"/>
        <v>0</v>
      </c>
      <c r="S106" s="16" t="str">
        <f>IF(OR($B106="",NOT(ISNUMBER($F106))),"",SUMIFS(community_cores_FS!$P$5:$P$597,community_cores_FS!$B$5:$B$597,$B106,community_cores_FS!$F$5:$F$597,"&lt;="&amp;$F106))</f>
        <v/>
      </c>
      <c r="T106" s="16" t="str">
        <f>IF(AND($A106="",$B106="",$E106=""),"",IF(AND($B106&lt;&gt;"",COUNTIF('2. Core Log'!$A$5:$A$124,$B106)=0),"Core ID not in Core Log. ","")&amp;IF(AND($A106&lt;&gt;"",COUNTIF('1. Plot &amp; Site Log'!$A$5:$A$64,$A106)=0),"Plot ID not in Plot &amp; Site Log. ","")&amp;IF(AND(ISNUMBER($E106),ISNUMBER($F106),$F106&lt;=$E106),"Bottom depth is not below top depth. ","")&amp;IF($I106="","Say which bulk-density basis the lab reported. ","")&amp;IF(AND(ISNUMBER($J106),OR($J106&lt;QC_BD_MIN,$J106&gt;QC_BD_MAX)),"Bulk density outside "&amp;QC_BD_MIN&amp;"–"&amp;QC_BD_MAX&amp;" g/cm³ for peat. Above the top of that range usually means the mineral contact has been passed. ","")&amp;IF(AND(ISNUMBER($N106),$N106&gt;QC_CARBON_PCT_MAX),"Carbon above "&amp;QC_CARBON_PCT_MAX&amp;"% — check units; this may be organic matter rather than carbon. ","")&amp;IF(AND($L106&lt;&gt;"",$M106&lt;&gt;""),"Both LOI and measured carbon given — the measured value is used. ","")&amp;IF(AND($M106="",$L106&lt;&gt;"",OM_FACTOR_IS_LOCAL&lt;&gt;"Yes"),"Carbon derived from LOI using the default factor of "&amp;CARBON_FRACTION_OM&amp;", which has not been calibrated locally. See R1. Reference. ","")&amp;IF(AND(ISNUMBER($O106),$O106=0,ISNUMBER($E106)),"Section lies entirely below the reference depth — it counts to the full-profile stock only. ",""))</f>
        <v/>
      </c>
      <c r="U106" s="14"/>
    </row>
    <row r="107" spans="1:21" ht="15.75" customHeight="1">
      <c r="A107" s="14"/>
      <c r="B107" s="14"/>
      <c r="C107" s="14"/>
      <c r="D107" s="14"/>
      <c r="E107" s="14"/>
      <c r="F107" s="14"/>
      <c r="G107" s="14" t="str">
        <f t="shared" si="14"/>
        <v/>
      </c>
      <c r="H107" s="14"/>
      <c r="I107" s="14"/>
      <c r="J107" s="24"/>
      <c r="K107" s="24"/>
      <c r="L107" s="24"/>
      <c r="M107" s="24"/>
      <c r="N107" s="16" t="str">
        <f t="shared" si="12"/>
        <v/>
      </c>
      <c r="O107" s="16" t="str">
        <f t="shared" si="15"/>
        <v/>
      </c>
      <c r="P107" s="16" t="str">
        <f t="shared" si="16"/>
        <v/>
      </c>
      <c r="Q107" s="16" t="str">
        <f t="shared" si="17"/>
        <v/>
      </c>
      <c r="R107" s="16">
        <f t="shared" si="13"/>
        <v>0</v>
      </c>
      <c r="S107" s="16" t="str">
        <f>IF(OR($B107="",NOT(ISNUMBER($F107))),"",SUMIFS(community_cores_FS!$P$5:$P$597,community_cores_FS!$B$5:$B$597,$B107,community_cores_FS!$F$5:$F$597,"&lt;="&amp;$F107))</f>
        <v/>
      </c>
      <c r="T107" s="16" t="str">
        <f>IF(AND($A107="",$B107="",$E107=""),"",IF(AND($B107&lt;&gt;"",COUNTIF('2. Core Log'!$A$5:$A$124,$B107)=0),"Core ID not in Core Log. ","")&amp;IF(AND($A107&lt;&gt;"",COUNTIF('1. Plot &amp; Site Log'!$A$5:$A$64,$A107)=0),"Plot ID not in Plot &amp; Site Log. ","")&amp;IF(AND(ISNUMBER($E107),ISNUMBER($F107),$F107&lt;=$E107),"Bottom depth is not below top depth. ","")&amp;IF($I107="","Say which bulk-density basis the lab reported. ","")&amp;IF(AND(ISNUMBER($J107),OR($J107&lt;QC_BD_MIN,$J107&gt;QC_BD_MAX)),"Bulk density outside "&amp;QC_BD_MIN&amp;"–"&amp;QC_BD_MAX&amp;" g/cm³ for peat. Above the top of that range usually means the mineral contact has been passed. ","")&amp;IF(AND(ISNUMBER($N107),$N107&gt;QC_CARBON_PCT_MAX),"Carbon above "&amp;QC_CARBON_PCT_MAX&amp;"% — check units; this may be organic matter rather than carbon. ","")&amp;IF(AND($L107&lt;&gt;"",$M107&lt;&gt;""),"Both LOI and measured carbon given — the measured value is used. ","")&amp;IF(AND($M107="",$L107&lt;&gt;"",OM_FACTOR_IS_LOCAL&lt;&gt;"Yes"),"Carbon derived from LOI using the default factor of "&amp;CARBON_FRACTION_OM&amp;", which has not been calibrated locally. See R1. Reference. ","")&amp;IF(AND(ISNUMBER($O107),$O107=0,ISNUMBER($E107)),"Section lies entirely below the reference depth — it counts to the full-profile stock only. ",""))</f>
        <v/>
      </c>
      <c r="U107" s="14"/>
    </row>
    <row r="108" spans="1:21" ht="15.75" customHeight="1">
      <c r="A108" s="14"/>
      <c r="B108" s="14"/>
      <c r="C108" s="14"/>
      <c r="D108" s="14"/>
      <c r="E108" s="14"/>
      <c r="F108" s="14"/>
      <c r="G108" s="14" t="str">
        <f t="shared" si="14"/>
        <v/>
      </c>
      <c r="H108" s="14"/>
      <c r="I108" s="14"/>
      <c r="J108" s="24"/>
      <c r="K108" s="24"/>
      <c r="L108" s="24"/>
      <c r="M108" s="24"/>
      <c r="N108" s="16" t="str">
        <f t="shared" si="12"/>
        <v/>
      </c>
      <c r="O108" s="16" t="str">
        <f t="shared" si="15"/>
        <v/>
      </c>
      <c r="P108" s="16" t="str">
        <f t="shared" si="16"/>
        <v/>
      </c>
      <c r="Q108" s="16" t="str">
        <f t="shared" si="17"/>
        <v/>
      </c>
      <c r="R108" s="16">
        <f t="shared" si="13"/>
        <v>0</v>
      </c>
      <c r="S108" s="16" t="str">
        <f>IF(OR($B108="",NOT(ISNUMBER($F108))),"",SUMIFS(community_cores_FS!$P$5:$P$597,community_cores_FS!$B$5:$B$597,$B108,community_cores_FS!$F$5:$F$597,"&lt;="&amp;$F108))</f>
        <v/>
      </c>
      <c r="T108" s="16" t="str">
        <f>IF(AND($A108="",$B108="",$E108=""),"",IF(AND($B108&lt;&gt;"",COUNTIF('2. Core Log'!$A$5:$A$124,$B108)=0),"Core ID not in Core Log. ","")&amp;IF(AND($A108&lt;&gt;"",COUNTIF('1. Plot &amp; Site Log'!$A$5:$A$64,$A108)=0),"Plot ID not in Plot &amp; Site Log. ","")&amp;IF(AND(ISNUMBER($E108),ISNUMBER($F108),$F108&lt;=$E108),"Bottom depth is not below top depth. ","")&amp;IF($I108="","Say which bulk-density basis the lab reported. ","")&amp;IF(AND(ISNUMBER($J108),OR($J108&lt;QC_BD_MIN,$J108&gt;QC_BD_MAX)),"Bulk density outside "&amp;QC_BD_MIN&amp;"–"&amp;QC_BD_MAX&amp;" g/cm³ for peat. Above the top of that range usually means the mineral contact has been passed. ","")&amp;IF(AND(ISNUMBER($N108),$N108&gt;QC_CARBON_PCT_MAX),"Carbon above "&amp;QC_CARBON_PCT_MAX&amp;"% — check units; this may be organic matter rather than carbon. ","")&amp;IF(AND($L108&lt;&gt;"",$M108&lt;&gt;""),"Both LOI and measured carbon given — the measured value is used. ","")&amp;IF(AND($M108="",$L108&lt;&gt;"",OM_FACTOR_IS_LOCAL&lt;&gt;"Yes"),"Carbon derived from LOI using the default factor of "&amp;CARBON_FRACTION_OM&amp;", which has not been calibrated locally. See R1. Reference. ","")&amp;IF(AND(ISNUMBER($O108),$O108=0,ISNUMBER($E108)),"Section lies entirely below the reference depth — it counts to the full-profile stock only. ",""))</f>
        <v/>
      </c>
      <c r="U108" s="14"/>
    </row>
    <row r="109" spans="1:21" ht="15.75" customHeight="1">
      <c r="A109" s="14"/>
      <c r="B109" s="14"/>
      <c r="C109" s="14"/>
      <c r="D109" s="14"/>
      <c r="E109" s="14"/>
      <c r="F109" s="14"/>
      <c r="G109" s="14" t="str">
        <f t="shared" si="14"/>
        <v/>
      </c>
      <c r="H109" s="14"/>
      <c r="I109" s="14"/>
      <c r="J109" s="24"/>
      <c r="K109" s="24"/>
      <c r="L109" s="24"/>
      <c r="M109" s="24"/>
      <c r="N109" s="16" t="str">
        <f t="shared" si="12"/>
        <v/>
      </c>
      <c r="O109" s="16" t="str">
        <f t="shared" si="15"/>
        <v/>
      </c>
      <c r="P109" s="16" t="str">
        <f t="shared" si="16"/>
        <v/>
      </c>
      <c r="Q109" s="16" t="str">
        <f t="shared" si="17"/>
        <v/>
      </c>
      <c r="R109" s="16">
        <f t="shared" si="13"/>
        <v>0</v>
      </c>
      <c r="S109" s="16" t="str">
        <f>IF(OR($B109="",NOT(ISNUMBER($F109))),"",SUMIFS(community_cores_FS!$P$5:$P$597,community_cores_FS!$B$5:$B$597,$B109,community_cores_FS!$F$5:$F$597,"&lt;="&amp;$F109))</f>
        <v/>
      </c>
      <c r="T109" s="16" t="str">
        <f>IF(AND($A109="",$B109="",$E109=""),"",IF(AND($B109&lt;&gt;"",COUNTIF('2. Core Log'!$A$5:$A$124,$B109)=0),"Core ID not in Core Log. ","")&amp;IF(AND($A109&lt;&gt;"",COUNTIF('1. Plot &amp; Site Log'!$A$5:$A$64,$A109)=0),"Plot ID not in Plot &amp; Site Log. ","")&amp;IF(AND(ISNUMBER($E109),ISNUMBER($F109),$F109&lt;=$E109),"Bottom depth is not below top depth. ","")&amp;IF($I109="","Say which bulk-density basis the lab reported. ","")&amp;IF(AND(ISNUMBER($J109),OR($J109&lt;QC_BD_MIN,$J109&gt;QC_BD_MAX)),"Bulk density outside "&amp;QC_BD_MIN&amp;"–"&amp;QC_BD_MAX&amp;" g/cm³ for peat. Above the top of that range usually means the mineral contact has been passed. ","")&amp;IF(AND(ISNUMBER($N109),$N109&gt;QC_CARBON_PCT_MAX),"Carbon above "&amp;QC_CARBON_PCT_MAX&amp;"% — check units; this may be organic matter rather than carbon. ","")&amp;IF(AND($L109&lt;&gt;"",$M109&lt;&gt;""),"Both LOI and measured carbon given — the measured value is used. ","")&amp;IF(AND($M109="",$L109&lt;&gt;"",OM_FACTOR_IS_LOCAL&lt;&gt;"Yes"),"Carbon derived from LOI using the default factor of "&amp;CARBON_FRACTION_OM&amp;", which has not been calibrated locally. See R1. Reference. ","")&amp;IF(AND(ISNUMBER($O109),$O109=0,ISNUMBER($E109)),"Section lies entirely below the reference depth — it counts to the full-profile stock only. ",""))</f>
        <v/>
      </c>
      <c r="U109" s="14"/>
    </row>
    <row r="110" spans="1:21" ht="15.75" customHeight="1">
      <c r="A110" s="14"/>
      <c r="B110" s="14"/>
      <c r="C110" s="14"/>
      <c r="D110" s="14"/>
      <c r="E110" s="14"/>
      <c r="F110" s="14"/>
      <c r="G110" s="14" t="str">
        <f t="shared" si="14"/>
        <v/>
      </c>
      <c r="H110" s="14"/>
      <c r="I110" s="14"/>
      <c r="J110" s="24"/>
      <c r="K110" s="24"/>
      <c r="L110" s="24"/>
      <c r="M110" s="24"/>
      <c r="N110" s="16" t="str">
        <f t="shared" si="12"/>
        <v/>
      </c>
      <c r="O110" s="16" t="str">
        <f t="shared" si="15"/>
        <v/>
      </c>
      <c r="P110" s="16" t="str">
        <f t="shared" si="16"/>
        <v/>
      </c>
      <c r="Q110" s="16" t="str">
        <f t="shared" si="17"/>
        <v/>
      </c>
      <c r="R110" s="16">
        <f t="shared" si="13"/>
        <v>0</v>
      </c>
      <c r="S110" s="16" t="str">
        <f>IF(OR($B110="",NOT(ISNUMBER($F110))),"",SUMIFS(community_cores_FS!$P$5:$P$597,community_cores_FS!$B$5:$B$597,$B110,community_cores_FS!$F$5:$F$597,"&lt;="&amp;$F110))</f>
        <v/>
      </c>
      <c r="T110" s="16" t="str">
        <f>IF(AND($A110="",$B110="",$E110=""),"",IF(AND($B110&lt;&gt;"",COUNTIF('2. Core Log'!$A$5:$A$124,$B110)=0),"Core ID not in Core Log. ","")&amp;IF(AND($A110&lt;&gt;"",COUNTIF('1. Plot &amp; Site Log'!$A$5:$A$64,$A110)=0),"Plot ID not in Plot &amp; Site Log. ","")&amp;IF(AND(ISNUMBER($E110),ISNUMBER($F110),$F110&lt;=$E110),"Bottom depth is not below top depth. ","")&amp;IF($I110="","Say which bulk-density basis the lab reported. ","")&amp;IF(AND(ISNUMBER($J110),OR($J110&lt;QC_BD_MIN,$J110&gt;QC_BD_MAX)),"Bulk density outside "&amp;QC_BD_MIN&amp;"–"&amp;QC_BD_MAX&amp;" g/cm³ for peat. Above the top of that range usually means the mineral contact has been passed. ","")&amp;IF(AND(ISNUMBER($N110),$N110&gt;QC_CARBON_PCT_MAX),"Carbon above "&amp;QC_CARBON_PCT_MAX&amp;"% — check units; this may be organic matter rather than carbon. ","")&amp;IF(AND($L110&lt;&gt;"",$M110&lt;&gt;""),"Both LOI and measured carbon given — the measured value is used. ","")&amp;IF(AND($M110="",$L110&lt;&gt;"",OM_FACTOR_IS_LOCAL&lt;&gt;"Yes"),"Carbon derived from LOI using the default factor of "&amp;CARBON_FRACTION_OM&amp;", which has not been calibrated locally. See R1. Reference. ","")&amp;IF(AND(ISNUMBER($O110),$O110=0,ISNUMBER($E110)),"Section lies entirely below the reference depth — it counts to the full-profile stock only. ",""))</f>
        <v/>
      </c>
      <c r="U110" s="14"/>
    </row>
    <row r="111" spans="1:21" ht="15.75" customHeight="1">
      <c r="A111" s="14"/>
      <c r="B111" s="14"/>
      <c r="C111" s="14"/>
      <c r="D111" s="14"/>
      <c r="E111" s="14"/>
      <c r="F111" s="14"/>
      <c r="G111" s="14" t="str">
        <f t="shared" si="14"/>
        <v/>
      </c>
      <c r="H111" s="14"/>
      <c r="I111" s="14"/>
      <c r="J111" s="24"/>
      <c r="K111" s="24"/>
      <c r="L111" s="24"/>
      <c r="M111" s="24"/>
      <c r="N111" s="16" t="str">
        <f t="shared" si="12"/>
        <v/>
      </c>
      <c r="O111" s="16" t="str">
        <f t="shared" si="15"/>
        <v/>
      </c>
      <c r="P111" s="16" t="str">
        <f t="shared" si="16"/>
        <v/>
      </c>
      <c r="Q111" s="16" t="str">
        <f t="shared" si="17"/>
        <v/>
      </c>
      <c r="R111" s="16">
        <f t="shared" si="13"/>
        <v>0</v>
      </c>
      <c r="S111" s="16" t="str">
        <f>IF(OR($B111="",NOT(ISNUMBER($F111))),"",SUMIFS(community_cores_FS!$P$5:$P$597,community_cores_FS!$B$5:$B$597,$B111,community_cores_FS!$F$5:$F$597,"&lt;="&amp;$F111))</f>
        <v/>
      </c>
      <c r="T111" s="16" t="str">
        <f>IF(AND($A111="",$B111="",$E111=""),"",IF(AND($B111&lt;&gt;"",COUNTIF('2. Core Log'!$A$5:$A$124,$B111)=0),"Core ID not in Core Log. ","")&amp;IF(AND($A111&lt;&gt;"",COUNTIF('1. Plot &amp; Site Log'!$A$5:$A$64,$A111)=0),"Plot ID not in Plot &amp; Site Log. ","")&amp;IF(AND(ISNUMBER($E111),ISNUMBER($F111),$F111&lt;=$E111),"Bottom depth is not below top depth. ","")&amp;IF($I111="","Say which bulk-density basis the lab reported. ","")&amp;IF(AND(ISNUMBER($J111),OR($J111&lt;QC_BD_MIN,$J111&gt;QC_BD_MAX)),"Bulk density outside "&amp;QC_BD_MIN&amp;"–"&amp;QC_BD_MAX&amp;" g/cm³ for peat. Above the top of that range usually means the mineral contact has been passed. ","")&amp;IF(AND(ISNUMBER($N111),$N111&gt;QC_CARBON_PCT_MAX),"Carbon above "&amp;QC_CARBON_PCT_MAX&amp;"% — check units; this may be organic matter rather than carbon. ","")&amp;IF(AND($L111&lt;&gt;"",$M111&lt;&gt;""),"Both LOI and measured carbon given — the measured value is used. ","")&amp;IF(AND($M111="",$L111&lt;&gt;"",OM_FACTOR_IS_LOCAL&lt;&gt;"Yes"),"Carbon derived from LOI using the default factor of "&amp;CARBON_FRACTION_OM&amp;", which has not been calibrated locally. See R1. Reference. ","")&amp;IF(AND(ISNUMBER($O111),$O111=0,ISNUMBER($E111)),"Section lies entirely below the reference depth — it counts to the full-profile stock only. ",""))</f>
        <v/>
      </c>
      <c r="U111" s="14"/>
    </row>
    <row r="112" spans="1:21" ht="15.75" customHeight="1">
      <c r="A112" s="14"/>
      <c r="B112" s="14"/>
      <c r="C112" s="14"/>
      <c r="D112" s="14"/>
      <c r="E112" s="14"/>
      <c r="F112" s="14"/>
      <c r="G112" s="14" t="str">
        <f t="shared" si="14"/>
        <v/>
      </c>
      <c r="H112" s="14"/>
      <c r="I112" s="14"/>
      <c r="J112" s="24"/>
      <c r="K112" s="24"/>
      <c r="L112" s="24"/>
      <c r="M112" s="24"/>
      <c r="N112" s="16" t="str">
        <f t="shared" si="12"/>
        <v/>
      </c>
      <c r="O112" s="16" t="str">
        <f t="shared" si="15"/>
        <v/>
      </c>
      <c r="P112" s="16" t="str">
        <f t="shared" si="16"/>
        <v/>
      </c>
      <c r="Q112" s="16" t="str">
        <f t="shared" si="17"/>
        <v/>
      </c>
      <c r="R112" s="16">
        <f t="shared" si="13"/>
        <v>0</v>
      </c>
      <c r="S112" s="16" t="str">
        <f>IF(OR($B112="",NOT(ISNUMBER($F112))),"",SUMIFS(community_cores_FS!$P$5:$P$597,community_cores_FS!$B$5:$B$597,$B112,community_cores_FS!$F$5:$F$597,"&lt;="&amp;$F112))</f>
        <v/>
      </c>
      <c r="T112" s="16" t="str">
        <f>IF(AND($A112="",$B112="",$E112=""),"",IF(AND($B112&lt;&gt;"",COUNTIF('2. Core Log'!$A$5:$A$124,$B112)=0),"Core ID not in Core Log. ","")&amp;IF(AND($A112&lt;&gt;"",COUNTIF('1. Plot &amp; Site Log'!$A$5:$A$64,$A112)=0),"Plot ID not in Plot &amp; Site Log. ","")&amp;IF(AND(ISNUMBER($E112),ISNUMBER($F112),$F112&lt;=$E112),"Bottom depth is not below top depth. ","")&amp;IF($I112="","Say which bulk-density basis the lab reported. ","")&amp;IF(AND(ISNUMBER($J112),OR($J112&lt;QC_BD_MIN,$J112&gt;QC_BD_MAX)),"Bulk density outside "&amp;QC_BD_MIN&amp;"–"&amp;QC_BD_MAX&amp;" g/cm³ for peat. Above the top of that range usually means the mineral contact has been passed. ","")&amp;IF(AND(ISNUMBER($N112),$N112&gt;QC_CARBON_PCT_MAX),"Carbon above "&amp;QC_CARBON_PCT_MAX&amp;"% — check units; this may be organic matter rather than carbon. ","")&amp;IF(AND($L112&lt;&gt;"",$M112&lt;&gt;""),"Both LOI and measured carbon given — the measured value is used. ","")&amp;IF(AND($M112="",$L112&lt;&gt;"",OM_FACTOR_IS_LOCAL&lt;&gt;"Yes"),"Carbon derived from LOI using the default factor of "&amp;CARBON_FRACTION_OM&amp;", which has not been calibrated locally. See R1. Reference. ","")&amp;IF(AND(ISNUMBER($O112),$O112=0,ISNUMBER($E112)),"Section lies entirely below the reference depth — it counts to the full-profile stock only. ",""))</f>
        <v/>
      </c>
      <c r="U112" s="14"/>
    </row>
    <row r="113" spans="1:21" ht="15.75" customHeight="1">
      <c r="A113" s="14"/>
      <c r="B113" s="14"/>
      <c r="C113" s="14"/>
      <c r="D113" s="14"/>
      <c r="E113" s="14"/>
      <c r="F113" s="14"/>
      <c r="G113" s="14" t="str">
        <f t="shared" si="14"/>
        <v/>
      </c>
      <c r="H113" s="14"/>
      <c r="I113" s="14"/>
      <c r="J113" s="24"/>
      <c r="K113" s="24"/>
      <c r="L113" s="24"/>
      <c r="M113" s="24"/>
      <c r="N113" s="16" t="str">
        <f t="shared" si="12"/>
        <v/>
      </c>
      <c r="O113" s="16" t="str">
        <f t="shared" si="15"/>
        <v/>
      </c>
      <c r="P113" s="16" t="str">
        <f t="shared" si="16"/>
        <v/>
      </c>
      <c r="Q113" s="16" t="str">
        <f t="shared" si="17"/>
        <v/>
      </c>
      <c r="R113" s="16">
        <f t="shared" si="13"/>
        <v>0</v>
      </c>
      <c r="S113" s="16" t="str">
        <f>IF(OR($B113="",NOT(ISNUMBER($F113))),"",SUMIFS(community_cores_FS!$P$5:$P$597,community_cores_FS!$B$5:$B$597,$B113,community_cores_FS!$F$5:$F$597,"&lt;="&amp;$F113))</f>
        <v/>
      </c>
      <c r="T113" s="16" t="str">
        <f>IF(AND($A113="",$B113="",$E113=""),"",IF(AND($B113&lt;&gt;"",COUNTIF('2. Core Log'!$A$5:$A$124,$B113)=0),"Core ID not in Core Log. ","")&amp;IF(AND($A113&lt;&gt;"",COUNTIF('1. Plot &amp; Site Log'!$A$5:$A$64,$A113)=0),"Plot ID not in Plot &amp; Site Log. ","")&amp;IF(AND(ISNUMBER($E113),ISNUMBER($F113),$F113&lt;=$E113),"Bottom depth is not below top depth. ","")&amp;IF($I113="","Say which bulk-density basis the lab reported. ","")&amp;IF(AND(ISNUMBER($J113),OR($J113&lt;QC_BD_MIN,$J113&gt;QC_BD_MAX)),"Bulk density outside "&amp;QC_BD_MIN&amp;"–"&amp;QC_BD_MAX&amp;" g/cm³ for peat. Above the top of that range usually means the mineral contact has been passed. ","")&amp;IF(AND(ISNUMBER($N113),$N113&gt;QC_CARBON_PCT_MAX),"Carbon above "&amp;QC_CARBON_PCT_MAX&amp;"% — check units; this may be organic matter rather than carbon. ","")&amp;IF(AND($L113&lt;&gt;"",$M113&lt;&gt;""),"Both LOI and measured carbon given — the measured value is used. ","")&amp;IF(AND($M113="",$L113&lt;&gt;"",OM_FACTOR_IS_LOCAL&lt;&gt;"Yes"),"Carbon derived from LOI using the default factor of "&amp;CARBON_FRACTION_OM&amp;", which has not been calibrated locally. See R1. Reference. ","")&amp;IF(AND(ISNUMBER($O113),$O113=0,ISNUMBER($E113)),"Section lies entirely below the reference depth — it counts to the full-profile stock only. ",""))</f>
        <v/>
      </c>
      <c r="U113" s="14"/>
    </row>
    <row r="114" spans="1:21" ht="15.75" customHeight="1">
      <c r="A114" s="14"/>
      <c r="B114" s="14"/>
      <c r="C114" s="14"/>
      <c r="D114" s="14"/>
      <c r="E114" s="14"/>
      <c r="F114" s="14"/>
      <c r="G114" s="14" t="str">
        <f t="shared" si="14"/>
        <v/>
      </c>
      <c r="H114" s="14"/>
      <c r="I114" s="14"/>
      <c r="J114" s="24"/>
      <c r="K114" s="24"/>
      <c r="L114" s="24"/>
      <c r="M114" s="24"/>
      <c r="N114" s="16" t="str">
        <f t="shared" si="12"/>
        <v/>
      </c>
      <c r="O114" s="16" t="str">
        <f t="shared" si="15"/>
        <v/>
      </c>
      <c r="P114" s="16" t="str">
        <f t="shared" si="16"/>
        <v/>
      </c>
      <c r="Q114" s="16" t="str">
        <f t="shared" si="17"/>
        <v/>
      </c>
      <c r="R114" s="16">
        <f t="shared" si="13"/>
        <v>0</v>
      </c>
      <c r="S114" s="16" t="str">
        <f>IF(OR($B114="",NOT(ISNUMBER($F114))),"",SUMIFS(community_cores_FS!$P$5:$P$597,community_cores_FS!$B$5:$B$597,$B114,community_cores_FS!$F$5:$F$597,"&lt;="&amp;$F114))</f>
        <v/>
      </c>
      <c r="T114" s="16" t="str">
        <f>IF(AND($A114="",$B114="",$E114=""),"",IF(AND($B114&lt;&gt;"",COUNTIF('2. Core Log'!$A$5:$A$124,$B114)=0),"Core ID not in Core Log. ","")&amp;IF(AND($A114&lt;&gt;"",COUNTIF('1. Plot &amp; Site Log'!$A$5:$A$64,$A114)=0),"Plot ID not in Plot &amp; Site Log. ","")&amp;IF(AND(ISNUMBER($E114),ISNUMBER($F114),$F114&lt;=$E114),"Bottom depth is not below top depth. ","")&amp;IF($I114="","Say which bulk-density basis the lab reported. ","")&amp;IF(AND(ISNUMBER($J114),OR($J114&lt;QC_BD_MIN,$J114&gt;QC_BD_MAX)),"Bulk density outside "&amp;QC_BD_MIN&amp;"–"&amp;QC_BD_MAX&amp;" g/cm³ for peat. Above the top of that range usually means the mineral contact has been passed. ","")&amp;IF(AND(ISNUMBER($N114),$N114&gt;QC_CARBON_PCT_MAX),"Carbon above "&amp;QC_CARBON_PCT_MAX&amp;"% — check units; this may be organic matter rather than carbon. ","")&amp;IF(AND($L114&lt;&gt;"",$M114&lt;&gt;""),"Both LOI and measured carbon given — the measured value is used. ","")&amp;IF(AND($M114="",$L114&lt;&gt;"",OM_FACTOR_IS_LOCAL&lt;&gt;"Yes"),"Carbon derived from LOI using the default factor of "&amp;CARBON_FRACTION_OM&amp;", which has not been calibrated locally. See R1. Reference. ","")&amp;IF(AND(ISNUMBER($O114),$O114=0,ISNUMBER($E114)),"Section lies entirely below the reference depth — it counts to the full-profile stock only. ",""))</f>
        <v/>
      </c>
      <c r="U114" s="14"/>
    </row>
    <row r="115" spans="1:21" ht="15.75" customHeight="1">
      <c r="A115" s="14"/>
      <c r="B115" s="14"/>
      <c r="C115" s="14"/>
      <c r="D115" s="14"/>
      <c r="E115" s="14"/>
      <c r="F115" s="14"/>
      <c r="G115" s="14" t="str">
        <f t="shared" si="14"/>
        <v/>
      </c>
      <c r="H115" s="14"/>
      <c r="I115" s="14"/>
      <c r="J115" s="24"/>
      <c r="K115" s="24"/>
      <c r="L115" s="24"/>
      <c r="M115" s="24"/>
      <c r="N115" s="16" t="str">
        <f t="shared" si="12"/>
        <v/>
      </c>
      <c r="O115" s="16" t="str">
        <f t="shared" si="15"/>
        <v/>
      </c>
      <c r="P115" s="16" t="str">
        <f t="shared" si="16"/>
        <v/>
      </c>
      <c r="Q115" s="16" t="str">
        <f t="shared" si="17"/>
        <v/>
      </c>
      <c r="R115" s="16">
        <f t="shared" si="13"/>
        <v>0</v>
      </c>
      <c r="S115" s="16" t="str">
        <f>IF(OR($B115="",NOT(ISNUMBER($F115))),"",SUMIFS(community_cores_FS!$P$5:$P$597,community_cores_FS!$B$5:$B$597,$B115,community_cores_FS!$F$5:$F$597,"&lt;="&amp;$F115))</f>
        <v/>
      </c>
      <c r="T115" s="16" t="str">
        <f>IF(AND($A115="",$B115="",$E115=""),"",IF(AND($B115&lt;&gt;"",COUNTIF('2. Core Log'!$A$5:$A$124,$B115)=0),"Core ID not in Core Log. ","")&amp;IF(AND($A115&lt;&gt;"",COUNTIF('1. Plot &amp; Site Log'!$A$5:$A$64,$A115)=0),"Plot ID not in Plot &amp; Site Log. ","")&amp;IF(AND(ISNUMBER($E115),ISNUMBER($F115),$F115&lt;=$E115),"Bottom depth is not below top depth. ","")&amp;IF($I115="","Say which bulk-density basis the lab reported. ","")&amp;IF(AND(ISNUMBER($J115),OR($J115&lt;QC_BD_MIN,$J115&gt;QC_BD_MAX)),"Bulk density outside "&amp;QC_BD_MIN&amp;"–"&amp;QC_BD_MAX&amp;" g/cm³ for peat. Above the top of that range usually means the mineral contact has been passed. ","")&amp;IF(AND(ISNUMBER($N115),$N115&gt;QC_CARBON_PCT_MAX),"Carbon above "&amp;QC_CARBON_PCT_MAX&amp;"% — check units; this may be organic matter rather than carbon. ","")&amp;IF(AND($L115&lt;&gt;"",$M115&lt;&gt;""),"Both LOI and measured carbon given — the measured value is used. ","")&amp;IF(AND($M115="",$L115&lt;&gt;"",OM_FACTOR_IS_LOCAL&lt;&gt;"Yes"),"Carbon derived from LOI using the default factor of "&amp;CARBON_FRACTION_OM&amp;", which has not been calibrated locally. See R1. Reference. ","")&amp;IF(AND(ISNUMBER($O115),$O115=0,ISNUMBER($E115)),"Section lies entirely below the reference depth — it counts to the full-profile stock only. ",""))</f>
        <v/>
      </c>
      <c r="U115" s="14"/>
    </row>
    <row r="116" spans="1:21" ht="15.75" customHeight="1">
      <c r="A116" s="14"/>
      <c r="B116" s="14"/>
      <c r="C116" s="14"/>
      <c r="D116" s="14"/>
      <c r="E116" s="14"/>
      <c r="F116" s="14"/>
      <c r="G116" s="14" t="str">
        <f t="shared" si="14"/>
        <v/>
      </c>
      <c r="H116" s="14"/>
      <c r="I116" s="14"/>
      <c r="J116" s="24"/>
      <c r="K116" s="24"/>
      <c r="L116" s="24"/>
      <c r="M116" s="24"/>
      <c r="N116" s="16" t="str">
        <f t="shared" si="12"/>
        <v/>
      </c>
      <c r="O116" s="16" t="str">
        <f t="shared" si="15"/>
        <v/>
      </c>
      <c r="P116" s="16" t="str">
        <f t="shared" si="16"/>
        <v/>
      </c>
      <c r="Q116" s="16" t="str">
        <f t="shared" si="17"/>
        <v/>
      </c>
      <c r="R116" s="16">
        <f t="shared" si="13"/>
        <v>0</v>
      </c>
      <c r="S116" s="16" t="str">
        <f>IF(OR($B116="",NOT(ISNUMBER($F116))),"",SUMIFS(community_cores_FS!$P$5:$P$597,community_cores_FS!$B$5:$B$597,$B116,community_cores_FS!$F$5:$F$597,"&lt;="&amp;$F116))</f>
        <v/>
      </c>
      <c r="T116" s="16" t="str">
        <f>IF(AND($A116="",$B116="",$E116=""),"",IF(AND($B116&lt;&gt;"",COUNTIF('2. Core Log'!$A$5:$A$124,$B116)=0),"Core ID not in Core Log. ","")&amp;IF(AND($A116&lt;&gt;"",COUNTIF('1. Plot &amp; Site Log'!$A$5:$A$64,$A116)=0),"Plot ID not in Plot &amp; Site Log. ","")&amp;IF(AND(ISNUMBER($E116),ISNUMBER($F116),$F116&lt;=$E116),"Bottom depth is not below top depth. ","")&amp;IF($I116="","Say which bulk-density basis the lab reported. ","")&amp;IF(AND(ISNUMBER($J116),OR($J116&lt;QC_BD_MIN,$J116&gt;QC_BD_MAX)),"Bulk density outside "&amp;QC_BD_MIN&amp;"–"&amp;QC_BD_MAX&amp;" g/cm³ for peat. Above the top of that range usually means the mineral contact has been passed. ","")&amp;IF(AND(ISNUMBER($N116),$N116&gt;QC_CARBON_PCT_MAX),"Carbon above "&amp;QC_CARBON_PCT_MAX&amp;"% — check units; this may be organic matter rather than carbon. ","")&amp;IF(AND($L116&lt;&gt;"",$M116&lt;&gt;""),"Both LOI and measured carbon given — the measured value is used. ","")&amp;IF(AND($M116="",$L116&lt;&gt;"",OM_FACTOR_IS_LOCAL&lt;&gt;"Yes"),"Carbon derived from LOI using the default factor of "&amp;CARBON_FRACTION_OM&amp;", which has not been calibrated locally. See R1. Reference. ","")&amp;IF(AND(ISNUMBER($O116),$O116=0,ISNUMBER($E116)),"Section lies entirely below the reference depth — it counts to the full-profile stock only. ",""))</f>
        <v/>
      </c>
      <c r="U116" s="14"/>
    </row>
    <row r="117" spans="1:21" ht="15.75" customHeight="1">
      <c r="A117" s="14"/>
      <c r="B117" s="14"/>
      <c r="C117" s="14"/>
      <c r="D117" s="14"/>
      <c r="E117" s="14"/>
      <c r="F117" s="14"/>
      <c r="G117" s="14" t="str">
        <f t="shared" si="14"/>
        <v/>
      </c>
      <c r="H117" s="14"/>
      <c r="I117" s="14"/>
      <c r="J117" s="24"/>
      <c r="K117" s="24"/>
      <c r="L117" s="24"/>
      <c r="M117" s="24"/>
      <c r="N117" s="16" t="str">
        <f t="shared" si="12"/>
        <v/>
      </c>
      <c r="O117" s="16" t="str">
        <f t="shared" si="15"/>
        <v/>
      </c>
      <c r="P117" s="16" t="str">
        <f t="shared" si="16"/>
        <v/>
      </c>
      <c r="Q117" s="16" t="str">
        <f t="shared" si="17"/>
        <v/>
      </c>
      <c r="R117" s="16">
        <f t="shared" si="13"/>
        <v>0</v>
      </c>
      <c r="S117" s="16" t="str">
        <f>IF(OR($B117="",NOT(ISNUMBER($F117))),"",SUMIFS(community_cores_FS!$P$5:$P$597,community_cores_FS!$B$5:$B$597,$B117,community_cores_FS!$F$5:$F$597,"&lt;="&amp;$F117))</f>
        <v/>
      </c>
      <c r="T117" s="16" t="str">
        <f>IF(AND($A117="",$B117="",$E117=""),"",IF(AND($B117&lt;&gt;"",COUNTIF('2. Core Log'!$A$5:$A$124,$B117)=0),"Core ID not in Core Log. ","")&amp;IF(AND($A117&lt;&gt;"",COUNTIF('1. Plot &amp; Site Log'!$A$5:$A$64,$A117)=0),"Plot ID not in Plot &amp; Site Log. ","")&amp;IF(AND(ISNUMBER($E117),ISNUMBER($F117),$F117&lt;=$E117),"Bottom depth is not below top depth. ","")&amp;IF($I117="","Say which bulk-density basis the lab reported. ","")&amp;IF(AND(ISNUMBER($J117),OR($J117&lt;QC_BD_MIN,$J117&gt;QC_BD_MAX)),"Bulk density outside "&amp;QC_BD_MIN&amp;"–"&amp;QC_BD_MAX&amp;" g/cm³ for peat. Above the top of that range usually means the mineral contact has been passed. ","")&amp;IF(AND(ISNUMBER($N117),$N117&gt;QC_CARBON_PCT_MAX),"Carbon above "&amp;QC_CARBON_PCT_MAX&amp;"% — check units; this may be organic matter rather than carbon. ","")&amp;IF(AND($L117&lt;&gt;"",$M117&lt;&gt;""),"Both LOI and measured carbon given — the measured value is used. ","")&amp;IF(AND($M117="",$L117&lt;&gt;"",OM_FACTOR_IS_LOCAL&lt;&gt;"Yes"),"Carbon derived from LOI using the default factor of "&amp;CARBON_FRACTION_OM&amp;", which has not been calibrated locally. See R1. Reference. ","")&amp;IF(AND(ISNUMBER($O117),$O117=0,ISNUMBER($E117)),"Section lies entirely below the reference depth — it counts to the full-profile stock only. ",""))</f>
        <v/>
      </c>
      <c r="U117" s="14"/>
    </row>
    <row r="118" spans="1:21" ht="15.75" customHeight="1">
      <c r="A118" s="14"/>
      <c r="B118" s="14"/>
      <c r="C118" s="14"/>
      <c r="D118" s="14"/>
      <c r="E118" s="14"/>
      <c r="F118" s="14"/>
      <c r="G118" s="14" t="str">
        <f t="shared" si="14"/>
        <v/>
      </c>
      <c r="H118" s="14"/>
      <c r="I118" s="14"/>
      <c r="J118" s="24"/>
      <c r="K118" s="24"/>
      <c r="L118" s="24"/>
      <c r="M118" s="24"/>
      <c r="N118" s="16" t="str">
        <f t="shared" si="12"/>
        <v/>
      </c>
      <c r="O118" s="16" t="str">
        <f t="shared" si="15"/>
        <v/>
      </c>
      <c r="P118" s="16" t="str">
        <f t="shared" si="16"/>
        <v/>
      </c>
      <c r="Q118" s="16" t="str">
        <f t="shared" si="17"/>
        <v/>
      </c>
      <c r="R118" s="16">
        <f t="shared" si="13"/>
        <v>0</v>
      </c>
      <c r="S118" s="16" t="str">
        <f>IF(OR($B118="",NOT(ISNUMBER($F118))),"",SUMIFS(community_cores_FS!$P$5:$P$597,community_cores_FS!$B$5:$B$597,$B118,community_cores_FS!$F$5:$F$597,"&lt;="&amp;$F118))</f>
        <v/>
      </c>
      <c r="T118" s="16" t="str">
        <f>IF(AND($A118="",$B118="",$E118=""),"",IF(AND($B118&lt;&gt;"",COUNTIF('2. Core Log'!$A$5:$A$124,$B118)=0),"Core ID not in Core Log. ","")&amp;IF(AND($A118&lt;&gt;"",COUNTIF('1. Plot &amp; Site Log'!$A$5:$A$64,$A118)=0),"Plot ID not in Plot &amp; Site Log. ","")&amp;IF(AND(ISNUMBER($E118),ISNUMBER($F118),$F118&lt;=$E118),"Bottom depth is not below top depth. ","")&amp;IF($I118="","Say which bulk-density basis the lab reported. ","")&amp;IF(AND(ISNUMBER($J118),OR($J118&lt;QC_BD_MIN,$J118&gt;QC_BD_MAX)),"Bulk density outside "&amp;QC_BD_MIN&amp;"–"&amp;QC_BD_MAX&amp;" g/cm³ for peat. Above the top of that range usually means the mineral contact has been passed. ","")&amp;IF(AND(ISNUMBER($N118),$N118&gt;QC_CARBON_PCT_MAX),"Carbon above "&amp;QC_CARBON_PCT_MAX&amp;"% — check units; this may be organic matter rather than carbon. ","")&amp;IF(AND($L118&lt;&gt;"",$M118&lt;&gt;""),"Both LOI and measured carbon given — the measured value is used. ","")&amp;IF(AND($M118="",$L118&lt;&gt;"",OM_FACTOR_IS_LOCAL&lt;&gt;"Yes"),"Carbon derived from LOI using the default factor of "&amp;CARBON_FRACTION_OM&amp;", which has not been calibrated locally. See R1. Reference. ","")&amp;IF(AND(ISNUMBER($O118),$O118=0,ISNUMBER($E118)),"Section lies entirely below the reference depth — it counts to the full-profile stock only. ",""))</f>
        <v/>
      </c>
      <c r="U118" s="14"/>
    </row>
    <row r="119" spans="1:21" ht="15.75" customHeight="1">
      <c r="A119" s="14"/>
      <c r="B119" s="14"/>
      <c r="C119" s="14"/>
      <c r="D119" s="14"/>
      <c r="E119" s="14"/>
      <c r="F119" s="14"/>
      <c r="G119" s="14" t="str">
        <f t="shared" si="14"/>
        <v/>
      </c>
      <c r="H119" s="14"/>
      <c r="I119" s="14"/>
      <c r="J119" s="24"/>
      <c r="K119" s="24"/>
      <c r="L119" s="24"/>
      <c r="M119" s="24"/>
      <c r="N119" s="16" t="str">
        <f t="shared" si="12"/>
        <v/>
      </c>
      <c r="O119" s="16" t="str">
        <f t="shared" si="15"/>
        <v/>
      </c>
      <c r="P119" s="16" t="str">
        <f t="shared" si="16"/>
        <v/>
      </c>
      <c r="Q119" s="16" t="str">
        <f t="shared" si="17"/>
        <v/>
      </c>
      <c r="R119" s="16">
        <f t="shared" si="13"/>
        <v>0</v>
      </c>
      <c r="S119" s="16" t="str">
        <f>IF(OR($B119="",NOT(ISNUMBER($F119))),"",SUMIFS(community_cores_FS!$P$5:$P$597,community_cores_FS!$B$5:$B$597,$B119,community_cores_FS!$F$5:$F$597,"&lt;="&amp;$F119))</f>
        <v/>
      </c>
      <c r="T119" s="16" t="str">
        <f>IF(AND($A119="",$B119="",$E119=""),"",IF(AND($B119&lt;&gt;"",COUNTIF('2. Core Log'!$A$5:$A$124,$B119)=0),"Core ID not in Core Log. ","")&amp;IF(AND($A119&lt;&gt;"",COUNTIF('1. Plot &amp; Site Log'!$A$5:$A$64,$A119)=0),"Plot ID not in Plot &amp; Site Log. ","")&amp;IF(AND(ISNUMBER($E119),ISNUMBER($F119),$F119&lt;=$E119),"Bottom depth is not below top depth. ","")&amp;IF($I119="","Say which bulk-density basis the lab reported. ","")&amp;IF(AND(ISNUMBER($J119),OR($J119&lt;QC_BD_MIN,$J119&gt;QC_BD_MAX)),"Bulk density outside "&amp;QC_BD_MIN&amp;"–"&amp;QC_BD_MAX&amp;" g/cm³ for peat. Above the top of that range usually means the mineral contact has been passed. ","")&amp;IF(AND(ISNUMBER($N119),$N119&gt;QC_CARBON_PCT_MAX),"Carbon above "&amp;QC_CARBON_PCT_MAX&amp;"% — check units; this may be organic matter rather than carbon. ","")&amp;IF(AND($L119&lt;&gt;"",$M119&lt;&gt;""),"Both LOI and measured carbon given — the measured value is used. ","")&amp;IF(AND($M119="",$L119&lt;&gt;"",OM_FACTOR_IS_LOCAL&lt;&gt;"Yes"),"Carbon derived from LOI using the default factor of "&amp;CARBON_FRACTION_OM&amp;", which has not been calibrated locally. See R1. Reference. ","")&amp;IF(AND(ISNUMBER($O119),$O119=0,ISNUMBER($E119)),"Section lies entirely below the reference depth — it counts to the full-profile stock only. ",""))</f>
        <v/>
      </c>
      <c r="U119" s="14"/>
    </row>
    <row r="120" spans="1:21" ht="15.75" customHeight="1">
      <c r="A120" s="14"/>
      <c r="B120" s="14"/>
      <c r="C120" s="14"/>
      <c r="D120" s="14"/>
      <c r="E120" s="14"/>
      <c r="F120" s="14"/>
      <c r="G120" s="14" t="str">
        <f t="shared" si="14"/>
        <v/>
      </c>
      <c r="H120" s="14"/>
      <c r="I120" s="14"/>
      <c r="J120" s="24"/>
      <c r="K120" s="24"/>
      <c r="L120" s="24"/>
      <c r="M120" s="24"/>
      <c r="N120" s="16" t="str">
        <f t="shared" si="12"/>
        <v/>
      </c>
      <c r="O120" s="16" t="str">
        <f t="shared" si="15"/>
        <v/>
      </c>
      <c r="P120" s="16" t="str">
        <f t="shared" si="16"/>
        <v/>
      </c>
      <c r="Q120" s="16" t="str">
        <f t="shared" si="17"/>
        <v/>
      </c>
      <c r="R120" s="16">
        <f t="shared" si="13"/>
        <v>0</v>
      </c>
      <c r="S120" s="16" t="str">
        <f>IF(OR($B120="",NOT(ISNUMBER($F120))),"",SUMIFS(community_cores_FS!$P$5:$P$597,community_cores_FS!$B$5:$B$597,$B120,community_cores_FS!$F$5:$F$597,"&lt;="&amp;$F120))</f>
        <v/>
      </c>
      <c r="T120" s="16" t="str">
        <f>IF(AND($A120="",$B120="",$E120=""),"",IF(AND($B120&lt;&gt;"",COUNTIF('2. Core Log'!$A$5:$A$124,$B120)=0),"Core ID not in Core Log. ","")&amp;IF(AND($A120&lt;&gt;"",COUNTIF('1. Plot &amp; Site Log'!$A$5:$A$64,$A120)=0),"Plot ID not in Plot &amp; Site Log. ","")&amp;IF(AND(ISNUMBER($E120),ISNUMBER($F120),$F120&lt;=$E120),"Bottom depth is not below top depth. ","")&amp;IF($I120="","Say which bulk-density basis the lab reported. ","")&amp;IF(AND(ISNUMBER($J120),OR($J120&lt;QC_BD_MIN,$J120&gt;QC_BD_MAX)),"Bulk density outside "&amp;QC_BD_MIN&amp;"–"&amp;QC_BD_MAX&amp;" g/cm³ for peat. Above the top of that range usually means the mineral contact has been passed. ","")&amp;IF(AND(ISNUMBER($N120),$N120&gt;QC_CARBON_PCT_MAX),"Carbon above "&amp;QC_CARBON_PCT_MAX&amp;"% — check units; this may be organic matter rather than carbon. ","")&amp;IF(AND($L120&lt;&gt;"",$M120&lt;&gt;""),"Both LOI and measured carbon given — the measured value is used. ","")&amp;IF(AND($M120="",$L120&lt;&gt;"",OM_FACTOR_IS_LOCAL&lt;&gt;"Yes"),"Carbon derived from LOI using the default factor of "&amp;CARBON_FRACTION_OM&amp;", which has not been calibrated locally. See R1. Reference. ","")&amp;IF(AND(ISNUMBER($O120),$O120=0,ISNUMBER($E120)),"Section lies entirely below the reference depth — it counts to the full-profile stock only. ",""))</f>
        <v/>
      </c>
      <c r="U120" s="14"/>
    </row>
    <row r="121" spans="1:21" ht="15.75" customHeight="1">
      <c r="A121" s="14"/>
      <c r="B121" s="14"/>
      <c r="C121" s="14"/>
      <c r="D121" s="14"/>
      <c r="E121" s="14"/>
      <c r="F121" s="14"/>
      <c r="G121" s="14" t="str">
        <f t="shared" si="14"/>
        <v/>
      </c>
      <c r="H121" s="14"/>
      <c r="I121" s="14"/>
      <c r="J121" s="24"/>
      <c r="K121" s="24"/>
      <c r="L121" s="24"/>
      <c r="M121" s="24"/>
      <c r="N121" s="16" t="str">
        <f t="shared" si="12"/>
        <v/>
      </c>
      <c r="O121" s="16" t="str">
        <f t="shared" si="15"/>
        <v/>
      </c>
      <c r="P121" s="16" t="str">
        <f t="shared" si="16"/>
        <v/>
      </c>
      <c r="Q121" s="16" t="str">
        <f t="shared" si="17"/>
        <v/>
      </c>
      <c r="R121" s="16">
        <f t="shared" si="13"/>
        <v>0</v>
      </c>
      <c r="S121" s="16" t="str">
        <f>IF(OR($B121="",NOT(ISNUMBER($F121))),"",SUMIFS(community_cores_FS!$P$5:$P$597,community_cores_FS!$B$5:$B$597,$B121,community_cores_FS!$F$5:$F$597,"&lt;="&amp;$F121))</f>
        <v/>
      </c>
      <c r="T121" s="16" t="str">
        <f>IF(AND($A121="",$B121="",$E121=""),"",IF(AND($B121&lt;&gt;"",COUNTIF('2. Core Log'!$A$5:$A$124,$B121)=0),"Core ID not in Core Log. ","")&amp;IF(AND($A121&lt;&gt;"",COUNTIF('1. Plot &amp; Site Log'!$A$5:$A$64,$A121)=0),"Plot ID not in Plot &amp; Site Log. ","")&amp;IF(AND(ISNUMBER($E121),ISNUMBER($F121),$F121&lt;=$E121),"Bottom depth is not below top depth. ","")&amp;IF($I121="","Say which bulk-density basis the lab reported. ","")&amp;IF(AND(ISNUMBER($J121),OR($J121&lt;QC_BD_MIN,$J121&gt;QC_BD_MAX)),"Bulk density outside "&amp;QC_BD_MIN&amp;"–"&amp;QC_BD_MAX&amp;" g/cm³ for peat. Above the top of that range usually means the mineral contact has been passed. ","")&amp;IF(AND(ISNUMBER($N121),$N121&gt;QC_CARBON_PCT_MAX),"Carbon above "&amp;QC_CARBON_PCT_MAX&amp;"% — check units; this may be organic matter rather than carbon. ","")&amp;IF(AND($L121&lt;&gt;"",$M121&lt;&gt;""),"Both LOI and measured carbon given — the measured value is used. ","")&amp;IF(AND($M121="",$L121&lt;&gt;"",OM_FACTOR_IS_LOCAL&lt;&gt;"Yes"),"Carbon derived from LOI using the default factor of "&amp;CARBON_FRACTION_OM&amp;", which has not been calibrated locally. See R1. Reference. ","")&amp;IF(AND(ISNUMBER($O121),$O121=0,ISNUMBER($E121)),"Section lies entirely below the reference depth — it counts to the full-profile stock only. ",""))</f>
        <v/>
      </c>
      <c r="U121" s="14"/>
    </row>
    <row r="122" spans="1:21" ht="15.75" customHeight="1">
      <c r="A122" s="14"/>
      <c r="B122" s="14"/>
      <c r="C122" s="14"/>
      <c r="D122" s="14"/>
      <c r="E122" s="14"/>
      <c r="F122" s="14"/>
      <c r="G122" s="14" t="str">
        <f t="shared" si="14"/>
        <v/>
      </c>
      <c r="H122" s="14"/>
      <c r="I122" s="14"/>
      <c r="J122" s="24"/>
      <c r="K122" s="24"/>
      <c r="L122" s="24"/>
      <c r="M122" s="24"/>
      <c r="N122" s="16" t="str">
        <f t="shared" si="12"/>
        <v/>
      </c>
      <c r="O122" s="16" t="str">
        <f t="shared" si="15"/>
        <v/>
      </c>
      <c r="P122" s="16" t="str">
        <f t="shared" si="16"/>
        <v/>
      </c>
      <c r="Q122" s="16" t="str">
        <f t="shared" si="17"/>
        <v/>
      </c>
      <c r="R122" s="16">
        <f t="shared" si="13"/>
        <v>0</v>
      </c>
      <c r="S122" s="16" t="str">
        <f>IF(OR($B122="",NOT(ISNUMBER($F122))),"",SUMIFS(community_cores_FS!$P$5:$P$597,community_cores_FS!$B$5:$B$597,$B122,community_cores_FS!$F$5:$F$597,"&lt;="&amp;$F122))</f>
        <v/>
      </c>
      <c r="T122" s="16" t="str">
        <f>IF(AND($A122="",$B122="",$E122=""),"",IF(AND($B122&lt;&gt;"",COUNTIF('2. Core Log'!$A$5:$A$124,$B122)=0),"Core ID not in Core Log. ","")&amp;IF(AND($A122&lt;&gt;"",COUNTIF('1. Plot &amp; Site Log'!$A$5:$A$64,$A122)=0),"Plot ID not in Plot &amp; Site Log. ","")&amp;IF(AND(ISNUMBER($E122),ISNUMBER($F122),$F122&lt;=$E122),"Bottom depth is not below top depth. ","")&amp;IF($I122="","Say which bulk-density basis the lab reported. ","")&amp;IF(AND(ISNUMBER($J122),OR($J122&lt;QC_BD_MIN,$J122&gt;QC_BD_MAX)),"Bulk density outside "&amp;QC_BD_MIN&amp;"–"&amp;QC_BD_MAX&amp;" g/cm³ for peat. Above the top of that range usually means the mineral contact has been passed. ","")&amp;IF(AND(ISNUMBER($N122),$N122&gt;QC_CARBON_PCT_MAX),"Carbon above "&amp;QC_CARBON_PCT_MAX&amp;"% — check units; this may be organic matter rather than carbon. ","")&amp;IF(AND($L122&lt;&gt;"",$M122&lt;&gt;""),"Both LOI and measured carbon given — the measured value is used. ","")&amp;IF(AND($M122="",$L122&lt;&gt;"",OM_FACTOR_IS_LOCAL&lt;&gt;"Yes"),"Carbon derived from LOI using the default factor of "&amp;CARBON_FRACTION_OM&amp;", which has not been calibrated locally. See R1. Reference. ","")&amp;IF(AND(ISNUMBER($O122),$O122=0,ISNUMBER($E122)),"Section lies entirely below the reference depth — it counts to the full-profile stock only. ",""))</f>
        <v/>
      </c>
      <c r="U122" s="14"/>
    </row>
    <row r="123" spans="1:21" ht="15.75" customHeight="1">
      <c r="A123" s="14"/>
      <c r="B123" s="14"/>
      <c r="C123" s="14"/>
      <c r="D123" s="14"/>
      <c r="E123" s="14"/>
      <c r="F123" s="14"/>
      <c r="G123" s="14" t="str">
        <f t="shared" si="14"/>
        <v/>
      </c>
      <c r="H123" s="14"/>
      <c r="I123" s="14"/>
      <c r="J123" s="24"/>
      <c r="K123" s="24"/>
      <c r="L123" s="24"/>
      <c r="M123" s="24"/>
      <c r="N123" s="16" t="str">
        <f t="shared" si="12"/>
        <v/>
      </c>
      <c r="O123" s="16" t="str">
        <f t="shared" si="15"/>
        <v/>
      </c>
      <c r="P123" s="16" t="str">
        <f t="shared" si="16"/>
        <v/>
      </c>
      <c r="Q123" s="16" t="str">
        <f t="shared" si="17"/>
        <v/>
      </c>
      <c r="R123" s="16">
        <f t="shared" si="13"/>
        <v>0</v>
      </c>
      <c r="S123" s="16" t="str">
        <f>IF(OR($B123="",NOT(ISNUMBER($F123))),"",SUMIFS(community_cores_FS!$P$5:$P$597,community_cores_FS!$B$5:$B$597,$B123,community_cores_FS!$F$5:$F$597,"&lt;="&amp;$F123))</f>
        <v/>
      </c>
      <c r="T123" s="16" t="str">
        <f>IF(AND($A123="",$B123="",$E123=""),"",IF(AND($B123&lt;&gt;"",COUNTIF('2. Core Log'!$A$5:$A$124,$B123)=0),"Core ID not in Core Log. ","")&amp;IF(AND($A123&lt;&gt;"",COUNTIF('1. Plot &amp; Site Log'!$A$5:$A$64,$A123)=0),"Plot ID not in Plot &amp; Site Log. ","")&amp;IF(AND(ISNUMBER($E123),ISNUMBER($F123),$F123&lt;=$E123),"Bottom depth is not below top depth. ","")&amp;IF($I123="","Say which bulk-density basis the lab reported. ","")&amp;IF(AND(ISNUMBER($J123),OR($J123&lt;QC_BD_MIN,$J123&gt;QC_BD_MAX)),"Bulk density outside "&amp;QC_BD_MIN&amp;"–"&amp;QC_BD_MAX&amp;" g/cm³ for peat. Above the top of that range usually means the mineral contact has been passed. ","")&amp;IF(AND(ISNUMBER($N123),$N123&gt;QC_CARBON_PCT_MAX),"Carbon above "&amp;QC_CARBON_PCT_MAX&amp;"% — check units; this may be organic matter rather than carbon. ","")&amp;IF(AND($L123&lt;&gt;"",$M123&lt;&gt;""),"Both LOI and measured carbon given — the measured value is used. ","")&amp;IF(AND($M123="",$L123&lt;&gt;"",OM_FACTOR_IS_LOCAL&lt;&gt;"Yes"),"Carbon derived from LOI using the default factor of "&amp;CARBON_FRACTION_OM&amp;", which has not been calibrated locally. See R1. Reference. ","")&amp;IF(AND(ISNUMBER($O123),$O123=0,ISNUMBER($E123)),"Section lies entirely below the reference depth — it counts to the full-profile stock only. ",""))</f>
        <v/>
      </c>
      <c r="U123" s="14"/>
    </row>
    <row r="124" spans="1:21" ht="15.75" customHeight="1">
      <c r="A124" s="14"/>
      <c r="B124" s="14"/>
      <c r="C124" s="14"/>
      <c r="D124" s="14"/>
      <c r="E124" s="14"/>
      <c r="F124" s="14"/>
      <c r="G124" s="14" t="str">
        <f t="shared" si="14"/>
        <v/>
      </c>
      <c r="H124" s="14"/>
      <c r="I124" s="14"/>
      <c r="J124" s="24"/>
      <c r="K124" s="24"/>
      <c r="L124" s="24"/>
      <c r="M124" s="24"/>
      <c r="N124" s="16" t="str">
        <f t="shared" si="12"/>
        <v/>
      </c>
      <c r="O124" s="16" t="str">
        <f t="shared" si="15"/>
        <v/>
      </c>
      <c r="P124" s="16" t="str">
        <f t="shared" si="16"/>
        <v/>
      </c>
      <c r="Q124" s="16" t="str">
        <f t="shared" si="17"/>
        <v/>
      </c>
      <c r="R124" s="16">
        <f t="shared" si="13"/>
        <v>0</v>
      </c>
      <c r="S124" s="16" t="str">
        <f>IF(OR($B124="",NOT(ISNUMBER($F124))),"",SUMIFS(community_cores_FS!$P$5:$P$597,community_cores_FS!$B$5:$B$597,$B124,community_cores_FS!$F$5:$F$597,"&lt;="&amp;$F124))</f>
        <v/>
      </c>
      <c r="T124" s="16" t="str">
        <f>IF(AND($A124="",$B124="",$E124=""),"",IF(AND($B124&lt;&gt;"",COUNTIF('2. Core Log'!$A$5:$A$124,$B124)=0),"Core ID not in Core Log. ","")&amp;IF(AND($A124&lt;&gt;"",COUNTIF('1. Plot &amp; Site Log'!$A$5:$A$64,$A124)=0),"Plot ID not in Plot &amp; Site Log. ","")&amp;IF(AND(ISNUMBER($E124),ISNUMBER($F124),$F124&lt;=$E124),"Bottom depth is not below top depth. ","")&amp;IF($I124="","Say which bulk-density basis the lab reported. ","")&amp;IF(AND(ISNUMBER($J124),OR($J124&lt;QC_BD_MIN,$J124&gt;QC_BD_MAX)),"Bulk density outside "&amp;QC_BD_MIN&amp;"–"&amp;QC_BD_MAX&amp;" g/cm³ for peat. Above the top of that range usually means the mineral contact has been passed. ","")&amp;IF(AND(ISNUMBER($N124),$N124&gt;QC_CARBON_PCT_MAX),"Carbon above "&amp;QC_CARBON_PCT_MAX&amp;"% — check units; this may be organic matter rather than carbon. ","")&amp;IF(AND($L124&lt;&gt;"",$M124&lt;&gt;""),"Both LOI and measured carbon given — the measured value is used. ","")&amp;IF(AND($M124="",$L124&lt;&gt;"",OM_FACTOR_IS_LOCAL&lt;&gt;"Yes"),"Carbon derived from LOI using the default factor of "&amp;CARBON_FRACTION_OM&amp;", which has not been calibrated locally. See R1. Reference. ","")&amp;IF(AND(ISNUMBER($O124),$O124=0,ISNUMBER($E124)),"Section lies entirely below the reference depth — it counts to the full-profile stock only. ",""))</f>
        <v/>
      </c>
      <c r="U124" s="14"/>
    </row>
    <row r="125" spans="1:21" ht="15.75" customHeight="1">
      <c r="A125" s="14"/>
      <c r="B125" s="14"/>
      <c r="C125" s="14"/>
      <c r="D125" s="14"/>
      <c r="E125" s="14"/>
      <c r="F125" s="14"/>
      <c r="G125" s="14" t="str">
        <f t="shared" si="14"/>
        <v/>
      </c>
      <c r="H125" s="14"/>
      <c r="I125" s="14"/>
      <c r="J125" s="24"/>
      <c r="K125" s="24"/>
      <c r="L125" s="24"/>
      <c r="M125" s="24"/>
      <c r="N125" s="16" t="str">
        <f t="shared" si="12"/>
        <v/>
      </c>
      <c r="O125" s="16" t="str">
        <f t="shared" si="15"/>
        <v/>
      </c>
      <c r="P125" s="16" t="str">
        <f t="shared" si="16"/>
        <v/>
      </c>
      <c r="Q125" s="16" t="str">
        <f t="shared" si="17"/>
        <v/>
      </c>
      <c r="R125" s="16">
        <f t="shared" si="13"/>
        <v>0</v>
      </c>
      <c r="S125" s="16" t="str">
        <f>IF(OR($B125="",NOT(ISNUMBER($F125))),"",SUMIFS(community_cores_FS!$P$5:$P$597,community_cores_FS!$B$5:$B$597,$B125,community_cores_FS!$F$5:$F$597,"&lt;="&amp;$F125))</f>
        <v/>
      </c>
      <c r="T125" s="16" t="str">
        <f>IF(AND($A125="",$B125="",$E125=""),"",IF(AND($B125&lt;&gt;"",COUNTIF('2. Core Log'!$A$5:$A$124,$B125)=0),"Core ID not in Core Log. ","")&amp;IF(AND($A125&lt;&gt;"",COUNTIF('1. Plot &amp; Site Log'!$A$5:$A$64,$A125)=0),"Plot ID not in Plot &amp; Site Log. ","")&amp;IF(AND(ISNUMBER($E125),ISNUMBER($F125),$F125&lt;=$E125),"Bottom depth is not below top depth. ","")&amp;IF($I125="","Say which bulk-density basis the lab reported. ","")&amp;IF(AND(ISNUMBER($J125),OR($J125&lt;QC_BD_MIN,$J125&gt;QC_BD_MAX)),"Bulk density outside "&amp;QC_BD_MIN&amp;"–"&amp;QC_BD_MAX&amp;" g/cm³ for peat. Above the top of that range usually means the mineral contact has been passed. ","")&amp;IF(AND(ISNUMBER($N125),$N125&gt;QC_CARBON_PCT_MAX),"Carbon above "&amp;QC_CARBON_PCT_MAX&amp;"% — check units; this may be organic matter rather than carbon. ","")&amp;IF(AND($L125&lt;&gt;"",$M125&lt;&gt;""),"Both LOI and measured carbon given — the measured value is used. ","")&amp;IF(AND($M125="",$L125&lt;&gt;"",OM_FACTOR_IS_LOCAL&lt;&gt;"Yes"),"Carbon derived from LOI using the default factor of "&amp;CARBON_FRACTION_OM&amp;", which has not been calibrated locally. See R1. Reference. ","")&amp;IF(AND(ISNUMBER($O125),$O125=0,ISNUMBER($E125)),"Section lies entirely below the reference depth — it counts to the full-profile stock only. ",""))</f>
        <v/>
      </c>
      <c r="U125" s="14"/>
    </row>
    <row r="126" spans="1:21" ht="15.75" customHeight="1">
      <c r="A126" s="14"/>
      <c r="B126" s="14"/>
      <c r="C126" s="14"/>
      <c r="D126" s="14"/>
      <c r="E126" s="14"/>
      <c r="F126" s="14"/>
      <c r="G126" s="14" t="str">
        <f t="shared" si="14"/>
        <v/>
      </c>
      <c r="H126" s="14"/>
      <c r="I126" s="14"/>
      <c r="J126" s="24"/>
      <c r="K126" s="24"/>
      <c r="L126" s="24"/>
      <c r="M126" s="24"/>
      <c r="N126" s="16" t="str">
        <f t="shared" ref="N126:N189" si="18">IF($M126&lt;&gt;"",$M126,IF($L126&lt;&gt;"",$L126*CARBON_FRACTION_OM,""))</f>
        <v/>
      </c>
      <c r="O126" s="16" t="str">
        <f t="shared" si="15"/>
        <v/>
      </c>
      <c r="P126" s="16" t="str">
        <f t="shared" si="16"/>
        <v/>
      </c>
      <c r="Q126" s="16" t="str">
        <f t="shared" si="17"/>
        <v/>
      </c>
      <c r="R126" s="16">
        <f t="shared" ref="R126:R189" si="19">IF(OR(NOT(ISNUMBER($P126)),NOT(ISNUMBER($G126)),$G126=0),0,$P126/$G126)</f>
        <v>0</v>
      </c>
      <c r="S126" s="16" t="str">
        <f>IF(OR($B126="",NOT(ISNUMBER($F126))),"",SUMIFS(community_cores_FS!$P$5:$P$597,community_cores_FS!$B$5:$B$597,$B126,community_cores_FS!$F$5:$F$597,"&lt;="&amp;$F126))</f>
        <v/>
      </c>
      <c r="T126" s="16" t="str">
        <f>IF(AND($A126="",$B126="",$E126=""),"",IF(AND($B126&lt;&gt;"",COUNTIF('2. Core Log'!$A$5:$A$124,$B126)=0),"Core ID not in Core Log. ","")&amp;IF(AND($A126&lt;&gt;"",COUNTIF('1. Plot &amp; Site Log'!$A$5:$A$64,$A126)=0),"Plot ID not in Plot &amp; Site Log. ","")&amp;IF(AND(ISNUMBER($E126),ISNUMBER($F126),$F126&lt;=$E126),"Bottom depth is not below top depth. ","")&amp;IF($I126="","Say which bulk-density basis the lab reported. ","")&amp;IF(AND(ISNUMBER($J126),OR($J126&lt;QC_BD_MIN,$J126&gt;QC_BD_MAX)),"Bulk density outside "&amp;QC_BD_MIN&amp;"–"&amp;QC_BD_MAX&amp;" g/cm³ for peat. Above the top of that range usually means the mineral contact has been passed. ","")&amp;IF(AND(ISNUMBER($N126),$N126&gt;QC_CARBON_PCT_MAX),"Carbon above "&amp;QC_CARBON_PCT_MAX&amp;"% — check units; this may be organic matter rather than carbon. ","")&amp;IF(AND($L126&lt;&gt;"",$M126&lt;&gt;""),"Both LOI and measured carbon given — the measured value is used. ","")&amp;IF(AND($M126="",$L126&lt;&gt;"",OM_FACTOR_IS_LOCAL&lt;&gt;"Yes"),"Carbon derived from LOI using the default factor of "&amp;CARBON_FRACTION_OM&amp;", which has not been calibrated locally. See R1. Reference. ","")&amp;IF(AND(ISNUMBER($O126),$O126=0,ISNUMBER($E126)),"Section lies entirely below the reference depth — it counts to the full-profile stock only. ",""))</f>
        <v/>
      </c>
      <c r="U126" s="14"/>
    </row>
    <row r="127" spans="1:21" ht="15.75" customHeight="1">
      <c r="A127" s="14"/>
      <c r="B127" s="14"/>
      <c r="C127" s="14"/>
      <c r="D127" s="14"/>
      <c r="E127" s="14"/>
      <c r="F127" s="14"/>
      <c r="G127" s="14" t="str">
        <f t="shared" si="14"/>
        <v/>
      </c>
      <c r="H127" s="14"/>
      <c r="I127" s="14"/>
      <c r="J127" s="24"/>
      <c r="K127" s="24"/>
      <c r="L127" s="24"/>
      <c r="M127" s="24"/>
      <c r="N127" s="16" t="str">
        <f t="shared" si="18"/>
        <v/>
      </c>
      <c r="O127" s="16" t="str">
        <f t="shared" si="15"/>
        <v/>
      </c>
      <c r="P127" s="16" t="str">
        <f t="shared" si="16"/>
        <v/>
      </c>
      <c r="Q127" s="16" t="str">
        <f t="shared" si="17"/>
        <v/>
      </c>
      <c r="R127" s="16">
        <f t="shared" si="19"/>
        <v>0</v>
      </c>
      <c r="S127" s="16" t="str">
        <f>IF(OR($B127="",NOT(ISNUMBER($F127))),"",SUMIFS(community_cores_FS!$P$5:$P$597,community_cores_FS!$B$5:$B$597,$B127,community_cores_FS!$F$5:$F$597,"&lt;="&amp;$F127))</f>
        <v/>
      </c>
      <c r="T127" s="16" t="str">
        <f>IF(AND($A127="",$B127="",$E127=""),"",IF(AND($B127&lt;&gt;"",COUNTIF('2. Core Log'!$A$5:$A$124,$B127)=0),"Core ID not in Core Log. ","")&amp;IF(AND($A127&lt;&gt;"",COUNTIF('1. Plot &amp; Site Log'!$A$5:$A$64,$A127)=0),"Plot ID not in Plot &amp; Site Log. ","")&amp;IF(AND(ISNUMBER($E127),ISNUMBER($F127),$F127&lt;=$E127),"Bottom depth is not below top depth. ","")&amp;IF($I127="","Say which bulk-density basis the lab reported. ","")&amp;IF(AND(ISNUMBER($J127),OR($J127&lt;QC_BD_MIN,$J127&gt;QC_BD_MAX)),"Bulk density outside "&amp;QC_BD_MIN&amp;"–"&amp;QC_BD_MAX&amp;" g/cm³ for peat. Above the top of that range usually means the mineral contact has been passed. ","")&amp;IF(AND(ISNUMBER($N127),$N127&gt;QC_CARBON_PCT_MAX),"Carbon above "&amp;QC_CARBON_PCT_MAX&amp;"% — check units; this may be organic matter rather than carbon. ","")&amp;IF(AND($L127&lt;&gt;"",$M127&lt;&gt;""),"Both LOI and measured carbon given — the measured value is used. ","")&amp;IF(AND($M127="",$L127&lt;&gt;"",OM_FACTOR_IS_LOCAL&lt;&gt;"Yes"),"Carbon derived from LOI using the default factor of "&amp;CARBON_FRACTION_OM&amp;", which has not been calibrated locally. See R1. Reference. ","")&amp;IF(AND(ISNUMBER($O127),$O127=0,ISNUMBER($E127)),"Section lies entirely below the reference depth — it counts to the full-profile stock only. ",""))</f>
        <v/>
      </c>
      <c r="U127" s="14"/>
    </row>
    <row r="128" spans="1:21" ht="15.75" customHeight="1">
      <c r="A128" s="14"/>
      <c r="B128" s="14"/>
      <c r="C128" s="14"/>
      <c r="D128" s="14"/>
      <c r="E128" s="14"/>
      <c r="F128" s="14"/>
      <c r="G128" s="14" t="str">
        <f t="shared" si="14"/>
        <v/>
      </c>
      <c r="H128" s="14"/>
      <c r="I128" s="14"/>
      <c r="J128" s="24"/>
      <c r="K128" s="24"/>
      <c r="L128" s="24"/>
      <c r="M128" s="24"/>
      <c r="N128" s="16" t="str">
        <f t="shared" si="18"/>
        <v/>
      </c>
      <c r="O128" s="16" t="str">
        <f t="shared" si="15"/>
        <v/>
      </c>
      <c r="P128" s="16" t="str">
        <f t="shared" si="16"/>
        <v/>
      </c>
      <c r="Q128" s="16" t="str">
        <f t="shared" si="17"/>
        <v/>
      </c>
      <c r="R128" s="16">
        <f t="shared" si="19"/>
        <v>0</v>
      </c>
      <c r="S128" s="16" t="str">
        <f>IF(OR($B128="",NOT(ISNUMBER($F128))),"",SUMIFS(community_cores_FS!$P$5:$P$597,community_cores_FS!$B$5:$B$597,$B128,community_cores_FS!$F$5:$F$597,"&lt;="&amp;$F128))</f>
        <v/>
      </c>
      <c r="T128" s="16" t="str">
        <f>IF(AND($A128="",$B128="",$E128=""),"",IF(AND($B128&lt;&gt;"",COUNTIF('2. Core Log'!$A$5:$A$124,$B128)=0),"Core ID not in Core Log. ","")&amp;IF(AND($A128&lt;&gt;"",COUNTIF('1. Plot &amp; Site Log'!$A$5:$A$64,$A128)=0),"Plot ID not in Plot &amp; Site Log. ","")&amp;IF(AND(ISNUMBER($E128),ISNUMBER($F128),$F128&lt;=$E128),"Bottom depth is not below top depth. ","")&amp;IF($I128="","Say which bulk-density basis the lab reported. ","")&amp;IF(AND(ISNUMBER($J128),OR($J128&lt;QC_BD_MIN,$J128&gt;QC_BD_MAX)),"Bulk density outside "&amp;QC_BD_MIN&amp;"–"&amp;QC_BD_MAX&amp;" g/cm³ for peat. Above the top of that range usually means the mineral contact has been passed. ","")&amp;IF(AND(ISNUMBER($N128),$N128&gt;QC_CARBON_PCT_MAX),"Carbon above "&amp;QC_CARBON_PCT_MAX&amp;"% — check units; this may be organic matter rather than carbon. ","")&amp;IF(AND($L128&lt;&gt;"",$M128&lt;&gt;""),"Both LOI and measured carbon given — the measured value is used. ","")&amp;IF(AND($M128="",$L128&lt;&gt;"",OM_FACTOR_IS_LOCAL&lt;&gt;"Yes"),"Carbon derived from LOI using the default factor of "&amp;CARBON_FRACTION_OM&amp;", which has not been calibrated locally. See R1. Reference. ","")&amp;IF(AND(ISNUMBER($O128),$O128=0,ISNUMBER($E128)),"Section lies entirely below the reference depth — it counts to the full-profile stock only. ",""))</f>
        <v/>
      </c>
      <c r="U128" s="14"/>
    </row>
    <row r="129" spans="1:21" ht="15.75" customHeight="1">
      <c r="A129" s="14"/>
      <c r="B129" s="14"/>
      <c r="C129" s="14"/>
      <c r="D129" s="14"/>
      <c r="E129" s="14"/>
      <c r="F129" s="14"/>
      <c r="G129" s="14" t="str">
        <f t="shared" si="14"/>
        <v/>
      </c>
      <c r="H129" s="14"/>
      <c r="I129" s="14"/>
      <c r="J129" s="24"/>
      <c r="K129" s="24"/>
      <c r="L129" s="24"/>
      <c r="M129" s="24"/>
      <c r="N129" s="16" t="str">
        <f t="shared" si="18"/>
        <v/>
      </c>
      <c r="O129" s="16" t="str">
        <f t="shared" si="15"/>
        <v/>
      </c>
      <c r="P129" s="16" t="str">
        <f t="shared" si="16"/>
        <v/>
      </c>
      <c r="Q129" s="16" t="str">
        <f t="shared" si="17"/>
        <v/>
      </c>
      <c r="R129" s="16">
        <f t="shared" si="19"/>
        <v>0</v>
      </c>
      <c r="S129" s="16" t="str">
        <f>IF(OR($B129="",NOT(ISNUMBER($F129))),"",SUMIFS(community_cores_FS!$P$5:$P$597,community_cores_FS!$B$5:$B$597,$B129,community_cores_FS!$F$5:$F$597,"&lt;="&amp;$F129))</f>
        <v/>
      </c>
      <c r="T129" s="16" t="str">
        <f>IF(AND($A129="",$B129="",$E129=""),"",IF(AND($B129&lt;&gt;"",COUNTIF('2. Core Log'!$A$5:$A$124,$B129)=0),"Core ID not in Core Log. ","")&amp;IF(AND($A129&lt;&gt;"",COUNTIF('1. Plot &amp; Site Log'!$A$5:$A$64,$A129)=0),"Plot ID not in Plot &amp; Site Log. ","")&amp;IF(AND(ISNUMBER($E129),ISNUMBER($F129),$F129&lt;=$E129),"Bottom depth is not below top depth. ","")&amp;IF($I129="","Say which bulk-density basis the lab reported. ","")&amp;IF(AND(ISNUMBER($J129),OR($J129&lt;QC_BD_MIN,$J129&gt;QC_BD_MAX)),"Bulk density outside "&amp;QC_BD_MIN&amp;"–"&amp;QC_BD_MAX&amp;" g/cm³ for peat. Above the top of that range usually means the mineral contact has been passed. ","")&amp;IF(AND(ISNUMBER($N129),$N129&gt;QC_CARBON_PCT_MAX),"Carbon above "&amp;QC_CARBON_PCT_MAX&amp;"% — check units; this may be organic matter rather than carbon. ","")&amp;IF(AND($L129&lt;&gt;"",$M129&lt;&gt;""),"Both LOI and measured carbon given — the measured value is used. ","")&amp;IF(AND($M129="",$L129&lt;&gt;"",OM_FACTOR_IS_LOCAL&lt;&gt;"Yes"),"Carbon derived from LOI using the default factor of "&amp;CARBON_FRACTION_OM&amp;", which has not been calibrated locally. See R1. Reference. ","")&amp;IF(AND(ISNUMBER($O129),$O129=0,ISNUMBER($E129)),"Section lies entirely below the reference depth — it counts to the full-profile stock only. ",""))</f>
        <v/>
      </c>
      <c r="U129" s="14"/>
    </row>
    <row r="130" spans="1:21" ht="15.75" customHeight="1">
      <c r="A130" s="14"/>
      <c r="B130" s="14"/>
      <c r="C130" s="14"/>
      <c r="D130" s="14"/>
      <c r="E130" s="14"/>
      <c r="F130" s="14"/>
      <c r="G130" s="14" t="str">
        <f t="shared" si="14"/>
        <v/>
      </c>
      <c r="H130" s="14"/>
      <c r="I130" s="14"/>
      <c r="J130" s="24"/>
      <c r="K130" s="24"/>
      <c r="L130" s="24"/>
      <c r="M130" s="24"/>
      <c r="N130" s="16" t="str">
        <f t="shared" si="18"/>
        <v/>
      </c>
      <c r="O130" s="16" t="str">
        <f t="shared" si="15"/>
        <v/>
      </c>
      <c r="P130" s="16" t="str">
        <f t="shared" si="16"/>
        <v/>
      </c>
      <c r="Q130" s="16" t="str">
        <f t="shared" si="17"/>
        <v/>
      </c>
      <c r="R130" s="16">
        <f t="shared" si="19"/>
        <v>0</v>
      </c>
      <c r="S130" s="16" t="str">
        <f>IF(OR($B130="",NOT(ISNUMBER($F130))),"",SUMIFS(community_cores_FS!$P$5:$P$597,community_cores_FS!$B$5:$B$597,$B130,community_cores_FS!$F$5:$F$597,"&lt;="&amp;$F130))</f>
        <v/>
      </c>
      <c r="T130" s="16" t="str">
        <f>IF(AND($A130="",$B130="",$E130=""),"",IF(AND($B130&lt;&gt;"",COUNTIF('2. Core Log'!$A$5:$A$124,$B130)=0),"Core ID not in Core Log. ","")&amp;IF(AND($A130&lt;&gt;"",COUNTIF('1. Plot &amp; Site Log'!$A$5:$A$64,$A130)=0),"Plot ID not in Plot &amp; Site Log. ","")&amp;IF(AND(ISNUMBER($E130),ISNUMBER($F130),$F130&lt;=$E130),"Bottom depth is not below top depth. ","")&amp;IF($I130="","Say which bulk-density basis the lab reported. ","")&amp;IF(AND(ISNUMBER($J130),OR($J130&lt;QC_BD_MIN,$J130&gt;QC_BD_MAX)),"Bulk density outside "&amp;QC_BD_MIN&amp;"–"&amp;QC_BD_MAX&amp;" g/cm³ for peat. Above the top of that range usually means the mineral contact has been passed. ","")&amp;IF(AND(ISNUMBER($N130),$N130&gt;QC_CARBON_PCT_MAX),"Carbon above "&amp;QC_CARBON_PCT_MAX&amp;"% — check units; this may be organic matter rather than carbon. ","")&amp;IF(AND($L130&lt;&gt;"",$M130&lt;&gt;""),"Both LOI and measured carbon given — the measured value is used. ","")&amp;IF(AND($M130="",$L130&lt;&gt;"",OM_FACTOR_IS_LOCAL&lt;&gt;"Yes"),"Carbon derived from LOI using the default factor of "&amp;CARBON_FRACTION_OM&amp;", which has not been calibrated locally. See R1. Reference. ","")&amp;IF(AND(ISNUMBER($O130),$O130=0,ISNUMBER($E130)),"Section lies entirely below the reference depth — it counts to the full-profile stock only. ",""))</f>
        <v/>
      </c>
      <c r="U130" s="14"/>
    </row>
    <row r="131" spans="1:21" ht="15.75" customHeight="1">
      <c r="A131" s="14"/>
      <c r="B131" s="14"/>
      <c r="C131" s="14"/>
      <c r="D131" s="14"/>
      <c r="E131" s="14"/>
      <c r="F131" s="14"/>
      <c r="G131" s="14" t="str">
        <f t="shared" si="14"/>
        <v/>
      </c>
      <c r="H131" s="14"/>
      <c r="I131" s="14"/>
      <c r="J131" s="24"/>
      <c r="K131" s="24"/>
      <c r="L131" s="24"/>
      <c r="M131" s="24"/>
      <c r="N131" s="16" t="str">
        <f t="shared" si="18"/>
        <v/>
      </c>
      <c r="O131" s="16" t="str">
        <f t="shared" si="15"/>
        <v/>
      </c>
      <c r="P131" s="16" t="str">
        <f t="shared" si="16"/>
        <v/>
      </c>
      <c r="Q131" s="16" t="str">
        <f t="shared" si="17"/>
        <v/>
      </c>
      <c r="R131" s="16">
        <f t="shared" si="19"/>
        <v>0</v>
      </c>
      <c r="S131" s="16" t="str">
        <f>IF(OR($B131="",NOT(ISNUMBER($F131))),"",SUMIFS(community_cores_FS!$P$5:$P$597,community_cores_FS!$B$5:$B$597,$B131,community_cores_FS!$F$5:$F$597,"&lt;="&amp;$F131))</f>
        <v/>
      </c>
      <c r="T131" s="16" t="str">
        <f>IF(AND($A131="",$B131="",$E131=""),"",IF(AND($B131&lt;&gt;"",COUNTIF('2. Core Log'!$A$5:$A$124,$B131)=0),"Core ID not in Core Log. ","")&amp;IF(AND($A131&lt;&gt;"",COUNTIF('1. Plot &amp; Site Log'!$A$5:$A$64,$A131)=0),"Plot ID not in Plot &amp; Site Log. ","")&amp;IF(AND(ISNUMBER($E131),ISNUMBER($F131),$F131&lt;=$E131),"Bottom depth is not below top depth. ","")&amp;IF($I131="","Say which bulk-density basis the lab reported. ","")&amp;IF(AND(ISNUMBER($J131),OR($J131&lt;QC_BD_MIN,$J131&gt;QC_BD_MAX)),"Bulk density outside "&amp;QC_BD_MIN&amp;"–"&amp;QC_BD_MAX&amp;" g/cm³ for peat. Above the top of that range usually means the mineral contact has been passed. ","")&amp;IF(AND(ISNUMBER($N131),$N131&gt;QC_CARBON_PCT_MAX),"Carbon above "&amp;QC_CARBON_PCT_MAX&amp;"% — check units; this may be organic matter rather than carbon. ","")&amp;IF(AND($L131&lt;&gt;"",$M131&lt;&gt;""),"Both LOI and measured carbon given — the measured value is used. ","")&amp;IF(AND($M131="",$L131&lt;&gt;"",OM_FACTOR_IS_LOCAL&lt;&gt;"Yes"),"Carbon derived from LOI using the default factor of "&amp;CARBON_FRACTION_OM&amp;", which has not been calibrated locally. See R1. Reference. ","")&amp;IF(AND(ISNUMBER($O131),$O131=0,ISNUMBER($E131)),"Section lies entirely below the reference depth — it counts to the full-profile stock only. ",""))</f>
        <v/>
      </c>
      <c r="U131" s="14"/>
    </row>
    <row r="132" spans="1:21" ht="15.75" customHeight="1">
      <c r="A132" s="14"/>
      <c r="B132" s="14"/>
      <c r="C132" s="14"/>
      <c r="D132" s="14"/>
      <c r="E132" s="14"/>
      <c r="F132" s="14"/>
      <c r="G132" s="14" t="str">
        <f t="shared" si="14"/>
        <v/>
      </c>
      <c r="H132" s="14"/>
      <c r="I132" s="14"/>
      <c r="J132" s="24"/>
      <c r="K132" s="24"/>
      <c r="L132" s="24"/>
      <c r="M132" s="24"/>
      <c r="N132" s="16" t="str">
        <f t="shared" si="18"/>
        <v/>
      </c>
      <c r="O132" s="16" t="str">
        <f t="shared" si="15"/>
        <v/>
      </c>
      <c r="P132" s="16" t="str">
        <f t="shared" si="16"/>
        <v/>
      </c>
      <c r="Q132" s="16" t="str">
        <f t="shared" si="17"/>
        <v/>
      </c>
      <c r="R132" s="16">
        <f t="shared" si="19"/>
        <v>0</v>
      </c>
      <c r="S132" s="16" t="str">
        <f>IF(OR($B132="",NOT(ISNUMBER($F132))),"",SUMIFS(community_cores_FS!$P$5:$P$597,community_cores_FS!$B$5:$B$597,$B132,community_cores_FS!$F$5:$F$597,"&lt;="&amp;$F132))</f>
        <v/>
      </c>
      <c r="T132" s="16" t="str">
        <f>IF(AND($A132="",$B132="",$E132=""),"",IF(AND($B132&lt;&gt;"",COUNTIF('2. Core Log'!$A$5:$A$124,$B132)=0),"Core ID not in Core Log. ","")&amp;IF(AND($A132&lt;&gt;"",COUNTIF('1. Plot &amp; Site Log'!$A$5:$A$64,$A132)=0),"Plot ID not in Plot &amp; Site Log. ","")&amp;IF(AND(ISNUMBER($E132),ISNUMBER($F132),$F132&lt;=$E132),"Bottom depth is not below top depth. ","")&amp;IF($I132="","Say which bulk-density basis the lab reported. ","")&amp;IF(AND(ISNUMBER($J132),OR($J132&lt;QC_BD_MIN,$J132&gt;QC_BD_MAX)),"Bulk density outside "&amp;QC_BD_MIN&amp;"–"&amp;QC_BD_MAX&amp;" g/cm³ for peat. Above the top of that range usually means the mineral contact has been passed. ","")&amp;IF(AND(ISNUMBER($N132),$N132&gt;QC_CARBON_PCT_MAX),"Carbon above "&amp;QC_CARBON_PCT_MAX&amp;"% — check units; this may be organic matter rather than carbon. ","")&amp;IF(AND($L132&lt;&gt;"",$M132&lt;&gt;""),"Both LOI and measured carbon given — the measured value is used. ","")&amp;IF(AND($M132="",$L132&lt;&gt;"",OM_FACTOR_IS_LOCAL&lt;&gt;"Yes"),"Carbon derived from LOI using the default factor of "&amp;CARBON_FRACTION_OM&amp;", which has not been calibrated locally. See R1. Reference. ","")&amp;IF(AND(ISNUMBER($O132),$O132=0,ISNUMBER($E132)),"Section lies entirely below the reference depth — it counts to the full-profile stock only. ",""))</f>
        <v/>
      </c>
      <c r="U132" s="14"/>
    </row>
    <row r="133" spans="1:21" ht="15.75" customHeight="1">
      <c r="A133" s="14"/>
      <c r="B133" s="14"/>
      <c r="C133" s="14"/>
      <c r="D133" s="14"/>
      <c r="E133" s="14"/>
      <c r="F133" s="14"/>
      <c r="G133" s="14" t="str">
        <f t="shared" si="14"/>
        <v/>
      </c>
      <c r="H133" s="14"/>
      <c r="I133" s="14"/>
      <c r="J133" s="24"/>
      <c r="K133" s="24"/>
      <c r="L133" s="24"/>
      <c r="M133" s="24"/>
      <c r="N133" s="16" t="str">
        <f t="shared" si="18"/>
        <v/>
      </c>
      <c r="O133" s="16" t="str">
        <f t="shared" si="15"/>
        <v/>
      </c>
      <c r="P133" s="16" t="str">
        <f t="shared" si="16"/>
        <v/>
      </c>
      <c r="Q133" s="16" t="str">
        <f t="shared" si="17"/>
        <v/>
      </c>
      <c r="R133" s="16">
        <f t="shared" si="19"/>
        <v>0</v>
      </c>
      <c r="S133" s="16" t="str">
        <f>IF(OR($B133="",NOT(ISNUMBER($F133))),"",SUMIFS(community_cores_FS!$P$5:$P$597,community_cores_FS!$B$5:$B$597,$B133,community_cores_FS!$F$5:$F$597,"&lt;="&amp;$F133))</f>
        <v/>
      </c>
      <c r="T133" s="16" t="str">
        <f>IF(AND($A133="",$B133="",$E133=""),"",IF(AND($B133&lt;&gt;"",COUNTIF('2. Core Log'!$A$5:$A$124,$B133)=0),"Core ID not in Core Log. ","")&amp;IF(AND($A133&lt;&gt;"",COUNTIF('1. Plot &amp; Site Log'!$A$5:$A$64,$A133)=0),"Plot ID not in Plot &amp; Site Log. ","")&amp;IF(AND(ISNUMBER($E133),ISNUMBER($F133),$F133&lt;=$E133),"Bottom depth is not below top depth. ","")&amp;IF($I133="","Say which bulk-density basis the lab reported. ","")&amp;IF(AND(ISNUMBER($J133),OR($J133&lt;QC_BD_MIN,$J133&gt;QC_BD_MAX)),"Bulk density outside "&amp;QC_BD_MIN&amp;"–"&amp;QC_BD_MAX&amp;" g/cm³ for peat. Above the top of that range usually means the mineral contact has been passed. ","")&amp;IF(AND(ISNUMBER($N133),$N133&gt;QC_CARBON_PCT_MAX),"Carbon above "&amp;QC_CARBON_PCT_MAX&amp;"% — check units; this may be organic matter rather than carbon. ","")&amp;IF(AND($L133&lt;&gt;"",$M133&lt;&gt;""),"Both LOI and measured carbon given — the measured value is used. ","")&amp;IF(AND($M133="",$L133&lt;&gt;"",OM_FACTOR_IS_LOCAL&lt;&gt;"Yes"),"Carbon derived from LOI using the default factor of "&amp;CARBON_FRACTION_OM&amp;", which has not been calibrated locally. See R1. Reference. ","")&amp;IF(AND(ISNUMBER($O133),$O133=0,ISNUMBER($E133)),"Section lies entirely below the reference depth — it counts to the full-profile stock only. ",""))</f>
        <v/>
      </c>
      <c r="U133" s="14"/>
    </row>
    <row r="134" spans="1:21" ht="15.75" customHeight="1">
      <c r="A134" s="14"/>
      <c r="B134" s="14"/>
      <c r="C134" s="14"/>
      <c r="D134" s="14"/>
      <c r="E134" s="14"/>
      <c r="F134" s="14"/>
      <c r="G134" s="14" t="str">
        <f t="shared" si="14"/>
        <v/>
      </c>
      <c r="H134" s="14"/>
      <c r="I134" s="14"/>
      <c r="J134" s="24"/>
      <c r="K134" s="24"/>
      <c r="L134" s="24"/>
      <c r="M134" s="24"/>
      <c r="N134" s="16" t="str">
        <f t="shared" si="18"/>
        <v/>
      </c>
      <c r="O134" s="16" t="str">
        <f t="shared" si="15"/>
        <v/>
      </c>
      <c r="P134" s="16" t="str">
        <f t="shared" si="16"/>
        <v/>
      </c>
      <c r="Q134" s="16" t="str">
        <f t="shared" si="17"/>
        <v/>
      </c>
      <c r="R134" s="16">
        <f t="shared" si="19"/>
        <v>0</v>
      </c>
      <c r="S134" s="16" t="str">
        <f>IF(OR($B134="",NOT(ISNUMBER($F134))),"",SUMIFS(community_cores_FS!$P$5:$P$597,community_cores_FS!$B$5:$B$597,$B134,community_cores_FS!$F$5:$F$597,"&lt;="&amp;$F134))</f>
        <v/>
      </c>
      <c r="T134" s="16" t="str">
        <f>IF(AND($A134="",$B134="",$E134=""),"",IF(AND($B134&lt;&gt;"",COUNTIF('2. Core Log'!$A$5:$A$124,$B134)=0),"Core ID not in Core Log. ","")&amp;IF(AND($A134&lt;&gt;"",COUNTIF('1. Plot &amp; Site Log'!$A$5:$A$64,$A134)=0),"Plot ID not in Plot &amp; Site Log. ","")&amp;IF(AND(ISNUMBER($E134),ISNUMBER($F134),$F134&lt;=$E134),"Bottom depth is not below top depth. ","")&amp;IF($I134="","Say which bulk-density basis the lab reported. ","")&amp;IF(AND(ISNUMBER($J134),OR($J134&lt;QC_BD_MIN,$J134&gt;QC_BD_MAX)),"Bulk density outside "&amp;QC_BD_MIN&amp;"–"&amp;QC_BD_MAX&amp;" g/cm³ for peat. Above the top of that range usually means the mineral contact has been passed. ","")&amp;IF(AND(ISNUMBER($N134),$N134&gt;QC_CARBON_PCT_MAX),"Carbon above "&amp;QC_CARBON_PCT_MAX&amp;"% — check units; this may be organic matter rather than carbon. ","")&amp;IF(AND($L134&lt;&gt;"",$M134&lt;&gt;""),"Both LOI and measured carbon given — the measured value is used. ","")&amp;IF(AND($M134="",$L134&lt;&gt;"",OM_FACTOR_IS_LOCAL&lt;&gt;"Yes"),"Carbon derived from LOI using the default factor of "&amp;CARBON_FRACTION_OM&amp;", which has not been calibrated locally. See R1. Reference. ","")&amp;IF(AND(ISNUMBER($O134),$O134=0,ISNUMBER($E134)),"Section lies entirely below the reference depth — it counts to the full-profile stock only. ",""))</f>
        <v/>
      </c>
      <c r="U134" s="14"/>
    </row>
    <row r="135" spans="1:21" ht="15.75" customHeight="1">
      <c r="A135" s="14"/>
      <c r="B135" s="14"/>
      <c r="C135" s="14"/>
      <c r="D135" s="14"/>
      <c r="E135" s="14"/>
      <c r="F135" s="14"/>
      <c r="G135" s="14" t="str">
        <f t="shared" si="14"/>
        <v/>
      </c>
      <c r="H135" s="14"/>
      <c r="I135" s="14"/>
      <c r="J135" s="24"/>
      <c r="K135" s="24"/>
      <c r="L135" s="24"/>
      <c r="M135" s="24"/>
      <c r="N135" s="16" t="str">
        <f t="shared" si="18"/>
        <v/>
      </c>
      <c r="O135" s="16" t="str">
        <f t="shared" si="15"/>
        <v/>
      </c>
      <c r="P135" s="16" t="str">
        <f t="shared" si="16"/>
        <v/>
      </c>
      <c r="Q135" s="16" t="str">
        <f t="shared" si="17"/>
        <v/>
      </c>
      <c r="R135" s="16">
        <f t="shared" si="19"/>
        <v>0</v>
      </c>
      <c r="S135" s="16" t="str">
        <f>IF(OR($B135="",NOT(ISNUMBER($F135))),"",SUMIFS(community_cores_FS!$P$5:$P$597,community_cores_FS!$B$5:$B$597,$B135,community_cores_FS!$F$5:$F$597,"&lt;="&amp;$F135))</f>
        <v/>
      </c>
      <c r="T135" s="16" t="str">
        <f>IF(AND($A135="",$B135="",$E135=""),"",IF(AND($B135&lt;&gt;"",COUNTIF('2. Core Log'!$A$5:$A$124,$B135)=0),"Core ID not in Core Log. ","")&amp;IF(AND($A135&lt;&gt;"",COUNTIF('1. Plot &amp; Site Log'!$A$5:$A$64,$A135)=0),"Plot ID not in Plot &amp; Site Log. ","")&amp;IF(AND(ISNUMBER($E135),ISNUMBER($F135),$F135&lt;=$E135),"Bottom depth is not below top depth. ","")&amp;IF($I135="","Say which bulk-density basis the lab reported. ","")&amp;IF(AND(ISNUMBER($J135),OR($J135&lt;QC_BD_MIN,$J135&gt;QC_BD_MAX)),"Bulk density outside "&amp;QC_BD_MIN&amp;"–"&amp;QC_BD_MAX&amp;" g/cm³ for peat. Above the top of that range usually means the mineral contact has been passed. ","")&amp;IF(AND(ISNUMBER($N135),$N135&gt;QC_CARBON_PCT_MAX),"Carbon above "&amp;QC_CARBON_PCT_MAX&amp;"% — check units; this may be organic matter rather than carbon. ","")&amp;IF(AND($L135&lt;&gt;"",$M135&lt;&gt;""),"Both LOI and measured carbon given — the measured value is used. ","")&amp;IF(AND($M135="",$L135&lt;&gt;"",OM_FACTOR_IS_LOCAL&lt;&gt;"Yes"),"Carbon derived from LOI using the default factor of "&amp;CARBON_FRACTION_OM&amp;", which has not been calibrated locally. See R1. Reference. ","")&amp;IF(AND(ISNUMBER($O135),$O135=0,ISNUMBER($E135)),"Section lies entirely below the reference depth — it counts to the full-profile stock only. ",""))</f>
        <v/>
      </c>
      <c r="U135" s="14"/>
    </row>
    <row r="136" spans="1:21" ht="15.75" customHeight="1">
      <c r="A136" s="14"/>
      <c r="B136" s="14"/>
      <c r="C136" s="14"/>
      <c r="D136" s="14"/>
      <c r="E136" s="14"/>
      <c r="F136" s="14"/>
      <c r="G136" s="14" t="str">
        <f t="shared" si="14"/>
        <v/>
      </c>
      <c r="H136" s="14"/>
      <c r="I136" s="14"/>
      <c r="J136" s="24"/>
      <c r="K136" s="24"/>
      <c r="L136" s="24"/>
      <c r="M136" s="24"/>
      <c r="N136" s="16" t="str">
        <f t="shared" si="18"/>
        <v/>
      </c>
      <c r="O136" s="16" t="str">
        <f t="shared" si="15"/>
        <v/>
      </c>
      <c r="P136" s="16" t="str">
        <f t="shared" si="16"/>
        <v/>
      </c>
      <c r="Q136" s="16" t="str">
        <f t="shared" si="17"/>
        <v/>
      </c>
      <c r="R136" s="16">
        <f t="shared" si="19"/>
        <v>0</v>
      </c>
      <c r="S136" s="16" t="str">
        <f>IF(OR($B136="",NOT(ISNUMBER($F136))),"",SUMIFS(community_cores_FS!$P$5:$P$597,community_cores_FS!$B$5:$B$597,$B136,community_cores_FS!$F$5:$F$597,"&lt;="&amp;$F136))</f>
        <v/>
      </c>
      <c r="T136" s="16" t="str">
        <f>IF(AND($A136="",$B136="",$E136=""),"",IF(AND($B136&lt;&gt;"",COUNTIF('2. Core Log'!$A$5:$A$124,$B136)=0),"Core ID not in Core Log. ","")&amp;IF(AND($A136&lt;&gt;"",COUNTIF('1. Plot &amp; Site Log'!$A$5:$A$64,$A136)=0),"Plot ID not in Plot &amp; Site Log. ","")&amp;IF(AND(ISNUMBER($E136),ISNUMBER($F136),$F136&lt;=$E136),"Bottom depth is not below top depth. ","")&amp;IF($I136="","Say which bulk-density basis the lab reported. ","")&amp;IF(AND(ISNUMBER($J136),OR($J136&lt;QC_BD_MIN,$J136&gt;QC_BD_MAX)),"Bulk density outside "&amp;QC_BD_MIN&amp;"–"&amp;QC_BD_MAX&amp;" g/cm³ for peat. Above the top of that range usually means the mineral contact has been passed. ","")&amp;IF(AND(ISNUMBER($N136),$N136&gt;QC_CARBON_PCT_MAX),"Carbon above "&amp;QC_CARBON_PCT_MAX&amp;"% — check units; this may be organic matter rather than carbon. ","")&amp;IF(AND($L136&lt;&gt;"",$M136&lt;&gt;""),"Both LOI and measured carbon given — the measured value is used. ","")&amp;IF(AND($M136="",$L136&lt;&gt;"",OM_FACTOR_IS_LOCAL&lt;&gt;"Yes"),"Carbon derived from LOI using the default factor of "&amp;CARBON_FRACTION_OM&amp;", which has not been calibrated locally. See R1. Reference. ","")&amp;IF(AND(ISNUMBER($O136),$O136=0,ISNUMBER($E136)),"Section lies entirely below the reference depth — it counts to the full-profile stock only. ",""))</f>
        <v/>
      </c>
      <c r="U136" s="14"/>
    </row>
    <row r="137" spans="1:21" ht="15.75" customHeight="1">
      <c r="A137" s="14"/>
      <c r="B137" s="14"/>
      <c r="C137" s="14"/>
      <c r="D137" s="14"/>
      <c r="E137" s="14"/>
      <c r="F137" s="14"/>
      <c r="G137" s="14" t="str">
        <f t="shared" si="14"/>
        <v/>
      </c>
      <c r="H137" s="14"/>
      <c r="I137" s="14"/>
      <c r="J137" s="24"/>
      <c r="K137" s="24"/>
      <c r="L137" s="24"/>
      <c r="M137" s="24"/>
      <c r="N137" s="16" t="str">
        <f t="shared" si="18"/>
        <v/>
      </c>
      <c r="O137" s="16" t="str">
        <f t="shared" si="15"/>
        <v/>
      </c>
      <c r="P137" s="16" t="str">
        <f t="shared" si="16"/>
        <v/>
      </c>
      <c r="Q137" s="16" t="str">
        <f t="shared" si="17"/>
        <v/>
      </c>
      <c r="R137" s="16">
        <f t="shared" si="19"/>
        <v>0</v>
      </c>
      <c r="S137" s="16" t="str">
        <f>IF(OR($B137="",NOT(ISNUMBER($F137))),"",SUMIFS(community_cores_FS!$P$5:$P$597,community_cores_FS!$B$5:$B$597,$B137,community_cores_FS!$F$5:$F$597,"&lt;="&amp;$F137))</f>
        <v/>
      </c>
      <c r="T137" s="16" t="str">
        <f>IF(AND($A137="",$B137="",$E137=""),"",IF(AND($B137&lt;&gt;"",COUNTIF('2. Core Log'!$A$5:$A$124,$B137)=0),"Core ID not in Core Log. ","")&amp;IF(AND($A137&lt;&gt;"",COUNTIF('1. Plot &amp; Site Log'!$A$5:$A$64,$A137)=0),"Plot ID not in Plot &amp; Site Log. ","")&amp;IF(AND(ISNUMBER($E137),ISNUMBER($F137),$F137&lt;=$E137),"Bottom depth is not below top depth. ","")&amp;IF($I137="","Say which bulk-density basis the lab reported. ","")&amp;IF(AND(ISNUMBER($J137),OR($J137&lt;QC_BD_MIN,$J137&gt;QC_BD_MAX)),"Bulk density outside "&amp;QC_BD_MIN&amp;"–"&amp;QC_BD_MAX&amp;" g/cm³ for peat. Above the top of that range usually means the mineral contact has been passed. ","")&amp;IF(AND(ISNUMBER($N137),$N137&gt;QC_CARBON_PCT_MAX),"Carbon above "&amp;QC_CARBON_PCT_MAX&amp;"% — check units; this may be organic matter rather than carbon. ","")&amp;IF(AND($L137&lt;&gt;"",$M137&lt;&gt;""),"Both LOI and measured carbon given — the measured value is used. ","")&amp;IF(AND($M137="",$L137&lt;&gt;"",OM_FACTOR_IS_LOCAL&lt;&gt;"Yes"),"Carbon derived from LOI using the default factor of "&amp;CARBON_FRACTION_OM&amp;", which has not been calibrated locally. See R1. Reference. ","")&amp;IF(AND(ISNUMBER($O137),$O137=0,ISNUMBER($E137)),"Section lies entirely below the reference depth — it counts to the full-profile stock only. ",""))</f>
        <v/>
      </c>
      <c r="U137" s="14"/>
    </row>
    <row r="138" spans="1:21" ht="15.75" customHeight="1">
      <c r="A138" s="14"/>
      <c r="B138" s="14"/>
      <c r="C138" s="14"/>
      <c r="D138" s="14"/>
      <c r="E138" s="14"/>
      <c r="F138" s="14"/>
      <c r="G138" s="14" t="str">
        <f t="shared" si="14"/>
        <v/>
      </c>
      <c r="H138" s="14"/>
      <c r="I138" s="14"/>
      <c r="J138" s="24"/>
      <c r="K138" s="24"/>
      <c r="L138" s="24"/>
      <c r="M138" s="24"/>
      <c r="N138" s="16" t="str">
        <f t="shared" si="18"/>
        <v/>
      </c>
      <c r="O138" s="16" t="str">
        <f t="shared" si="15"/>
        <v/>
      </c>
      <c r="P138" s="16" t="str">
        <f t="shared" si="16"/>
        <v/>
      </c>
      <c r="Q138" s="16" t="str">
        <f t="shared" si="17"/>
        <v/>
      </c>
      <c r="R138" s="16">
        <f t="shared" si="19"/>
        <v>0</v>
      </c>
      <c r="S138" s="16" t="str">
        <f>IF(OR($B138="",NOT(ISNUMBER($F138))),"",SUMIFS(community_cores_FS!$P$5:$P$597,community_cores_FS!$B$5:$B$597,$B138,community_cores_FS!$F$5:$F$597,"&lt;="&amp;$F138))</f>
        <v/>
      </c>
      <c r="T138" s="16" t="str">
        <f>IF(AND($A138="",$B138="",$E138=""),"",IF(AND($B138&lt;&gt;"",COUNTIF('2. Core Log'!$A$5:$A$124,$B138)=0),"Core ID not in Core Log. ","")&amp;IF(AND($A138&lt;&gt;"",COUNTIF('1. Plot &amp; Site Log'!$A$5:$A$64,$A138)=0),"Plot ID not in Plot &amp; Site Log. ","")&amp;IF(AND(ISNUMBER($E138),ISNUMBER($F138),$F138&lt;=$E138),"Bottom depth is not below top depth. ","")&amp;IF($I138="","Say which bulk-density basis the lab reported. ","")&amp;IF(AND(ISNUMBER($J138),OR($J138&lt;QC_BD_MIN,$J138&gt;QC_BD_MAX)),"Bulk density outside "&amp;QC_BD_MIN&amp;"–"&amp;QC_BD_MAX&amp;" g/cm³ for peat. Above the top of that range usually means the mineral contact has been passed. ","")&amp;IF(AND(ISNUMBER($N138),$N138&gt;QC_CARBON_PCT_MAX),"Carbon above "&amp;QC_CARBON_PCT_MAX&amp;"% — check units; this may be organic matter rather than carbon. ","")&amp;IF(AND($L138&lt;&gt;"",$M138&lt;&gt;""),"Both LOI and measured carbon given — the measured value is used. ","")&amp;IF(AND($M138="",$L138&lt;&gt;"",OM_FACTOR_IS_LOCAL&lt;&gt;"Yes"),"Carbon derived from LOI using the default factor of "&amp;CARBON_FRACTION_OM&amp;", which has not been calibrated locally. See R1. Reference. ","")&amp;IF(AND(ISNUMBER($O138),$O138=0,ISNUMBER($E138)),"Section lies entirely below the reference depth — it counts to the full-profile stock only. ",""))</f>
        <v/>
      </c>
      <c r="U138" s="14"/>
    </row>
    <row r="139" spans="1:21" ht="15.75" customHeight="1">
      <c r="A139" s="14"/>
      <c r="B139" s="14"/>
      <c r="C139" s="14"/>
      <c r="D139" s="14"/>
      <c r="E139" s="14"/>
      <c r="F139" s="14"/>
      <c r="G139" s="14" t="str">
        <f t="shared" si="14"/>
        <v/>
      </c>
      <c r="H139" s="14"/>
      <c r="I139" s="14"/>
      <c r="J139" s="24"/>
      <c r="K139" s="24"/>
      <c r="L139" s="24"/>
      <c r="M139" s="24"/>
      <c r="N139" s="16" t="str">
        <f t="shared" si="18"/>
        <v/>
      </c>
      <c r="O139" s="16" t="str">
        <f t="shared" si="15"/>
        <v/>
      </c>
      <c r="P139" s="16" t="str">
        <f t="shared" si="16"/>
        <v/>
      </c>
      <c r="Q139" s="16" t="str">
        <f t="shared" si="17"/>
        <v/>
      </c>
      <c r="R139" s="16">
        <f t="shared" si="19"/>
        <v>0</v>
      </c>
      <c r="S139" s="16" t="str">
        <f>IF(OR($B139="",NOT(ISNUMBER($F139))),"",SUMIFS(community_cores_FS!$P$5:$P$597,community_cores_FS!$B$5:$B$597,$B139,community_cores_FS!$F$5:$F$597,"&lt;="&amp;$F139))</f>
        <v/>
      </c>
      <c r="T139" s="16" t="str">
        <f>IF(AND($A139="",$B139="",$E139=""),"",IF(AND($B139&lt;&gt;"",COUNTIF('2. Core Log'!$A$5:$A$124,$B139)=0),"Core ID not in Core Log. ","")&amp;IF(AND($A139&lt;&gt;"",COUNTIF('1. Plot &amp; Site Log'!$A$5:$A$64,$A139)=0),"Plot ID not in Plot &amp; Site Log. ","")&amp;IF(AND(ISNUMBER($E139),ISNUMBER($F139),$F139&lt;=$E139),"Bottom depth is not below top depth. ","")&amp;IF($I139="","Say which bulk-density basis the lab reported. ","")&amp;IF(AND(ISNUMBER($J139),OR($J139&lt;QC_BD_MIN,$J139&gt;QC_BD_MAX)),"Bulk density outside "&amp;QC_BD_MIN&amp;"–"&amp;QC_BD_MAX&amp;" g/cm³ for peat. Above the top of that range usually means the mineral contact has been passed. ","")&amp;IF(AND(ISNUMBER($N139),$N139&gt;QC_CARBON_PCT_MAX),"Carbon above "&amp;QC_CARBON_PCT_MAX&amp;"% — check units; this may be organic matter rather than carbon. ","")&amp;IF(AND($L139&lt;&gt;"",$M139&lt;&gt;""),"Both LOI and measured carbon given — the measured value is used. ","")&amp;IF(AND($M139="",$L139&lt;&gt;"",OM_FACTOR_IS_LOCAL&lt;&gt;"Yes"),"Carbon derived from LOI using the default factor of "&amp;CARBON_FRACTION_OM&amp;", which has not been calibrated locally. See R1. Reference. ","")&amp;IF(AND(ISNUMBER($O139),$O139=0,ISNUMBER($E139)),"Section lies entirely below the reference depth — it counts to the full-profile stock only. ",""))</f>
        <v/>
      </c>
      <c r="U139" s="14"/>
    </row>
    <row r="140" spans="1:21" ht="15.75" customHeight="1">
      <c r="A140" s="14"/>
      <c r="B140" s="14"/>
      <c r="C140" s="14"/>
      <c r="D140" s="14"/>
      <c r="E140" s="14"/>
      <c r="F140" s="14"/>
      <c r="G140" s="14" t="str">
        <f t="shared" si="14"/>
        <v/>
      </c>
      <c r="H140" s="14"/>
      <c r="I140" s="14"/>
      <c r="J140" s="24"/>
      <c r="K140" s="24"/>
      <c r="L140" s="24"/>
      <c r="M140" s="24"/>
      <c r="N140" s="16" t="str">
        <f t="shared" si="18"/>
        <v/>
      </c>
      <c r="O140" s="16" t="str">
        <f t="shared" si="15"/>
        <v/>
      </c>
      <c r="P140" s="16" t="str">
        <f t="shared" si="16"/>
        <v/>
      </c>
      <c r="Q140" s="16" t="str">
        <f t="shared" si="17"/>
        <v/>
      </c>
      <c r="R140" s="16">
        <f t="shared" si="19"/>
        <v>0</v>
      </c>
      <c r="S140" s="16" t="str">
        <f>IF(OR($B140="",NOT(ISNUMBER($F140))),"",SUMIFS(community_cores_FS!$P$5:$P$597,community_cores_FS!$B$5:$B$597,$B140,community_cores_FS!$F$5:$F$597,"&lt;="&amp;$F140))</f>
        <v/>
      </c>
      <c r="T140" s="16" t="str">
        <f>IF(AND($A140="",$B140="",$E140=""),"",IF(AND($B140&lt;&gt;"",COUNTIF('2. Core Log'!$A$5:$A$124,$B140)=0),"Core ID not in Core Log. ","")&amp;IF(AND($A140&lt;&gt;"",COUNTIF('1. Plot &amp; Site Log'!$A$5:$A$64,$A140)=0),"Plot ID not in Plot &amp; Site Log. ","")&amp;IF(AND(ISNUMBER($E140),ISNUMBER($F140),$F140&lt;=$E140),"Bottom depth is not below top depth. ","")&amp;IF($I140="","Say which bulk-density basis the lab reported. ","")&amp;IF(AND(ISNUMBER($J140),OR($J140&lt;QC_BD_MIN,$J140&gt;QC_BD_MAX)),"Bulk density outside "&amp;QC_BD_MIN&amp;"–"&amp;QC_BD_MAX&amp;" g/cm³ for peat. Above the top of that range usually means the mineral contact has been passed. ","")&amp;IF(AND(ISNUMBER($N140),$N140&gt;QC_CARBON_PCT_MAX),"Carbon above "&amp;QC_CARBON_PCT_MAX&amp;"% — check units; this may be organic matter rather than carbon. ","")&amp;IF(AND($L140&lt;&gt;"",$M140&lt;&gt;""),"Both LOI and measured carbon given — the measured value is used. ","")&amp;IF(AND($M140="",$L140&lt;&gt;"",OM_FACTOR_IS_LOCAL&lt;&gt;"Yes"),"Carbon derived from LOI using the default factor of "&amp;CARBON_FRACTION_OM&amp;", which has not been calibrated locally. See R1. Reference. ","")&amp;IF(AND(ISNUMBER($O140),$O140=0,ISNUMBER($E140)),"Section lies entirely below the reference depth — it counts to the full-profile stock only. ",""))</f>
        <v/>
      </c>
      <c r="U140" s="14"/>
    </row>
    <row r="141" spans="1:21" ht="15.75" customHeight="1">
      <c r="A141" s="14"/>
      <c r="B141" s="14"/>
      <c r="C141" s="14"/>
      <c r="D141" s="14"/>
      <c r="E141" s="14"/>
      <c r="F141" s="14"/>
      <c r="G141" s="14" t="str">
        <f t="shared" si="14"/>
        <v/>
      </c>
      <c r="H141" s="14"/>
      <c r="I141" s="14"/>
      <c r="J141" s="24"/>
      <c r="K141" s="24"/>
      <c r="L141" s="24"/>
      <c r="M141" s="24"/>
      <c r="N141" s="16" t="str">
        <f t="shared" si="18"/>
        <v/>
      </c>
      <c r="O141" s="16" t="str">
        <f t="shared" si="15"/>
        <v/>
      </c>
      <c r="P141" s="16" t="str">
        <f t="shared" si="16"/>
        <v/>
      </c>
      <c r="Q141" s="16" t="str">
        <f t="shared" si="17"/>
        <v/>
      </c>
      <c r="R141" s="16">
        <f t="shared" si="19"/>
        <v>0</v>
      </c>
      <c r="S141" s="16" t="str">
        <f>IF(OR($B141="",NOT(ISNUMBER($F141))),"",SUMIFS(community_cores_FS!$P$5:$P$597,community_cores_FS!$B$5:$B$597,$B141,community_cores_FS!$F$5:$F$597,"&lt;="&amp;$F141))</f>
        <v/>
      </c>
      <c r="T141" s="16" t="str">
        <f>IF(AND($A141="",$B141="",$E141=""),"",IF(AND($B141&lt;&gt;"",COUNTIF('2. Core Log'!$A$5:$A$124,$B141)=0),"Core ID not in Core Log. ","")&amp;IF(AND($A141&lt;&gt;"",COUNTIF('1. Plot &amp; Site Log'!$A$5:$A$64,$A141)=0),"Plot ID not in Plot &amp; Site Log. ","")&amp;IF(AND(ISNUMBER($E141),ISNUMBER($F141),$F141&lt;=$E141),"Bottom depth is not below top depth. ","")&amp;IF($I141="","Say which bulk-density basis the lab reported. ","")&amp;IF(AND(ISNUMBER($J141),OR($J141&lt;QC_BD_MIN,$J141&gt;QC_BD_MAX)),"Bulk density outside "&amp;QC_BD_MIN&amp;"–"&amp;QC_BD_MAX&amp;" g/cm³ for peat. Above the top of that range usually means the mineral contact has been passed. ","")&amp;IF(AND(ISNUMBER($N141),$N141&gt;QC_CARBON_PCT_MAX),"Carbon above "&amp;QC_CARBON_PCT_MAX&amp;"% — check units; this may be organic matter rather than carbon. ","")&amp;IF(AND($L141&lt;&gt;"",$M141&lt;&gt;""),"Both LOI and measured carbon given — the measured value is used. ","")&amp;IF(AND($M141="",$L141&lt;&gt;"",OM_FACTOR_IS_LOCAL&lt;&gt;"Yes"),"Carbon derived from LOI using the default factor of "&amp;CARBON_FRACTION_OM&amp;", which has not been calibrated locally. See R1. Reference. ","")&amp;IF(AND(ISNUMBER($O141),$O141=0,ISNUMBER($E141)),"Section lies entirely below the reference depth — it counts to the full-profile stock only. ",""))</f>
        <v/>
      </c>
      <c r="U141" s="14"/>
    </row>
    <row r="142" spans="1:21" ht="15.75" customHeight="1">
      <c r="A142" s="14"/>
      <c r="B142" s="14"/>
      <c r="C142" s="14"/>
      <c r="D142" s="14"/>
      <c r="E142" s="14"/>
      <c r="F142" s="14"/>
      <c r="G142" s="14" t="str">
        <f t="shared" si="14"/>
        <v/>
      </c>
      <c r="H142" s="14"/>
      <c r="I142" s="14"/>
      <c r="J142" s="24"/>
      <c r="K142" s="24"/>
      <c r="L142" s="24"/>
      <c r="M142" s="24"/>
      <c r="N142" s="16" t="str">
        <f t="shared" si="18"/>
        <v/>
      </c>
      <c r="O142" s="16" t="str">
        <f t="shared" si="15"/>
        <v/>
      </c>
      <c r="P142" s="16" t="str">
        <f t="shared" si="16"/>
        <v/>
      </c>
      <c r="Q142" s="16" t="str">
        <f t="shared" si="17"/>
        <v/>
      </c>
      <c r="R142" s="16">
        <f t="shared" si="19"/>
        <v>0</v>
      </c>
      <c r="S142" s="16" t="str">
        <f>IF(OR($B142="",NOT(ISNUMBER($F142))),"",SUMIFS(community_cores_FS!$P$5:$P$597,community_cores_FS!$B$5:$B$597,$B142,community_cores_FS!$F$5:$F$597,"&lt;="&amp;$F142))</f>
        <v/>
      </c>
      <c r="T142" s="16" t="str">
        <f>IF(AND($A142="",$B142="",$E142=""),"",IF(AND($B142&lt;&gt;"",COUNTIF('2. Core Log'!$A$5:$A$124,$B142)=0),"Core ID not in Core Log. ","")&amp;IF(AND($A142&lt;&gt;"",COUNTIF('1. Plot &amp; Site Log'!$A$5:$A$64,$A142)=0),"Plot ID not in Plot &amp; Site Log. ","")&amp;IF(AND(ISNUMBER($E142),ISNUMBER($F142),$F142&lt;=$E142),"Bottom depth is not below top depth. ","")&amp;IF($I142="","Say which bulk-density basis the lab reported. ","")&amp;IF(AND(ISNUMBER($J142),OR($J142&lt;QC_BD_MIN,$J142&gt;QC_BD_MAX)),"Bulk density outside "&amp;QC_BD_MIN&amp;"–"&amp;QC_BD_MAX&amp;" g/cm³ for peat. Above the top of that range usually means the mineral contact has been passed. ","")&amp;IF(AND(ISNUMBER($N142),$N142&gt;QC_CARBON_PCT_MAX),"Carbon above "&amp;QC_CARBON_PCT_MAX&amp;"% — check units; this may be organic matter rather than carbon. ","")&amp;IF(AND($L142&lt;&gt;"",$M142&lt;&gt;""),"Both LOI and measured carbon given — the measured value is used. ","")&amp;IF(AND($M142="",$L142&lt;&gt;"",OM_FACTOR_IS_LOCAL&lt;&gt;"Yes"),"Carbon derived from LOI using the default factor of "&amp;CARBON_FRACTION_OM&amp;", which has not been calibrated locally. See R1. Reference. ","")&amp;IF(AND(ISNUMBER($O142),$O142=0,ISNUMBER($E142)),"Section lies entirely below the reference depth — it counts to the full-profile stock only. ",""))</f>
        <v/>
      </c>
      <c r="U142" s="14"/>
    </row>
    <row r="143" spans="1:21" ht="15.75" customHeight="1">
      <c r="A143" s="14"/>
      <c r="B143" s="14"/>
      <c r="C143" s="14"/>
      <c r="D143" s="14"/>
      <c r="E143" s="14"/>
      <c r="F143" s="14"/>
      <c r="G143" s="14" t="str">
        <f t="shared" si="14"/>
        <v/>
      </c>
      <c r="H143" s="14"/>
      <c r="I143" s="14"/>
      <c r="J143" s="24"/>
      <c r="K143" s="24"/>
      <c r="L143" s="24"/>
      <c r="M143" s="24"/>
      <c r="N143" s="16" t="str">
        <f t="shared" si="18"/>
        <v/>
      </c>
      <c r="O143" s="16" t="str">
        <f t="shared" si="15"/>
        <v/>
      </c>
      <c r="P143" s="16" t="str">
        <f t="shared" si="16"/>
        <v/>
      </c>
      <c r="Q143" s="16" t="str">
        <f t="shared" si="17"/>
        <v/>
      </c>
      <c r="R143" s="16">
        <f t="shared" si="19"/>
        <v>0</v>
      </c>
      <c r="S143" s="16" t="str">
        <f>IF(OR($B143="",NOT(ISNUMBER($F143))),"",SUMIFS(community_cores_FS!$P$5:$P$597,community_cores_FS!$B$5:$B$597,$B143,community_cores_FS!$F$5:$F$597,"&lt;="&amp;$F143))</f>
        <v/>
      </c>
      <c r="T143" s="16" t="str">
        <f>IF(AND($A143="",$B143="",$E143=""),"",IF(AND($B143&lt;&gt;"",COUNTIF('2. Core Log'!$A$5:$A$124,$B143)=0),"Core ID not in Core Log. ","")&amp;IF(AND($A143&lt;&gt;"",COUNTIF('1. Plot &amp; Site Log'!$A$5:$A$64,$A143)=0),"Plot ID not in Plot &amp; Site Log. ","")&amp;IF(AND(ISNUMBER($E143),ISNUMBER($F143),$F143&lt;=$E143),"Bottom depth is not below top depth. ","")&amp;IF($I143="","Say which bulk-density basis the lab reported. ","")&amp;IF(AND(ISNUMBER($J143),OR($J143&lt;QC_BD_MIN,$J143&gt;QC_BD_MAX)),"Bulk density outside "&amp;QC_BD_MIN&amp;"–"&amp;QC_BD_MAX&amp;" g/cm³ for peat. Above the top of that range usually means the mineral contact has been passed. ","")&amp;IF(AND(ISNUMBER($N143),$N143&gt;QC_CARBON_PCT_MAX),"Carbon above "&amp;QC_CARBON_PCT_MAX&amp;"% — check units; this may be organic matter rather than carbon. ","")&amp;IF(AND($L143&lt;&gt;"",$M143&lt;&gt;""),"Both LOI and measured carbon given — the measured value is used. ","")&amp;IF(AND($M143="",$L143&lt;&gt;"",OM_FACTOR_IS_LOCAL&lt;&gt;"Yes"),"Carbon derived from LOI using the default factor of "&amp;CARBON_FRACTION_OM&amp;", which has not been calibrated locally. See R1. Reference. ","")&amp;IF(AND(ISNUMBER($O143),$O143=0,ISNUMBER($E143)),"Section lies entirely below the reference depth — it counts to the full-profile stock only. ",""))</f>
        <v/>
      </c>
      <c r="U143" s="14"/>
    </row>
    <row r="144" spans="1:21" ht="15.75" customHeight="1">
      <c r="A144" s="14"/>
      <c r="B144" s="14"/>
      <c r="C144" s="14"/>
      <c r="D144" s="14"/>
      <c r="E144" s="14"/>
      <c r="F144" s="14"/>
      <c r="G144" s="14" t="str">
        <f t="shared" si="14"/>
        <v/>
      </c>
      <c r="H144" s="14"/>
      <c r="I144" s="14"/>
      <c r="J144" s="24"/>
      <c r="K144" s="24"/>
      <c r="L144" s="24"/>
      <c r="M144" s="24"/>
      <c r="N144" s="16" t="str">
        <f t="shared" si="18"/>
        <v/>
      </c>
      <c r="O144" s="16" t="str">
        <f t="shared" si="15"/>
        <v/>
      </c>
      <c r="P144" s="16" t="str">
        <f t="shared" si="16"/>
        <v/>
      </c>
      <c r="Q144" s="16" t="str">
        <f t="shared" si="17"/>
        <v/>
      </c>
      <c r="R144" s="16">
        <f t="shared" si="19"/>
        <v>0</v>
      </c>
      <c r="S144" s="16" t="str">
        <f>IF(OR($B144="",NOT(ISNUMBER($F144))),"",SUMIFS(community_cores_FS!$P$5:$P$597,community_cores_FS!$B$5:$B$597,$B144,community_cores_FS!$F$5:$F$597,"&lt;="&amp;$F144))</f>
        <v/>
      </c>
      <c r="T144" s="16" t="str">
        <f>IF(AND($A144="",$B144="",$E144=""),"",IF(AND($B144&lt;&gt;"",COUNTIF('2. Core Log'!$A$5:$A$124,$B144)=0),"Core ID not in Core Log. ","")&amp;IF(AND($A144&lt;&gt;"",COUNTIF('1. Plot &amp; Site Log'!$A$5:$A$64,$A144)=0),"Plot ID not in Plot &amp; Site Log. ","")&amp;IF(AND(ISNUMBER($E144),ISNUMBER($F144),$F144&lt;=$E144),"Bottom depth is not below top depth. ","")&amp;IF($I144="","Say which bulk-density basis the lab reported. ","")&amp;IF(AND(ISNUMBER($J144),OR($J144&lt;QC_BD_MIN,$J144&gt;QC_BD_MAX)),"Bulk density outside "&amp;QC_BD_MIN&amp;"–"&amp;QC_BD_MAX&amp;" g/cm³ for peat. Above the top of that range usually means the mineral contact has been passed. ","")&amp;IF(AND(ISNUMBER($N144),$N144&gt;QC_CARBON_PCT_MAX),"Carbon above "&amp;QC_CARBON_PCT_MAX&amp;"% — check units; this may be organic matter rather than carbon. ","")&amp;IF(AND($L144&lt;&gt;"",$M144&lt;&gt;""),"Both LOI and measured carbon given — the measured value is used. ","")&amp;IF(AND($M144="",$L144&lt;&gt;"",OM_FACTOR_IS_LOCAL&lt;&gt;"Yes"),"Carbon derived from LOI using the default factor of "&amp;CARBON_FRACTION_OM&amp;", which has not been calibrated locally. See R1. Reference. ","")&amp;IF(AND(ISNUMBER($O144),$O144=0,ISNUMBER($E144)),"Section lies entirely below the reference depth — it counts to the full-profile stock only. ",""))</f>
        <v/>
      </c>
      <c r="U144" s="14"/>
    </row>
    <row r="145" spans="1:21" ht="15.75" customHeight="1">
      <c r="A145" s="14"/>
      <c r="B145" s="14"/>
      <c r="C145" s="14"/>
      <c r="D145" s="14"/>
      <c r="E145" s="14"/>
      <c r="F145" s="14"/>
      <c r="G145" s="14" t="str">
        <f t="shared" si="14"/>
        <v/>
      </c>
      <c r="H145" s="14"/>
      <c r="I145" s="14"/>
      <c r="J145" s="24"/>
      <c r="K145" s="24"/>
      <c r="L145" s="24"/>
      <c r="M145" s="24"/>
      <c r="N145" s="16" t="str">
        <f t="shared" si="18"/>
        <v/>
      </c>
      <c r="O145" s="16" t="str">
        <f t="shared" si="15"/>
        <v/>
      </c>
      <c r="P145" s="16" t="str">
        <f t="shared" si="16"/>
        <v/>
      </c>
      <c r="Q145" s="16" t="str">
        <f t="shared" si="17"/>
        <v/>
      </c>
      <c r="R145" s="16">
        <f t="shared" si="19"/>
        <v>0</v>
      </c>
      <c r="S145" s="16" t="str">
        <f>IF(OR($B145="",NOT(ISNUMBER($F145))),"",SUMIFS(community_cores_FS!$P$5:$P$597,community_cores_FS!$B$5:$B$597,$B145,community_cores_FS!$F$5:$F$597,"&lt;="&amp;$F145))</f>
        <v/>
      </c>
      <c r="T145" s="16" t="str">
        <f>IF(AND($A145="",$B145="",$E145=""),"",IF(AND($B145&lt;&gt;"",COUNTIF('2. Core Log'!$A$5:$A$124,$B145)=0),"Core ID not in Core Log. ","")&amp;IF(AND($A145&lt;&gt;"",COUNTIF('1. Plot &amp; Site Log'!$A$5:$A$64,$A145)=0),"Plot ID not in Plot &amp; Site Log. ","")&amp;IF(AND(ISNUMBER($E145),ISNUMBER($F145),$F145&lt;=$E145),"Bottom depth is not below top depth. ","")&amp;IF($I145="","Say which bulk-density basis the lab reported. ","")&amp;IF(AND(ISNUMBER($J145),OR($J145&lt;QC_BD_MIN,$J145&gt;QC_BD_MAX)),"Bulk density outside "&amp;QC_BD_MIN&amp;"–"&amp;QC_BD_MAX&amp;" g/cm³ for peat. Above the top of that range usually means the mineral contact has been passed. ","")&amp;IF(AND(ISNUMBER($N145),$N145&gt;QC_CARBON_PCT_MAX),"Carbon above "&amp;QC_CARBON_PCT_MAX&amp;"% — check units; this may be organic matter rather than carbon. ","")&amp;IF(AND($L145&lt;&gt;"",$M145&lt;&gt;""),"Both LOI and measured carbon given — the measured value is used. ","")&amp;IF(AND($M145="",$L145&lt;&gt;"",OM_FACTOR_IS_LOCAL&lt;&gt;"Yes"),"Carbon derived from LOI using the default factor of "&amp;CARBON_FRACTION_OM&amp;", which has not been calibrated locally. See R1. Reference. ","")&amp;IF(AND(ISNUMBER($O145),$O145=0,ISNUMBER($E145)),"Section lies entirely below the reference depth — it counts to the full-profile stock only. ",""))</f>
        <v/>
      </c>
      <c r="U145" s="14"/>
    </row>
    <row r="146" spans="1:21" ht="15.75" customHeight="1">
      <c r="A146" s="14"/>
      <c r="B146" s="14"/>
      <c r="C146" s="14"/>
      <c r="D146" s="14"/>
      <c r="E146" s="14"/>
      <c r="F146" s="14"/>
      <c r="G146" s="14" t="str">
        <f t="shared" si="14"/>
        <v/>
      </c>
      <c r="H146" s="14"/>
      <c r="I146" s="14"/>
      <c r="J146" s="24"/>
      <c r="K146" s="24"/>
      <c r="L146" s="24"/>
      <c r="M146" s="24"/>
      <c r="N146" s="16" t="str">
        <f t="shared" si="18"/>
        <v/>
      </c>
      <c r="O146" s="16" t="str">
        <f t="shared" si="15"/>
        <v/>
      </c>
      <c r="P146" s="16" t="str">
        <f t="shared" si="16"/>
        <v/>
      </c>
      <c r="Q146" s="16" t="str">
        <f t="shared" si="17"/>
        <v/>
      </c>
      <c r="R146" s="16">
        <f t="shared" si="19"/>
        <v>0</v>
      </c>
      <c r="S146" s="16" t="str">
        <f>IF(OR($B146="",NOT(ISNUMBER($F146))),"",SUMIFS(community_cores_FS!$P$5:$P$597,community_cores_FS!$B$5:$B$597,$B146,community_cores_FS!$F$5:$F$597,"&lt;="&amp;$F146))</f>
        <v/>
      </c>
      <c r="T146" s="16" t="str">
        <f>IF(AND($A146="",$B146="",$E146=""),"",IF(AND($B146&lt;&gt;"",COUNTIF('2. Core Log'!$A$5:$A$124,$B146)=0),"Core ID not in Core Log. ","")&amp;IF(AND($A146&lt;&gt;"",COUNTIF('1. Plot &amp; Site Log'!$A$5:$A$64,$A146)=0),"Plot ID not in Plot &amp; Site Log. ","")&amp;IF(AND(ISNUMBER($E146),ISNUMBER($F146),$F146&lt;=$E146),"Bottom depth is not below top depth. ","")&amp;IF($I146="","Say which bulk-density basis the lab reported. ","")&amp;IF(AND(ISNUMBER($J146),OR($J146&lt;QC_BD_MIN,$J146&gt;QC_BD_MAX)),"Bulk density outside "&amp;QC_BD_MIN&amp;"–"&amp;QC_BD_MAX&amp;" g/cm³ for peat. Above the top of that range usually means the mineral contact has been passed. ","")&amp;IF(AND(ISNUMBER($N146),$N146&gt;QC_CARBON_PCT_MAX),"Carbon above "&amp;QC_CARBON_PCT_MAX&amp;"% — check units; this may be organic matter rather than carbon. ","")&amp;IF(AND($L146&lt;&gt;"",$M146&lt;&gt;""),"Both LOI and measured carbon given — the measured value is used. ","")&amp;IF(AND($M146="",$L146&lt;&gt;"",OM_FACTOR_IS_LOCAL&lt;&gt;"Yes"),"Carbon derived from LOI using the default factor of "&amp;CARBON_FRACTION_OM&amp;", which has not been calibrated locally. See R1. Reference. ","")&amp;IF(AND(ISNUMBER($O146),$O146=0,ISNUMBER($E146)),"Section lies entirely below the reference depth — it counts to the full-profile stock only. ",""))</f>
        <v/>
      </c>
      <c r="U146" s="14"/>
    </row>
    <row r="147" spans="1:21" ht="15.75" customHeight="1">
      <c r="A147" s="14"/>
      <c r="B147" s="14"/>
      <c r="C147" s="14"/>
      <c r="D147" s="14"/>
      <c r="E147" s="14"/>
      <c r="F147" s="14"/>
      <c r="G147" s="14" t="str">
        <f t="shared" si="14"/>
        <v/>
      </c>
      <c r="H147" s="14"/>
      <c r="I147" s="14"/>
      <c r="J147" s="24"/>
      <c r="K147" s="24"/>
      <c r="L147" s="24"/>
      <c r="M147" s="24"/>
      <c r="N147" s="16" t="str">
        <f t="shared" si="18"/>
        <v/>
      </c>
      <c r="O147" s="16" t="str">
        <f t="shared" si="15"/>
        <v/>
      </c>
      <c r="P147" s="16" t="str">
        <f t="shared" si="16"/>
        <v/>
      </c>
      <c r="Q147" s="16" t="str">
        <f t="shared" si="17"/>
        <v/>
      </c>
      <c r="R147" s="16">
        <f t="shared" si="19"/>
        <v>0</v>
      </c>
      <c r="S147" s="16" t="str">
        <f>IF(OR($B147="",NOT(ISNUMBER($F147))),"",SUMIFS(community_cores_FS!$P$5:$P$597,community_cores_FS!$B$5:$B$597,$B147,community_cores_FS!$F$5:$F$597,"&lt;="&amp;$F147))</f>
        <v/>
      </c>
      <c r="T147" s="16" t="str">
        <f>IF(AND($A147="",$B147="",$E147=""),"",IF(AND($B147&lt;&gt;"",COUNTIF('2. Core Log'!$A$5:$A$124,$B147)=0),"Core ID not in Core Log. ","")&amp;IF(AND($A147&lt;&gt;"",COUNTIF('1. Plot &amp; Site Log'!$A$5:$A$64,$A147)=0),"Plot ID not in Plot &amp; Site Log. ","")&amp;IF(AND(ISNUMBER($E147),ISNUMBER($F147),$F147&lt;=$E147),"Bottom depth is not below top depth. ","")&amp;IF($I147="","Say which bulk-density basis the lab reported. ","")&amp;IF(AND(ISNUMBER($J147),OR($J147&lt;QC_BD_MIN,$J147&gt;QC_BD_MAX)),"Bulk density outside "&amp;QC_BD_MIN&amp;"–"&amp;QC_BD_MAX&amp;" g/cm³ for peat. Above the top of that range usually means the mineral contact has been passed. ","")&amp;IF(AND(ISNUMBER($N147),$N147&gt;QC_CARBON_PCT_MAX),"Carbon above "&amp;QC_CARBON_PCT_MAX&amp;"% — check units; this may be organic matter rather than carbon. ","")&amp;IF(AND($L147&lt;&gt;"",$M147&lt;&gt;""),"Both LOI and measured carbon given — the measured value is used. ","")&amp;IF(AND($M147="",$L147&lt;&gt;"",OM_FACTOR_IS_LOCAL&lt;&gt;"Yes"),"Carbon derived from LOI using the default factor of "&amp;CARBON_FRACTION_OM&amp;", which has not been calibrated locally. See R1. Reference. ","")&amp;IF(AND(ISNUMBER($O147),$O147=0,ISNUMBER($E147)),"Section lies entirely below the reference depth — it counts to the full-profile stock only. ",""))</f>
        <v/>
      </c>
      <c r="U147" s="14"/>
    </row>
    <row r="148" spans="1:21" ht="15.75" customHeight="1">
      <c r="A148" s="14"/>
      <c r="B148" s="14"/>
      <c r="C148" s="14"/>
      <c r="D148" s="14"/>
      <c r="E148" s="14"/>
      <c r="F148" s="14"/>
      <c r="G148" s="14" t="str">
        <f t="shared" si="14"/>
        <v/>
      </c>
      <c r="H148" s="14"/>
      <c r="I148" s="14"/>
      <c r="J148" s="24"/>
      <c r="K148" s="24"/>
      <c r="L148" s="24"/>
      <c r="M148" s="24"/>
      <c r="N148" s="16" t="str">
        <f t="shared" si="18"/>
        <v/>
      </c>
      <c r="O148" s="16" t="str">
        <f t="shared" si="15"/>
        <v/>
      </c>
      <c r="P148" s="16" t="str">
        <f t="shared" si="16"/>
        <v/>
      </c>
      <c r="Q148" s="16" t="str">
        <f t="shared" si="17"/>
        <v/>
      </c>
      <c r="R148" s="16">
        <f t="shared" si="19"/>
        <v>0</v>
      </c>
      <c r="S148" s="16" t="str">
        <f>IF(OR($B148="",NOT(ISNUMBER($F148))),"",SUMIFS(community_cores_FS!$P$5:$P$597,community_cores_FS!$B$5:$B$597,$B148,community_cores_FS!$F$5:$F$597,"&lt;="&amp;$F148))</f>
        <v/>
      </c>
      <c r="T148" s="16" t="str">
        <f>IF(AND($A148="",$B148="",$E148=""),"",IF(AND($B148&lt;&gt;"",COUNTIF('2. Core Log'!$A$5:$A$124,$B148)=0),"Core ID not in Core Log. ","")&amp;IF(AND($A148&lt;&gt;"",COUNTIF('1. Plot &amp; Site Log'!$A$5:$A$64,$A148)=0),"Plot ID not in Plot &amp; Site Log. ","")&amp;IF(AND(ISNUMBER($E148),ISNUMBER($F148),$F148&lt;=$E148),"Bottom depth is not below top depth. ","")&amp;IF($I148="","Say which bulk-density basis the lab reported. ","")&amp;IF(AND(ISNUMBER($J148),OR($J148&lt;QC_BD_MIN,$J148&gt;QC_BD_MAX)),"Bulk density outside "&amp;QC_BD_MIN&amp;"–"&amp;QC_BD_MAX&amp;" g/cm³ for peat. Above the top of that range usually means the mineral contact has been passed. ","")&amp;IF(AND(ISNUMBER($N148),$N148&gt;QC_CARBON_PCT_MAX),"Carbon above "&amp;QC_CARBON_PCT_MAX&amp;"% — check units; this may be organic matter rather than carbon. ","")&amp;IF(AND($L148&lt;&gt;"",$M148&lt;&gt;""),"Both LOI and measured carbon given — the measured value is used. ","")&amp;IF(AND($M148="",$L148&lt;&gt;"",OM_FACTOR_IS_LOCAL&lt;&gt;"Yes"),"Carbon derived from LOI using the default factor of "&amp;CARBON_FRACTION_OM&amp;", which has not been calibrated locally. See R1. Reference. ","")&amp;IF(AND(ISNUMBER($O148),$O148=0,ISNUMBER($E148)),"Section lies entirely below the reference depth — it counts to the full-profile stock only. ",""))</f>
        <v/>
      </c>
      <c r="U148" s="14"/>
    </row>
    <row r="149" spans="1:21" ht="15.75" customHeight="1">
      <c r="A149" s="14"/>
      <c r="B149" s="14"/>
      <c r="C149" s="14"/>
      <c r="D149" s="14"/>
      <c r="E149" s="14"/>
      <c r="F149" s="14"/>
      <c r="G149" s="14" t="str">
        <f t="shared" si="14"/>
        <v/>
      </c>
      <c r="H149" s="14"/>
      <c r="I149" s="14"/>
      <c r="J149" s="24"/>
      <c r="K149" s="24"/>
      <c r="L149" s="24"/>
      <c r="M149" s="24"/>
      <c r="N149" s="16" t="str">
        <f t="shared" si="18"/>
        <v/>
      </c>
      <c r="O149" s="16" t="str">
        <f t="shared" si="15"/>
        <v/>
      </c>
      <c r="P149" s="16" t="str">
        <f t="shared" si="16"/>
        <v/>
      </c>
      <c r="Q149" s="16" t="str">
        <f t="shared" si="17"/>
        <v/>
      </c>
      <c r="R149" s="16">
        <f t="shared" si="19"/>
        <v>0</v>
      </c>
      <c r="S149" s="16" t="str">
        <f>IF(OR($B149="",NOT(ISNUMBER($F149))),"",SUMIFS(community_cores_FS!$P$5:$P$597,community_cores_FS!$B$5:$B$597,$B149,community_cores_FS!$F$5:$F$597,"&lt;="&amp;$F149))</f>
        <v/>
      </c>
      <c r="T149" s="16" t="str">
        <f>IF(AND($A149="",$B149="",$E149=""),"",IF(AND($B149&lt;&gt;"",COUNTIF('2. Core Log'!$A$5:$A$124,$B149)=0),"Core ID not in Core Log. ","")&amp;IF(AND($A149&lt;&gt;"",COUNTIF('1. Plot &amp; Site Log'!$A$5:$A$64,$A149)=0),"Plot ID not in Plot &amp; Site Log. ","")&amp;IF(AND(ISNUMBER($E149),ISNUMBER($F149),$F149&lt;=$E149),"Bottom depth is not below top depth. ","")&amp;IF($I149="","Say which bulk-density basis the lab reported. ","")&amp;IF(AND(ISNUMBER($J149),OR($J149&lt;QC_BD_MIN,$J149&gt;QC_BD_MAX)),"Bulk density outside "&amp;QC_BD_MIN&amp;"–"&amp;QC_BD_MAX&amp;" g/cm³ for peat. Above the top of that range usually means the mineral contact has been passed. ","")&amp;IF(AND(ISNUMBER($N149),$N149&gt;QC_CARBON_PCT_MAX),"Carbon above "&amp;QC_CARBON_PCT_MAX&amp;"% — check units; this may be organic matter rather than carbon. ","")&amp;IF(AND($L149&lt;&gt;"",$M149&lt;&gt;""),"Both LOI and measured carbon given — the measured value is used. ","")&amp;IF(AND($M149="",$L149&lt;&gt;"",OM_FACTOR_IS_LOCAL&lt;&gt;"Yes"),"Carbon derived from LOI using the default factor of "&amp;CARBON_FRACTION_OM&amp;", which has not been calibrated locally. See R1. Reference. ","")&amp;IF(AND(ISNUMBER($O149),$O149=0,ISNUMBER($E149)),"Section lies entirely below the reference depth — it counts to the full-profile stock only. ",""))</f>
        <v/>
      </c>
      <c r="U149" s="14"/>
    </row>
    <row r="150" spans="1:21" ht="15.75" customHeight="1">
      <c r="A150" s="14"/>
      <c r="B150" s="14"/>
      <c r="C150" s="14"/>
      <c r="D150" s="14"/>
      <c r="E150" s="14"/>
      <c r="F150" s="14"/>
      <c r="G150" s="14" t="str">
        <f t="shared" si="14"/>
        <v/>
      </c>
      <c r="H150" s="14"/>
      <c r="I150" s="14"/>
      <c r="J150" s="24"/>
      <c r="K150" s="24"/>
      <c r="L150" s="24"/>
      <c r="M150" s="24"/>
      <c r="N150" s="16" t="str">
        <f t="shared" si="18"/>
        <v/>
      </c>
      <c r="O150" s="16" t="str">
        <f t="shared" si="15"/>
        <v/>
      </c>
      <c r="P150" s="16" t="str">
        <f t="shared" si="16"/>
        <v/>
      </c>
      <c r="Q150" s="16" t="str">
        <f t="shared" si="17"/>
        <v/>
      </c>
      <c r="R150" s="16">
        <f t="shared" si="19"/>
        <v>0</v>
      </c>
      <c r="S150" s="16" t="str">
        <f>IF(OR($B150="",NOT(ISNUMBER($F150))),"",SUMIFS(community_cores_FS!$P$5:$P$597,community_cores_FS!$B$5:$B$597,$B150,community_cores_FS!$F$5:$F$597,"&lt;="&amp;$F150))</f>
        <v/>
      </c>
      <c r="T150" s="16" t="str">
        <f>IF(AND($A150="",$B150="",$E150=""),"",IF(AND($B150&lt;&gt;"",COUNTIF('2. Core Log'!$A$5:$A$124,$B150)=0),"Core ID not in Core Log. ","")&amp;IF(AND($A150&lt;&gt;"",COUNTIF('1. Plot &amp; Site Log'!$A$5:$A$64,$A150)=0),"Plot ID not in Plot &amp; Site Log. ","")&amp;IF(AND(ISNUMBER($E150),ISNUMBER($F150),$F150&lt;=$E150),"Bottom depth is not below top depth. ","")&amp;IF($I150="","Say which bulk-density basis the lab reported. ","")&amp;IF(AND(ISNUMBER($J150),OR($J150&lt;QC_BD_MIN,$J150&gt;QC_BD_MAX)),"Bulk density outside "&amp;QC_BD_MIN&amp;"–"&amp;QC_BD_MAX&amp;" g/cm³ for peat. Above the top of that range usually means the mineral contact has been passed. ","")&amp;IF(AND(ISNUMBER($N150),$N150&gt;QC_CARBON_PCT_MAX),"Carbon above "&amp;QC_CARBON_PCT_MAX&amp;"% — check units; this may be organic matter rather than carbon. ","")&amp;IF(AND($L150&lt;&gt;"",$M150&lt;&gt;""),"Both LOI and measured carbon given — the measured value is used. ","")&amp;IF(AND($M150="",$L150&lt;&gt;"",OM_FACTOR_IS_LOCAL&lt;&gt;"Yes"),"Carbon derived from LOI using the default factor of "&amp;CARBON_FRACTION_OM&amp;", which has not been calibrated locally. See R1. Reference. ","")&amp;IF(AND(ISNUMBER($O150),$O150=0,ISNUMBER($E150)),"Section lies entirely below the reference depth — it counts to the full-profile stock only. ",""))</f>
        <v/>
      </c>
      <c r="U150" s="14"/>
    </row>
    <row r="151" spans="1:21" ht="15.75" customHeight="1">
      <c r="A151" s="14"/>
      <c r="B151" s="14"/>
      <c r="C151" s="14"/>
      <c r="D151" s="14"/>
      <c r="E151" s="14"/>
      <c r="F151" s="14"/>
      <c r="G151" s="14" t="str">
        <f t="shared" si="14"/>
        <v/>
      </c>
      <c r="H151" s="14"/>
      <c r="I151" s="14"/>
      <c r="J151" s="24"/>
      <c r="K151" s="24"/>
      <c r="L151" s="24"/>
      <c r="M151" s="24"/>
      <c r="N151" s="16" t="str">
        <f t="shared" si="18"/>
        <v/>
      </c>
      <c r="O151" s="16" t="str">
        <f t="shared" si="15"/>
        <v/>
      </c>
      <c r="P151" s="16" t="str">
        <f t="shared" si="16"/>
        <v/>
      </c>
      <c r="Q151" s="16" t="str">
        <f t="shared" si="17"/>
        <v/>
      </c>
      <c r="R151" s="16">
        <f t="shared" si="19"/>
        <v>0</v>
      </c>
      <c r="S151" s="16" t="str">
        <f>IF(OR($B151="",NOT(ISNUMBER($F151))),"",SUMIFS(community_cores_FS!$P$5:$P$597,community_cores_FS!$B$5:$B$597,$B151,community_cores_FS!$F$5:$F$597,"&lt;="&amp;$F151))</f>
        <v/>
      </c>
      <c r="T151" s="16" t="str">
        <f>IF(AND($A151="",$B151="",$E151=""),"",IF(AND($B151&lt;&gt;"",COUNTIF('2. Core Log'!$A$5:$A$124,$B151)=0),"Core ID not in Core Log. ","")&amp;IF(AND($A151&lt;&gt;"",COUNTIF('1. Plot &amp; Site Log'!$A$5:$A$64,$A151)=0),"Plot ID not in Plot &amp; Site Log. ","")&amp;IF(AND(ISNUMBER($E151),ISNUMBER($F151),$F151&lt;=$E151),"Bottom depth is not below top depth. ","")&amp;IF($I151="","Say which bulk-density basis the lab reported. ","")&amp;IF(AND(ISNUMBER($J151),OR($J151&lt;QC_BD_MIN,$J151&gt;QC_BD_MAX)),"Bulk density outside "&amp;QC_BD_MIN&amp;"–"&amp;QC_BD_MAX&amp;" g/cm³ for peat. Above the top of that range usually means the mineral contact has been passed. ","")&amp;IF(AND(ISNUMBER($N151),$N151&gt;QC_CARBON_PCT_MAX),"Carbon above "&amp;QC_CARBON_PCT_MAX&amp;"% — check units; this may be organic matter rather than carbon. ","")&amp;IF(AND($L151&lt;&gt;"",$M151&lt;&gt;""),"Both LOI and measured carbon given — the measured value is used. ","")&amp;IF(AND($M151="",$L151&lt;&gt;"",OM_FACTOR_IS_LOCAL&lt;&gt;"Yes"),"Carbon derived from LOI using the default factor of "&amp;CARBON_FRACTION_OM&amp;", which has not been calibrated locally. See R1. Reference. ","")&amp;IF(AND(ISNUMBER($O151),$O151=0,ISNUMBER($E151)),"Section lies entirely below the reference depth — it counts to the full-profile stock only. ",""))</f>
        <v/>
      </c>
      <c r="U151" s="14"/>
    </row>
    <row r="152" spans="1:21" ht="15.75" customHeight="1">
      <c r="A152" s="14"/>
      <c r="B152" s="14"/>
      <c r="C152" s="14"/>
      <c r="D152" s="14"/>
      <c r="E152" s="14"/>
      <c r="F152" s="14"/>
      <c r="G152" s="14" t="str">
        <f t="shared" si="14"/>
        <v/>
      </c>
      <c r="H152" s="14"/>
      <c r="I152" s="14"/>
      <c r="J152" s="24"/>
      <c r="K152" s="24"/>
      <c r="L152" s="24"/>
      <c r="M152" s="24"/>
      <c r="N152" s="16" t="str">
        <f t="shared" si="18"/>
        <v/>
      </c>
      <c r="O152" s="16" t="str">
        <f t="shared" si="15"/>
        <v/>
      </c>
      <c r="P152" s="16" t="str">
        <f t="shared" si="16"/>
        <v/>
      </c>
      <c r="Q152" s="16" t="str">
        <f t="shared" si="17"/>
        <v/>
      </c>
      <c r="R152" s="16">
        <f t="shared" si="19"/>
        <v>0</v>
      </c>
      <c r="S152" s="16" t="str">
        <f>IF(OR($B152="",NOT(ISNUMBER($F152))),"",SUMIFS(community_cores_FS!$P$5:$P$597,community_cores_FS!$B$5:$B$597,$B152,community_cores_FS!$F$5:$F$597,"&lt;="&amp;$F152))</f>
        <v/>
      </c>
      <c r="T152" s="16" t="str">
        <f>IF(AND($A152="",$B152="",$E152=""),"",IF(AND($B152&lt;&gt;"",COUNTIF('2. Core Log'!$A$5:$A$124,$B152)=0),"Core ID not in Core Log. ","")&amp;IF(AND($A152&lt;&gt;"",COUNTIF('1. Plot &amp; Site Log'!$A$5:$A$64,$A152)=0),"Plot ID not in Plot &amp; Site Log. ","")&amp;IF(AND(ISNUMBER($E152),ISNUMBER($F152),$F152&lt;=$E152),"Bottom depth is not below top depth. ","")&amp;IF($I152="","Say which bulk-density basis the lab reported. ","")&amp;IF(AND(ISNUMBER($J152),OR($J152&lt;QC_BD_MIN,$J152&gt;QC_BD_MAX)),"Bulk density outside "&amp;QC_BD_MIN&amp;"–"&amp;QC_BD_MAX&amp;" g/cm³ for peat. Above the top of that range usually means the mineral contact has been passed. ","")&amp;IF(AND(ISNUMBER($N152),$N152&gt;QC_CARBON_PCT_MAX),"Carbon above "&amp;QC_CARBON_PCT_MAX&amp;"% — check units; this may be organic matter rather than carbon. ","")&amp;IF(AND($L152&lt;&gt;"",$M152&lt;&gt;""),"Both LOI and measured carbon given — the measured value is used. ","")&amp;IF(AND($M152="",$L152&lt;&gt;"",OM_FACTOR_IS_LOCAL&lt;&gt;"Yes"),"Carbon derived from LOI using the default factor of "&amp;CARBON_FRACTION_OM&amp;", which has not been calibrated locally. See R1. Reference. ","")&amp;IF(AND(ISNUMBER($O152),$O152=0,ISNUMBER($E152)),"Section lies entirely below the reference depth — it counts to the full-profile stock only. ",""))</f>
        <v/>
      </c>
      <c r="U152" s="14"/>
    </row>
    <row r="153" spans="1:21" ht="15.75" customHeight="1">
      <c r="A153" s="14"/>
      <c r="B153" s="14"/>
      <c r="C153" s="14"/>
      <c r="D153" s="14"/>
      <c r="E153" s="14"/>
      <c r="F153" s="14"/>
      <c r="G153" s="14" t="str">
        <f t="shared" si="14"/>
        <v/>
      </c>
      <c r="H153" s="14"/>
      <c r="I153" s="14"/>
      <c r="J153" s="24"/>
      <c r="K153" s="24"/>
      <c r="L153" s="24"/>
      <c r="M153" s="24"/>
      <c r="N153" s="16" t="str">
        <f t="shared" si="18"/>
        <v/>
      </c>
      <c r="O153" s="16" t="str">
        <f t="shared" si="15"/>
        <v/>
      </c>
      <c r="P153" s="16" t="str">
        <f t="shared" si="16"/>
        <v/>
      </c>
      <c r="Q153" s="16" t="str">
        <f t="shared" si="17"/>
        <v/>
      </c>
      <c r="R153" s="16">
        <f t="shared" si="19"/>
        <v>0</v>
      </c>
      <c r="S153" s="16" t="str">
        <f>IF(OR($B153="",NOT(ISNUMBER($F153))),"",SUMIFS(community_cores_FS!$P$5:$P$597,community_cores_FS!$B$5:$B$597,$B153,community_cores_FS!$F$5:$F$597,"&lt;="&amp;$F153))</f>
        <v/>
      </c>
      <c r="T153" s="16" t="str">
        <f>IF(AND($A153="",$B153="",$E153=""),"",IF(AND($B153&lt;&gt;"",COUNTIF('2. Core Log'!$A$5:$A$124,$B153)=0),"Core ID not in Core Log. ","")&amp;IF(AND($A153&lt;&gt;"",COUNTIF('1. Plot &amp; Site Log'!$A$5:$A$64,$A153)=0),"Plot ID not in Plot &amp; Site Log. ","")&amp;IF(AND(ISNUMBER($E153),ISNUMBER($F153),$F153&lt;=$E153),"Bottom depth is not below top depth. ","")&amp;IF($I153="","Say which bulk-density basis the lab reported. ","")&amp;IF(AND(ISNUMBER($J153),OR($J153&lt;QC_BD_MIN,$J153&gt;QC_BD_MAX)),"Bulk density outside "&amp;QC_BD_MIN&amp;"–"&amp;QC_BD_MAX&amp;" g/cm³ for peat. Above the top of that range usually means the mineral contact has been passed. ","")&amp;IF(AND(ISNUMBER($N153),$N153&gt;QC_CARBON_PCT_MAX),"Carbon above "&amp;QC_CARBON_PCT_MAX&amp;"% — check units; this may be organic matter rather than carbon. ","")&amp;IF(AND($L153&lt;&gt;"",$M153&lt;&gt;""),"Both LOI and measured carbon given — the measured value is used. ","")&amp;IF(AND($M153="",$L153&lt;&gt;"",OM_FACTOR_IS_LOCAL&lt;&gt;"Yes"),"Carbon derived from LOI using the default factor of "&amp;CARBON_FRACTION_OM&amp;", which has not been calibrated locally. See R1. Reference. ","")&amp;IF(AND(ISNUMBER($O153),$O153=0,ISNUMBER($E153)),"Section lies entirely below the reference depth — it counts to the full-profile stock only. ",""))</f>
        <v/>
      </c>
      <c r="U153" s="14"/>
    </row>
    <row r="154" spans="1:21" ht="15.75" customHeight="1">
      <c r="A154" s="14"/>
      <c r="B154" s="14"/>
      <c r="C154" s="14"/>
      <c r="D154" s="14"/>
      <c r="E154" s="14"/>
      <c r="F154" s="14"/>
      <c r="G154" s="14" t="str">
        <f t="shared" si="14"/>
        <v/>
      </c>
      <c r="H154" s="14"/>
      <c r="I154" s="14"/>
      <c r="J154" s="24"/>
      <c r="K154" s="24"/>
      <c r="L154" s="24"/>
      <c r="M154" s="24"/>
      <c r="N154" s="16" t="str">
        <f t="shared" si="18"/>
        <v/>
      </c>
      <c r="O154" s="16" t="str">
        <f t="shared" si="15"/>
        <v/>
      </c>
      <c r="P154" s="16" t="str">
        <f t="shared" si="16"/>
        <v/>
      </c>
      <c r="Q154" s="16" t="str">
        <f t="shared" si="17"/>
        <v/>
      </c>
      <c r="R154" s="16">
        <f t="shared" si="19"/>
        <v>0</v>
      </c>
      <c r="S154" s="16" t="str">
        <f>IF(OR($B154="",NOT(ISNUMBER($F154))),"",SUMIFS(community_cores_FS!$P$5:$P$597,community_cores_FS!$B$5:$B$597,$B154,community_cores_FS!$F$5:$F$597,"&lt;="&amp;$F154))</f>
        <v/>
      </c>
      <c r="T154" s="16" t="str">
        <f>IF(AND($A154="",$B154="",$E154=""),"",IF(AND($B154&lt;&gt;"",COUNTIF('2. Core Log'!$A$5:$A$124,$B154)=0),"Core ID not in Core Log. ","")&amp;IF(AND($A154&lt;&gt;"",COUNTIF('1. Plot &amp; Site Log'!$A$5:$A$64,$A154)=0),"Plot ID not in Plot &amp; Site Log. ","")&amp;IF(AND(ISNUMBER($E154),ISNUMBER($F154),$F154&lt;=$E154),"Bottom depth is not below top depth. ","")&amp;IF($I154="","Say which bulk-density basis the lab reported. ","")&amp;IF(AND(ISNUMBER($J154),OR($J154&lt;QC_BD_MIN,$J154&gt;QC_BD_MAX)),"Bulk density outside "&amp;QC_BD_MIN&amp;"–"&amp;QC_BD_MAX&amp;" g/cm³ for peat. Above the top of that range usually means the mineral contact has been passed. ","")&amp;IF(AND(ISNUMBER($N154),$N154&gt;QC_CARBON_PCT_MAX),"Carbon above "&amp;QC_CARBON_PCT_MAX&amp;"% — check units; this may be organic matter rather than carbon. ","")&amp;IF(AND($L154&lt;&gt;"",$M154&lt;&gt;""),"Both LOI and measured carbon given — the measured value is used. ","")&amp;IF(AND($M154="",$L154&lt;&gt;"",OM_FACTOR_IS_LOCAL&lt;&gt;"Yes"),"Carbon derived from LOI using the default factor of "&amp;CARBON_FRACTION_OM&amp;", which has not been calibrated locally. See R1. Reference. ","")&amp;IF(AND(ISNUMBER($O154),$O154=0,ISNUMBER($E154)),"Section lies entirely below the reference depth — it counts to the full-profile stock only. ",""))</f>
        <v/>
      </c>
      <c r="U154" s="14"/>
    </row>
    <row r="155" spans="1:21" ht="15.75" customHeight="1">
      <c r="A155" s="14"/>
      <c r="B155" s="14"/>
      <c r="C155" s="14"/>
      <c r="D155" s="14"/>
      <c r="E155" s="14"/>
      <c r="F155" s="14"/>
      <c r="G155" s="14" t="str">
        <f t="shared" ref="G155:G218" si="20">IF(OR($E155="",$F155=""),"",$F155-$E155)</f>
        <v/>
      </c>
      <c r="H155" s="14"/>
      <c r="I155" s="14"/>
      <c r="J155" s="24"/>
      <c r="K155" s="24"/>
      <c r="L155" s="24"/>
      <c r="M155" s="24"/>
      <c r="N155" s="16" t="str">
        <f t="shared" si="18"/>
        <v/>
      </c>
      <c r="O155" s="16" t="str">
        <f t="shared" ref="O155:O218" si="21">IF(OR($E155="",$F155=""),"",MAX(0,MIN($F155,REFERENCE_DEPTH_CM)-MIN($E155,REFERENCE_DEPTH_CM)))</f>
        <v/>
      </c>
      <c r="P155" s="16" t="str">
        <f t="shared" ref="P155:P218" si="22">IF(OR($J155="",$N155="",$G155=""),"",$J155*($N155/100)*$G155*10)</f>
        <v/>
      </c>
      <c r="Q155" s="16" t="str">
        <f t="shared" ref="Q155:Q218" si="23">IF(OR($J155="",$N155="",$O155=""),"",$J155*($N155/100)*$O155*10)</f>
        <v/>
      </c>
      <c r="R155" s="16">
        <f t="shared" si="19"/>
        <v>0</v>
      </c>
      <c r="S155" s="16" t="str">
        <f>IF(OR($B155="",NOT(ISNUMBER($F155))),"",SUMIFS(community_cores_FS!$P$5:$P$597,community_cores_FS!$B$5:$B$597,$B155,community_cores_FS!$F$5:$F$597,"&lt;="&amp;$F155))</f>
        <v/>
      </c>
      <c r="T155" s="16" t="str">
        <f>IF(AND($A155="",$B155="",$E155=""),"",IF(AND($B155&lt;&gt;"",COUNTIF('2. Core Log'!$A$5:$A$124,$B155)=0),"Core ID not in Core Log. ","")&amp;IF(AND($A155&lt;&gt;"",COUNTIF('1. Plot &amp; Site Log'!$A$5:$A$64,$A155)=0),"Plot ID not in Plot &amp; Site Log. ","")&amp;IF(AND(ISNUMBER($E155),ISNUMBER($F155),$F155&lt;=$E155),"Bottom depth is not below top depth. ","")&amp;IF($I155="","Say which bulk-density basis the lab reported. ","")&amp;IF(AND(ISNUMBER($J155),OR($J155&lt;QC_BD_MIN,$J155&gt;QC_BD_MAX)),"Bulk density outside "&amp;QC_BD_MIN&amp;"–"&amp;QC_BD_MAX&amp;" g/cm³ for peat. Above the top of that range usually means the mineral contact has been passed. ","")&amp;IF(AND(ISNUMBER($N155),$N155&gt;QC_CARBON_PCT_MAX),"Carbon above "&amp;QC_CARBON_PCT_MAX&amp;"% — check units; this may be organic matter rather than carbon. ","")&amp;IF(AND($L155&lt;&gt;"",$M155&lt;&gt;""),"Both LOI and measured carbon given — the measured value is used. ","")&amp;IF(AND($M155="",$L155&lt;&gt;"",OM_FACTOR_IS_LOCAL&lt;&gt;"Yes"),"Carbon derived from LOI using the default factor of "&amp;CARBON_FRACTION_OM&amp;", which has not been calibrated locally. See R1. Reference. ","")&amp;IF(AND(ISNUMBER($O155),$O155=0,ISNUMBER($E155)),"Section lies entirely below the reference depth — it counts to the full-profile stock only. ",""))</f>
        <v/>
      </c>
      <c r="U155" s="14"/>
    </row>
    <row r="156" spans="1:21" ht="15.75" customHeight="1">
      <c r="A156" s="14"/>
      <c r="B156" s="14"/>
      <c r="C156" s="14"/>
      <c r="D156" s="14"/>
      <c r="E156" s="14"/>
      <c r="F156" s="14"/>
      <c r="G156" s="14" t="str">
        <f t="shared" si="20"/>
        <v/>
      </c>
      <c r="H156" s="14"/>
      <c r="I156" s="14"/>
      <c r="J156" s="24"/>
      <c r="K156" s="24"/>
      <c r="L156" s="24"/>
      <c r="M156" s="24"/>
      <c r="N156" s="16" t="str">
        <f t="shared" si="18"/>
        <v/>
      </c>
      <c r="O156" s="16" t="str">
        <f t="shared" si="21"/>
        <v/>
      </c>
      <c r="P156" s="16" t="str">
        <f t="shared" si="22"/>
        <v/>
      </c>
      <c r="Q156" s="16" t="str">
        <f t="shared" si="23"/>
        <v/>
      </c>
      <c r="R156" s="16">
        <f t="shared" si="19"/>
        <v>0</v>
      </c>
      <c r="S156" s="16" t="str">
        <f>IF(OR($B156="",NOT(ISNUMBER($F156))),"",SUMIFS(community_cores_FS!$P$5:$P$597,community_cores_FS!$B$5:$B$597,$B156,community_cores_FS!$F$5:$F$597,"&lt;="&amp;$F156))</f>
        <v/>
      </c>
      <c r="T156" s="16" t="str">
        <f>IF(AND($A156="",$B156="",$E156=""),"",IF(AND($B156&lt;&gt;"",COUNTIF('2. Core Log'!$A$5:$A$124,$B156)=0),"Core ID not in Core Log. ","")&amp;IF(AND($A156&lt;&gt;"",COUNTIF('1. Plot &amp; Site Log'!$A$5:$A$64,$A156)=0),"Plot ID not in Plot &amp; Site Log. ","")&amp;IF(AND(ISNUMBER($E156),ISNUMBER($F156),$F156&lt;=$E156),"Bottom depth is not below top depth. ","")&amp;IF($I156="","Say which bulk-density basis the lab reported. ","")&amp;IF(AND(ISNUMBER($J156),OR($J156&lt;QC_BD_MIN,$J156&gt;QC_BD_MAX)),"Bulk density outside "&amp;QC_BD_MIN&amp;"–"&amp;QC_BD_MAX&amp;" g/cm³ for peat. Above the top of that range usually means the mineral contact has been passed. ","")&amp;IF(AND(ISNUMBER($N156),$N156&gt;QC_CARBON_PCT_MAX),"Carbon above "&amp;QC_CARBON_PCT_MAX&amp;"% — check units; this may be organic matter rather than carbon. ","")&amp;IF(AND($L156&lt;&gt;"",$M156&lt;&gt;""),"Both LOI and measured carbon given — the measured value is used. ","")&amp;IF(AND($M156="",$L156&lt;&gt;"",OM_FACTOR_IS_LOCAL&lt;&gt;"Yes"),"Carbon derived from LOI using the default factor of "&amp;CARBON_FRACTION_OM&amp;", which has not been calibrated locally. See R1. Reference. ","")&amp;IF(AND(ISNUMBER($O156),$O156=0,ISNUMBER($E156)),"Section lies entirely below the reference depth — it counts to the full-profile stock only. ",""))</f>
        <v/>
      </c>
      <c r="U156" s="14"/>
    </row>
    <row r="157" spans="1:21" ht="15.75" customHeight="1">
      <c r="A157" s="14"/>
      <c r="B157" s="14"/>
      <c r="C157" s="14"/>
      <c r="D157" s="14"/>
      <c r="E157" s="14"/>
      <c r="F157" s="14"/>
      <c r="G157" s="14" t="str">
        <f t="shared" si="20"/>
        <v/>
      </c>
      <c r="H157" s="14"/>
      <c r="I157" s="14"/>
      <c r="J157" s="24"/>
      <c r="K157" s="24"/>
      <c r="L157" s="24"/>
      <c r="M157" s="24"/>
      <c r="N157" s="16" t="str">
        <f t="shared" si="18"/>
        <v/>
      </c>
      <c r="O157" s="16" t="str">
        <f t="shared" si="21"/>
        <v/>
      </c>
      <c r="P157" s="16" t="str">
        <f t="shared" si="22"/>
        <v/>
      </c>
      <c r="Q157" s="16" t="str">
        <f t="shared" si="23"/>
        <v/>
      </c>
      <c r="R157" s="16">
        <f t="shared" si="19"/>
        <v>0</v>
      </c>
      <c r="S157" s="16" t="str">
        <f>IF(OR($B157="",NOT(ISNUMBER($F157))),"",SUMIFS(community_cores_FS!$P$5:$P$597,community_cores_FS!$B$5:$B$597,$B157,community_cores_FS!$F$5:$F$597,"&lt;="&amp;$F157))</f>
        <v/>
      </c>
      <c r="T157" s="16" t="str">
        <f>IF(AND($A157="",$B157="",$E157=""),"",IF(AND($B157&lt;&gt;"",COUNTIF('2. Core Log'!$A$5:$A$124,$B157)=0),"Core ID not in Core Log. ","")&amp;IF(AND($A157&lt;&gt;"",COUNTIF('1. Plot &amp; Site Log'!$A$5:$A$64,$A157)=0),"Plot ID not in Plot &amp; Site Log. ","")&amp;IF(AND(ISNUMBER($E157),ISNUMBER($F157),$F157&lt;=$E157),"Bottom depth is not below top depth. ","")&amp;IF($I157="","Say which bulk-density basis the lab reported. ","")&amp;IF(AND(ISNUMBER($J157),OR($J157&lt;QC_BD_MIN,$J157&gt;QC_BD_MAX)),"Bulk density outside "&amp;QC_BD_MIN&amp;"–"&amp;QC_BD_MAX&amp;" g/cm³ for peat. Above the top of that range usually means the mineral contact has been passed. ","")&amp;IF(AND(ISNUMBER($N157),$N157&gt;QC_CARBON_PCT_MAX),"Carbon above "&amp;QC_CARBON_PCT_MAX&amp;"% — check units; this may be organic matter rather than carbon. ","")&amp;IF(AND($L157&lt;&gt;"",$M157&lt;&gt;""),"Both LOI and measured carbon given — the measured value is used. ","")&amp;IF(AND($M157="",$L157&lt;&gt;"",OM_FACTOR_IS_LOCAL&lt;&gt;"Yes"),"Carbon derived from LOI using the default factor of "&amp;CARBON_FRACTION_OM&amp;", which has not been calibrated locally. See R1. Reference. ","")&amp;IF(AND(ISNUMBER($O157),$O157=0,ISNUMBER($E157)),"Section lies entirely below the reference depth — it counts to the full-profile stock only. ",""))</f>
        <v/>
      </c>
      <c r="U157" s="14"/>
    </row>
    <row r="158" spans="1:21" ht="15.75" customHeight="1">
      <c r="A158" s="14"/>
      <c r="B158" s="14"/>
      <c r="C158" s="14"/>
      <c r="D158" s="14"/>
      <c r="E158" s="14"/>
      <c r="F158" s="14"/>
      <c r="G158" s="14" t="str">
        <f t="shared" si="20"/>
        <v/>
      </c>
      <c r="H158" s="14"/>
      <c r="I158" s="14"/>
      <c r="J158" s="24"/>
      <c r="K158" s="24"/>
      <c r="L158" s="24"/>
      <c r="M158" s="24"/>
      <c r="N158" s="16" t="str">
        <f t="shared" si="18"/>
        <v/>
      </c>
      <c r="O158" s="16" t="str">
        <f t="shared" si="21"/>
        <v/>
      </c>
      <c r="P158" s="16" t="str">
        <f t="shared" si="22"/>
        <v/>
      </c>
      <c r="Q158" s="16" t="str">
        <f t="shared" si="23"/>
        <v/>
      </c>
      <c r="R158" s="16">
        <f t="shared" si="19"/>
        <v>0</v>
      </c>
      <c r="S158" s="16" t="str">
        <f>IF(OR($B158="",NOT(ISNUMBER($F158))),"",SUMIFS(community_cores_FS!$P$5:$P$597,community_cores_FS!$B$5:$B$597,$B158,community_cores_FS!$F$5:$F$597,"&lt;="&amp;$F158))</f>
        <v/>
      </c>
      <c r="T158" s="16" t="str">
        <f>IF(AND($A158="",$B158="",$E158=""),"",IF(AND($B158&lt;&gt;"",COUNTIF('2. Core Log'!$A$5:$A$124,$B158)=0),"Core ID not in Core Log. ","")&amp;IF(AND($A158&lt;&gt;"",COUNTIF('1. Plot &amp; Site Log'!$A$5:$A$64,$A158)=0),"Plot ID not in Plot &amp; Site Log. ","")&amp;IF(AND(ISNUMBER($E158),ISNUMBER($F158),$F158&lt;=$E158),"Bottom depth is not below top depth. ","")&amp;IF($I158="","Say which bulk-density basis the lab reported. ","")&amp;IF(AND(ISNUMBER($J158),OR($J158&lt;QC_BD_MIN,$J158&gt;QC_BD_MAX)),"Bulk density outside "&amp;QC_BD_MIN&amp;"–"&amp;QC_BD_MAX&amp;" g/cm³ for peat. Above the top of that range usually means the mineral contact has been passed. ","")&amp;IF(AND(ISNUMBER($N158),$N158&gt;QC_CARBON_PCT_MAX),"Carbon above "&amp;QC_CARBON_PCT_MAX&amp;"% — check units; this may be organic matter rather than carbon. ","")&amp;IF(AND($L158&lt;&gt;"",$M158&lt;&gt;""),"Both LOI and measured carbon given — the measured value is used. ","")&amp;IF(AND($M158="",$L158&lt;&gt;"",OM_FACTOR_IS_LOCAL&lt;&gt;"Yes"),"Carbon derived from LOI using the default factor of "&amp;CARBON_FRACTION_OM&amp;", which has not been calibrated locally. See R1. Reference. ","")&amp;IF(AND(ISNUMBER($O158),$O158=0,ISNUMBER($E158)),"Section lies entirely below the reference depth — it counts to the full-profile stock only. ",""))</f>
        <v/>
      </c>
      <c r="U158" s="14"/>
    </row>
    <row r="159" spans="1:21" ht="15.75" customHeight="1">
      <c r="A159" s="14"/>
      <c r="B159" s="14"/>
      <c r="C159" s="14"/>
      <c r="D159" s="14"/>
      <c r="E159" s="14"/>
      <c r="F159" s="14"/>
      <c r="G159" s="14" t="str">
        <f t="shared" si="20"/>
        <v/>
      </c>
      <c r="H159" s="14"/>
      <c r="I159" s="14"/>
      <c r="J159" s="24"/>
      <c r="K159" s="24"/>
      <c r="L159" s="24"/>
      <c r="M159" s="24"/>
      <c r="N159" s="16" t="str">
        <f t="shared" si="18"/>
        <v/>
      </c>
      <c r="O159" s="16" t="str">
        <f t="shared" si="21"/>
        <v/>
      </c>
      <c r="P159" s="16" t="str">
        <f t="shared" si="22"/>
        <v/>
      </c>
      <c r="Q159" s="16" t="str">
        <f t="shared" si="23"/>
        <v/>
      </c>
      <c r="R159" s="16">
        <f t="shared" si="19"/>
        <v>0</v>
      </c>
      <c r="S159" s="16" t="str">
        <f>IF(OR($B159="",NOT(ISNUMBER($F159))),"",SUMIFS(community_cores_FS!$P$5:$P$597,community_cores_FS!$B$5:$B$597,$B159,community_cores_FS!$F$5:$F$597,"&lt;="&amp;$F159))</f>
        <v/>
      </c>
      <c r="T159" s="16" t="str">
        <f>IF(AND($A159="",$B159="",$E159=""),"",IF(AND($B159&lt;&gt;"",COUNTIF('2. Core Log'!$A$5:$A$124,$B159)=0),"Core ID not in Core Log. ","")&amp;IF(AND($A159&lt;&gt;"",COUNTIF('1. Plot &amp; Site Log'!$A$5:$A$64,$A159)=0),"Plot ID not in Plot &amp; Site Log. ","")&amp;IF(AND(ISNUMBER($E159),ISNUMBER($F159),$F159&lt;=$E159),"Bottom depth is not below top depth. ","")&amp;IF($I159="","Say which bulk-density basis the lab reported. ","")&amp;IF(AND(ISNUMBER($J159),OR($J159&lt;QC_BD_MIN,$J159&gt;QC_BD_MAX)),"Bulk density outside "&amp;QC_BD_MIN&amp;"–"&amp;QC_BD_MAX&amp;" g/cm³ for peat. Above the top of that range usually means the mineral contact has been passed. ","")&amp;IF(AND(ISNUMBER($N159),$N159&gt;QC_CARBON_PCT_MAX),"Carbon above "&amp;QC_CARBON_PCT_MAX&amp;"% — check units; this may be organic matter rather than carbon. ","")&amp;IF(AND($L159&lt;&gt;"",$M159&lt;&gt;""),"Both LOI and measured carbon given — the measured value is used. ","")&amp;IF(AND($M159="",$L159&lt;&gt;"",OM_FACTOR_IS_LOCAL&lt;&gt;"Yes"),"Carbon derived from LOI using the default factor of "&amp;CARBON_FRACTION_OM&amp;", which has not been calibrated locally. See R1. Reference. ","")&amp;IF(AND(ISNUMBER($O159),$O159=0,ISNUMBER($E159)),"Section lies entirely below the reference depth — it counts to the full-profile stock only. ",""))</f>
        <v/>
      </c>
      <c r="U159" s="14"/>
    </row>
    <row r="160" spans="1:21" ht="15.75" customHeight="1">
      <c r="A160" s="14"/>
      <c r="B160" s="14"/>
      <c r="C160" s="14"/>
      <c r="D160" s="14"/>
      <c r="E160" s="14"/>
      <c r="F160" s="14"/>
      <c r="G160" s="14" t="str">
        <f t="shared" si="20"/>
        <v/>
      </c>
      <c r="H160" s="14"/>
      <c r="I160" s="14"/>
      <c r="J160" s="24"/>
      <c r="K160" s="24"/>
      <c r="L160" s="24"/>
      <c r="M160" s="24"/>
      <c r="N160" s="16" t="str">
        <f t="shared" si="18"/>
        <v/>
      </c>
      <c r="O160" s="16" t="str">
        <f t="shared" si="21"/>
        <v/>
      </c>
      <c r="P160" s="16" t="str">
        <f t="shared" si="22"/>
        <v/>
      </c>
      <c r="Q160" s="16" t="str">
        <f t="shared" si="23"/>
        <v/>
      </c>
      <c r="R160" s="16">
        <f t="shared" si="19"/>
        <v>0</v>
      </c>
      <c r="S160" s="16" t="str">
        <f>IF(OR($B160="",NOT(ISNUMBER($F160))),"",SUMIFS(community_cores_FS!$P$5:$P$597,community_cores_FS!$B$5:$B$597,$B160,community_cores_FS!$F$5:$F$597,"&lt;="&amp;$F160))</f>
        <v/>
      </c>
      <c r="T160" s="16" t="str">
        <f>IF(AND($A160="",$B160="",$E160=""),"",IF(AND($B160&lt;&gt;"",COUNTIF('2. Core Log'!$A$5:$A$124,$B160)=0),"Core ID not in Core Log. ","")&amp;IF(AND($A160&lt;&gt;"",COUNTIF('1. Plot &amp; Site Log'!$A$5:$A$64,$A160)=0),"Plot ID not in Plot &amp; Site Log. ","")&amp;IF(AND(ISNUMBER($E160),ISNUMBER($F160),$F160&lt;=$E160),"Bottom depth is not below top depth. ","")&amp;IF($I160="","Say which bulk-density basis the lab reported. ","")&amp;IF(AND(ISNUMBER($J160),OR($J160&lt;QC_BD_MIN,$J160&gt;QC_BD_MAX)),"Bulk density outside "&amp;QC_BD_MIN&amp;"–"&amp;QC_BD_MAX&amp;" g/cm³ for peat. Above the top of that range usually means the mineral contact has been passed. ","")&amp;IF(AND(ISNUMBER($N160),$N160&gt;QC_CARBON_PCT_MAX),"Carbon above "&amp;QC_CARBON_PCT_MAX&amp;"% — check units; this may be organic matter rather than carbon. ","")&amp;IF(AND($L160&lt;&gt;"",$M160&lt;&gt;""),"Both LOI and measured carbon given — the measured value is used. ","")&amp;IF(AND($M160="",$L160&lt;&gt;"",OM_FACTOR_IS_LOCAL&lt;&gt;"Yes"),"Carbon derived from LOI using the default factor of "&amp;CARBON_FRACTION_OM&amp;", which has not been calibrated locally. See R1. Reference. ","")&amp;IF(AND(ISNUMBER($O160),$O160=0,ISNUMBER($E160)),"Section lies entirely below the reference depth — it counts to the full-profile stock only. ",""))</f>
        <v/>
      </c>
      <c r="U160" s="14"/>
    </row>
    <row r="161" spans="1:21" ht="15.75" customHeight="1">
      <c r="A161" s="14"/>
      <c r="B161" s="14"/>
      <c r="C161" s="14"/>
      <c r="D161" s="14"/>
      <c r="E161" s="14"/>
      <c r="F161" s="14"/>
      <c r="G161" s="14" t="str">
        <f t="shared" si="20"/>
        <v/>
      </c>
      <c r="H161" s="14"/>
      <c r="I161" s="14"/>
      <c r="J161" s="24"/>
      <c r="K161" s="24"/>
      <c r="L161" s="24"/>
      <c r="M161" s="24"/>
      <c r="N161" s="16" t="str">
        <f t="shared" si="18"/>
        <v/>
      </c>
      <c r="O161" s="16" t="str">
        <f t="shared" si="21"/>
        <v/>
      </c>
      <c r="P161" s="16" t="str">
        <f t="shared" si="22"/>
        <v/>
      </c>
      <c r="Q161" s="16" t="str">
        <f t="shared" si="23"/>
        <v/>
      </c>
      <c r="R161" s="16">
        <f t="shared" si="19"/>
        <v>0</v>
      </c>
      <c r="S161" s="16" t="str">
        <f>IF(OR($B161="",NOT(ISNUMBER($F161))),"",SUMIFS(community_cores_FS!$P$5:$P$597,community_cores_FS!$B$5:$B$597,$B161,community_cores_FS!$F$5:$F$597,"&lt;="&amp;$F161))</f>
        <v/>
      </c>
      <c r="T161" s="16" t="str">
        <f>IF(AND($A161="",$B161="",$E161=""),"",IF(AND($B161&lt;&gt;"",COUNTIF('2. Core Log'!$A$5:$A$124,$B161)=0),"Core ID not in Core Log. ","")&amp;IF(AND($A161&lt;&gt;"",COUNTIF('1. Plot &amp; Site Log'!$A$5:$A$64,$A161)=0),"Plot ID not in Plot &amp; Site Log. ","")&amp;IF(AND(ISNUMBER($E161),ISNUMBER($F161),$F161&lt;=$E161),"Bottom depth is not below top depth. ","")&amp;IF($I161="","Say which bulk-density basis the lab reported. ","")&amp;IF(AND(ISNUMBER($J161),OR($J161&lt;QC_BD_MIN,$J161&gt;QC_BD_MAX)),"Bulk density outside "&amp;QC_BD_MIN&amp;"–"&amp;QC_BD_MAX&amp;" g/cm³ for peat. Above the top of that range usually means the mineral contact has been passed. ","")&amp;IF(AND(ISNUMBER($N161),$N161&gt;QC_CARBON_PCT_MAX),"Carbon above "&amp;QC_CARBON_PCT_MAX&amp;"% — check units; this may be organic matter rather than carbon. ","")&amp;IF(AND($L161&lt;&gt;"",$M161&lt;&gt;""),"Both LOI and measured carbon given — the measured value is used. ","")&amp;IF(AND($M161="",$L161&lt;&gt;"",OM_FACTOR_IS_LOCAL&lt;&gt;"Yes"),"Carbon derived from LOI using the default factor of "&amp;CARBON_FRACTION_OM&amp;", which has not been calibrated locally. See R1. Reference. ","")&amp;IF(AND(ISNUMBER($O161),$O161=0,ISNUMBER($E161)),"Section lies entirely below the reference depth — it counts to the full-profile stock only. ",""))</f>
        <v/>
      </c>
      <c r="U161" s="14"/>
    </row>
    <row r="162" spans="1:21" ht="15.75" customHeight="1">
      <c r="A162" s="14"/>
      <c r="B162" s="14"/>
      <c r="C162" s="14"/>
      <c r="D162" s="14"/>
      <c r="E162" s="14"/>
      <c r="F162" s="14"/>
      <c r="G162" s="14" t="str">
        <f t="shared" si="20"/>
        <v/>
      </c>
      <c r="H162" s="14"/>
      <c r="I162" s="14"/>
      <c r="J162" s="24"/>
      <c r="K162" s="24"/>
      <c r="L162" s="24"/>
      <c r="M162" s="24"/>
      <c r="N162" s="16" t="str">
        <f t="shared" si="18"/>
        <v/>
      </c>
      <c r="O162" s="16" t="str">
        <f t="shared" si="21"/>
        <v/>
      </c>
      <c r="P162" s="16" t="str">
        <f t="shared" si="22"/>
        <v/>
      </c>
      <c r="Q162" s="16" t="str">
        <f t="shared" si="23"/>
        <v/>
      </c>
      <c r="R162" s="16">
        <f t="shared" si="19"/>
        <v>0</v>
      </c>
      <c r="S162" s="16" t="str">
        <f>IF(OR($B162="",NOT(ISNUMBER($F162))),"",SUMIFS(community_cores_FS!$P$5:$P$597,community_cores_FS!$B$5:$B$597,$B162,community_cores_FS!$F$5:$F$597,"&lt;="&amp;$F162))</f>
        <v/>
      </c>
      <c r="T162" s="16" t="str">
        <f>IF(AND($A162="",$B162="",$E162=""),"",IF(AND($B162&lt;&gt;"",COUNTIF('2. Core Log'!$A$5:$A$124,$B162)=0),"Core ID not in Core Log. ","")&amp;IF(AND($A162&lt;&gt;"",COUNTIF('1. Plot &amp; Site Log'!$A$5:$A$64,$A162)=0),"Plot ID not in Plot &amp; Site Log. ","")&amp;IF(AND(ISNUMBER($E162),ISNUMBER($F162),$F162&lt;=$E162),"Bottom depth is not below top depth. ","")&amp;IF($I162="","Say which bulk-density basis the lab reported. ","")&amp;IF(AND(ISNUMBER($J162),OR($J162&lt;QC_BD_MIN,$J162&gt;QC_BD_MAX)),"Bulk density outside "&amp;QC_BD_MIN&amp;"–"&amp;QC_BD_MAX&amp;" g/cm³ for peat. Above the top of that range usually means the mineral contact has been passed. ","")&amp;IF(AND(ISNUMBER($N162),$N162&gt;QC_CARBON_PCT_MAX),"Carbon above "&amp;QC_CARBON_PCT_MAX&amp;"% — check units; this may be organic matter rather than carbon. ","")&amp;IF(AND($L162&lt;&gt;"",$M162&lt;&gt;""),"Both LOI and measured carbon given — the measured value is used. ","")&amp;IF(AND($M162="",$L162&lt;&gt;"",OM_FACTOR_IS_LOCAL&lt;&gt;"Yes"),"Carbon derived from LOI using the default factor of "&amp;CARBON_FRACTION_OM&amp;", which has not been calibrated locally. See R1. Reference. ","")&amp;IF(AND(ISNUMBER($O162),$O162=0,ISNUMBER($E162)),"Section lies entirely below the reference depth — it counts to the full-profile stock only. ",""))</f>
        <v/>
      </c>
      <c r="U162" s="14"/>
    </row>
    <row r="163" spans="1:21" ht="15.75" customHeight="1">
      <c r="A163" s="14"/>
      <c r="B163" s="14"/>
      <c r="C163" s="14"/>
      <c r="D163" s="14"/>
      <c r="E163" s="14"/>
      <c r="F163" s="14"/>
      <c r="G163" s="14" t="str">
        <f t="shared" si="20"/>
        <v/>
      </c>
      <c r="H163" s="14"/>
      <c r="I163" s="14"/>
      <c r="J163" s="24"/>
      <c r="K163" s="24"/>
      <c r="L163" s="24"/>
      <c r="M163" s="24"/>
      <c r="N163" s="16" t="str">
        <f t="shared" si="18"/>
        <v/>
      </c>
      <c r="O163" s="16" t="str">
        <f t="shared" si="21"/>
        <v/>
      </c>
      <c r="P163" s="16" t="str">
        <f t="shared" si="22"/>
        <v/>
      </c>
      <c r="Q163" s="16" t="str">
        <f t="shared" si="23"/>
        <v/>
      </c>
      <c r="R163" s="16">
        <f t="shared" si="19"/>
        <v>0</v>
      </c>
      <c r="S163" s="16" t="str">
        <f>IF(OR($B163="",NOT(ISNUMBER($F163))),"",SUMIFS(community_cores_FS!$P$5:$P$597,community_cores_FS!$B$5:$B$597,$B163,community_cores_FS!$F$5:$F$597,"&lt;="&amp;$F163))</f>
        <v/>
      </c>
      <c r="T163" s="16" t="str">
        <f>IF(AND($A163="",$B163="",$E163=""),"",IF(AND($B163&lt;&gt;"",COUNTIF('2. Core Log'!$A$5:$A$124,$B163)=0),"Core ID not in Core Log. ","")&amp;IF(AND($A163&lt;&gt;"",COUNTIF('1. Plot &amp; Site Log'!$A$5:$A$64,$A163)=0),"Plot ID not in Plot &amp; Site Log. ","")&amp;IF(AND(ISNUMBER($E163),ISNUMBER($F163),$F163&lt;=$E163),"Bottom depth is not below top depth. ","")&amp;IF($I163="","Say which bulk-density basis the lab reported. ","")&amp;IF(AND(ISNUMBER($J163),OR($J163&lt;QC_BD_MIN,$J163&gt;QC_BD_MAX)),"Bulk density outside "&amp;QC_BD_MIN&amp;"–"&amp;QC_BD_MAX&amp;" g/cm³ for peat. Above the top of that range usually means the mineral contact has been passed. ","")&amp;IF(AND(ISNUMBER($N163),$N163&gt;QC_CARBON_PCT_MAX),"Carbon above "&amp;QC_CARBON_PCT_MAX&amp;"% — check units; this may be organic matter rather than carbon. ","")&amp;IF(AND($L163&lt;&gt;"",$M163&lt;&gt;""),"Both LOI and measured carbon given — the measured value is used. ","")&amp;IF(AND($M163="",$L163&lt;&gt;"",OM_FACTOR_IS_LOCAL&lt;&gt;"Yes"),"Carbon derived from LOI using the default factor of "&amp;CARBON_FRACTION_OM&amp;", which has not been calibrated locally. See R1. Reference. ","")&amp;IF(AND(ISNUMBER($O163),$O163=0,ISNUMBER($E163)),"Section lies entirely below the reference depth — it counts to the full-profile stock only. ",""))</f>
        <v/>
      </c>
      <c r="U163" s="14"/>
    </row>
    <row r="164" spans="1:21" ht="15.75" customHeight="1">
      <c r="A164" s="14"/>
      <c r="B164" s="14"/>
      <c r="C164" s="14"/>
      <c r="D164" s="14"/>
      <c r="E164" s="14"/>
      <c r="F164" s="14"/>
      <c r="G164" s="14" t="str">
        <f t="shared" si="20"/>
        <v/>
      </c>
      <c r="H164" s="14"/>
      <c r="I164" s="14"/>
      <c r="J164" s="24"/>
      <c r="K164" s="24"/>
      <c r="L164" s="24"/>
      <c r="M164" s="24"/>
      <c r="N164" s="16" t="str">
        <f t="shared" si="18"/>
        <v/>
      </c>
      <c r="O164" s="16" t="str">
        <f t="shared" si="21"/>
        <v/>
      </c>
      <c r="P164" s="16" t="str">
        <f t="shared" si="22"/>
        <v/>
      </c>
      <c r="Q164" s="16" t="str">
        <f t="shared" si="23"/>
        <v/>
      </c>
      <c r="R164" s="16">
        <f t="shared" si="19"/>
        <v>0</v>
      </c>
      <c r="S164" s="16" t="str">
        <f>IF(OR($B164="",NOT(ISNUMBER($F164))),"",SUMIFS(community_cores_FS!$P$5:$P$597,community_cores_FS!$B$5:$B$597,$B164,community_cores_FS!$F$5:$F$597,"&lt;="&amp;$F164))</f>
        <v/>
      </c>
      <c r="T164" s="16" t="str">
        <f>IF(AND($A164="",$B164="",$E164=""),"",IF(AND($B164&lt;&gt;"",COUNTIF('2. Core Log'!$A$5:$A$124,$B164)=0),"Core ID not in Core Log. ","")&amp;IF(AND($A164&lt;&gt;"",COUNTIF('1. Plot &amp; Site Log'!$A$5:$A$64,$A164)=0),"Plot ID not in Plot &amp; Site Log. ","")&amp;IF(AND(ISNUMBER($E164),ISNUMBER($F164),$F164&lt;=$E164),"Bottom depth is not below top depth. ","")&amp;IF($I164="","Say which bulk-density basis the lab reported. ","")&amp;IF(AND(ISNUMBER($J164),OR($J164&lt;QC_BD_MIN,$J164&gt;QC_BD_MAX)),"Bulk density outside "&amp;QC_BD_MIN&amp;"–"&amp;QC_BD_MAX&amp;" g/cm³ for peat. Above the top of that range usually means the mineral contact has been passed. ","")&amp;IF(AND(ISNUMBER($N164),$N164&gt;QC_CARBON_PCT_MAX),"Carbon above "&amp;QC_CARBON_PCT_MAX&amp;"% — check units; this may be organic matter rather than carbon. ","")&amp;IF(AND($L164&lt;&gt;"",$M164&lt;&gt;""),"Both LOI and measured carbon given — the measured value is used. ","")&amp;IF(AND($M164="",$L164&lt;&gt;"",OM_FACTOR_IS_LOCAL&lt;&gt;"Yes"),"Carbon derived from LOI using the default factor of "&amp;CARBON_FRACTION_OM&amp;", which has not been calibrated locally. See R1. Reference. ","")&amp;IF(AND(ISNUMBER($O164),$O164=0,ISNUMBER($E164)),"Section lies entirely below the reference depth — it counts to the full-profile stock only. ",""))</f>
        <v/>
      </c>
      <c r="U164" s="14"/>
    </row>
    <row r="165" spans="1:21" ht="15.75" customHeight="1">
      <c r="A165" s="14"/>
      <c r="B165" s="14"/>
      <c r="C165" s="14"/>
      <c r="D165" s="14"/>
      <c r="E165" s="14"/>
      <c r="F165" s="14"/>
      <c r="G165" s="14" t="str">
        <f t="shared" si="20"/>
        <v/>
      </c>
      <c r="H165" s="14"/>
      <c r="I165" s="14"/>
      <c r="J165" s="24"/>
      <c r="K165" s="24"/>
      <c r="L165" s="24"/>
      <c r="M165" s="24"/>
      <c r="N165" s="16" t="str">
        <f t="shared" si="18"/>
        <v/>
      </c>
      <c r="O165" s="16" t="str">
        <f t="shared" si="21"/>
        <v/>
      </c>
      <c r="P165" s="16" t="str">
        <f t="shared" si="22"/>
        <v/>
      </c>
      <c r="Q165" s="16" t="str">
        <f t="shared" si="23"/>
        <v/>
      </c>
      <c r="R165" s="16">
        <f t="shared" si="19"/>
        <v>0</v>
      </c>
      <c r="S165" s="16" t="str">
        <f>IF(OR($B165="",NOT(ISNUMBER($F165))),"",SUMIFS(community_cores_FS!$P$5:$P$597,community_cores_FS!$B$5:$B$597,$B165,community_cores_FS!$F$5:$F$597,"&lt;="&amp;$F165))</f>
        <v/>
      </c>
      <c r="T165" s="16" t="str">
        <f>IF(AND($A165="",$B165="",$E165=""),"",IF(AND($B165&lt;&gt;"",COUNTIF('2. Core Log'!$A$5:$A$124,$B165)=0),"Core ID not in Core Log. ","")&amp;IF(AND($A165&lt;&gt;"",COUNTIF('1. Plot &amp; Site Log'!$A$5:$A$64,$A165)=0),"Plot ID not in Plot &amp; Site Log. ","")&amp;IF(AND(ISNUMBER($E165),ISNUMBER($F165),$F165&lt;=$E165),"Bottom depth is not below top depth. ","")&amp;IF($I165="","Say which bulk-density basis the lab reported. ","")&amp;IF(AND(ISNUMBER($J165),OR($J165&lt;QC_BD_MIN,$J165&gt;QC_BD_MAX)),"Bulk density outside "&amp;QC_BD_MIN&amp;"–"&amp;QC_BD_MAX&amp;" g/cm³ for peat. Above the top of that range usually means the mineral contact has been passed. ","")&amp;IF(AND(ISNUMBER($N165),$N165&gt;QC_CARBON_PCT_MAX),"Carbon above "&amp;QC_CARBON_PCT_MAX&amp;"% — check units; this may be organic matter rather than carbon. ","")&amp;IF(AND($L165&lt;&gt;"",$M165&lt;&gt;""),"Both LOI and measured carbon given — the measured value is used. ","")&amp;IF(AND($M165="",$L165&lt;&gt;"",OM_FACTOR_IS_LOCAL&lt;&gt;"Yes"),"Carbon derived from LOI using the default factor of "&amp;CARBON_FRACTION_OM&amp;", which has not been calibrated locally. See R1. Reference. ","")&amp;IF(AND(ISNUMBER($O165),$O165=0,ISNUMBER($E165)),"Section lies entirely below the reference depth — it counts to the full-profile stock only. ",""))</f>
        <v/>
      </c>
      <c r="U165" s="14"/>
    </row>
    <row r="166" spans="1:21" ht="15.75" customHeight="1">
      <c r="A166" s="14"/>
      <c r="B166" s="14"/>
      <c r="C166" s="14"/>
      <c r="D166" s="14"/>
      <c r="E166" s="14"/>
      <c r="F166" s="14"/>
      <c r="G166" s="14" t="str">
        <f t="shared" si="20"/>
        <v/>
      </c>
      <c r="H166" s="14"/>
      <c r="I166" s="14"/>
      <c r="J166" s="24"/>
      <c r="K166" s="24"/>
      <c r="L166" s="24"/>
      <c r="M166" s="24"/>
      <c r="N166" s="16" t="str">
        <f t="shared" si="18"/>
        <v/>
      </c>
      <c r="O166" s="16" t="str">
        <f t="shared" si="21"/>
        <v/>
      </c>
      <c r="P166" s="16" t="str">
        <f t="shared" si="22"/>
        <v/>
      </c>
      <c r="Q166" s="16" t="str">
        <f t="shared" si="23"/>
        <v/>
      </c>
      <c r="R166" s="16">
        <f t="shared" si="19"/>
        <v>0</v>
      </c>
      <c r="S166" s="16" t="str">
        <f>IF(OR($B166="",NOT(ISNUMBER($F166))),"",SUMIFS(community_cores_FS!$P$5:$P$597,community_cores_FS!$B$5:$B$597,$B166,community_cores_FS!$F$5:$F$597,"&lt;="&amp;$F166))</f>
        <v/>
      </c>
      <c r="T166" s="16" t="str">
        <f>IF(AND($A166="",$B166="",$E166=""),"",IF(AND($B166&lt;&gt;"",COUNTIF('2. Core Log'!$A$5:$A$124,$B166)=0),"Core ID not in Core Log. ","")&amp;IF(AND($A166&lt;&gt;"",COUNTIF('1. Plot &amp; Site Log'!$A$5:$A$64,$A166)=0),"Plot ID not in Plot &amp; Site Log. ","")&amp;IF(AND(ISNUMBER($E166),ISNUMBER($F166),$F166&lt;=$E166),"Bottom depth is not below top depth. ","")&amp;IF($I166="","Say which bulk-density basis the lab reported. ","")&amp;IF(AND(ISNUMBER($J166),OR($J166&lt;QC_BD_MIN,$J166&gt;QC_BD_MAX)),"Bulk density outside "&amp;QC_BD_MIN&amp;"–"&amp;QC_BD_MAX&amp;" g/cm³ for peat. Above the top of that range usually means the mineral contact has been passed. ","")&amp;IF(AND(ISNUMBER($N166),$N166&gt;QC_CARBON_PCT_MAX),"Carbon above "&amp;QC_CARBON_PCT_MAX&amp;"% — check units; this may be organic matter rather than carbon. ","")&amp;IF(AND($L166&lt;&gt;"",$M166&lt;&gt;""),"Both LOI and measured carbon given — the measured value is used. ","")&amp;IF(AND($M166="",$L166&lt;&gt;"",OM_FACTOR_IS_LOCAL&lt;&gt;"Yes"),"Carbon derived from LOI using the default factor of "&amp;CARBON_FRACTION_OM&amp;", which has not been calibrated locally. See R1. Reference. ","")&amp;IF(AND(ISNUMBER($O166),$O166=0,ISNUMBER($E166)),"Section lies entirely below the reference depth — it counts to the full-profile stock only. ",""))</f>
        <v/>
      </c>
      <c r="U166" s="14"/>
    </row>
    <row r="167" spans="1:21" ht="15.75" customHeight="1">
      <c r="A167" s="14"/>
      <c r="B167" s="14"/>
      <c r="C167" s="14"/>
      <c r="D167" s="14"/>
      <c r="E167" s="14"/>
      <c r="F167" s="14"/>
      <c r="G167" s="14" t="str">
        <f t="shared" si="20"/>
        <v/>
      </c>
      <c r="H167" s="14"/>
      <c r="I167" s="14"/>
      <c r="J167" s="24"/>
      <c r="K167" s="24"/>
      <c r="L167" s="24"/>
      <c r="M167" s="24"/>
      <c r="N167" s="16" t="str">
        <f t="shared" si="18"/>
        <v/>
      </c>
      <c r="O167" s="16" t="str">
        <f t="shared" si="21"/>
        <v/>
      </c>
      <c r="P167" s="16" t="str">
        <f t="shared" si="22"/>
        <v/>
      </c>
      <c r="Q167" s="16" t="str">
        <f t="shared" si="23"/>
        <v/>
      </c>
      <c r="R167" s="16">
        <f t="shared" si="19"/>
        <v>0</v>
      </c>
      <c r="S167" s="16" t="str">
        <f>IF(OR($B167="",NOT(ISNUMBER($F167))),"",SUMIFS(community_cores_FS!$P$5:$P$597,community_cores_FS!$B$5:$B$597,$B167,community_cores_FS!$F$5:$F$597,"&lt;="&amp;$F167))</f>
        <v/>
      </c>
      <c r="T167" s="16" t="str">
        <f>IF(AND($A167="",$B167="",$E167=""),"",IF(AND($B167&lt;&gt;"",COUNTIF('2. Core Log'!$A$5:$A$124,$B167)=0),"Core ID not in Core Log. ","")&amp;IF(AND($A167&lt;&gt;"",COUNTIF('1. Plot &amp; Site Log'!$A$5:$A$64,$A167)=0),"Plot ID not in Plot &amp; Site Log. ","")&amp;IF(AND(ISNUMBER($E167),ISNUMBER($F167),$F167&lt;=$E167),"Bottom depth is not below top depth. ","")&amp;IF($I167="","Say which bulk-density basis the lab reported. ","")&amp;IF(AND(ISNUMBER($J167),OR($J167&lt;QC_BD_MIN,$J167&gt;QC_BD_MAX)),"Bulk density outside "&amp;QC_BD_MIN&amp;"–"&amp;QC_BD_MAX&amp;" g/cm³ for peat. Above the top of that range usually means the mineral contact has been passed. ","")&amp;IF(AND(ISNUMBER($N167),$N167&gt;QC_CARBON_PCT_MAX),"Carbon above "&amp;QC_CARBON_PCT_MAX&amp;"% — check units; this may be organic matter rather than carbon. ","")&amp;IF(AND($L167&lt;&gt;"",$M167&lt;&gt;""),"Both LOI and measured carbon given — the measured value is used. ","")&amp;IF(AND($M167="",$L167&lt;&gt;"",OM_FACTOR_IS_LOCAL&lt;&gt;"Yes"),"Carbon derived from LOI using the default factor of "&amp;CARBON_FRACTION_OM&amp;", which has not been calibrated locally. See R1. Reference. ","")&amp;IF(AND(ISNUMBER($O167),$O167=0,ISNUMBER($E167)),"Section lies entirely below the reference depth — it counts to the full-profile stock only. ",""))</f>
        <v/>
      </c>
      <c r="U167" s="14"/>
    </row>
    <row r="168" spans="1:21" ht="15.75" customHeight="1">
      <c r="A168" s="14"/>
      <c r="B168" s="14"/>
      <c r="C168" s="14"/>
      <c r="D168" s="14"/>
      <c r="E168" s="14"/>
      <c r="F168" s="14"/>
      <c r="G168" s="14" t="str">
        <f t="shared" si="20"/>
        <v/>
      </c>
      <c r="H168" s="14"/>
      <c r="I168" s="14"/>
      <c r="J168" s="24"/>
      <c r="K168" s="24"/>
      <c r="L168" s="24"/>
      <c r="M168" s="24"/>
      <c r="N168" s="16" t="str">
        <f t="shared" si="18"/>
        <v/>
      </c>
      <c r="O168" s="16" t="str">
        <f t="shared" si="21"/>
        <v/>
      </c>
      <c r="P168" s="16" t="str">
        <f t="shared" si="22"/>
        <v/>
      </c>
      <c r="Q168" s="16" t="str">
        <f t="shared" si="23"/>
        <v/>
      </c>
      <c r="R168" s="16">
        <f t="shared" si="19"/>
        <v>0</v>
      </c>
      <c r="S168" s="16" t="str">
        <f>IF(OR($B168="",NOT(ISNUMBER($F168))),"",SUMIFS(community_cores_FS!$P$5:$P$597,community_cores_FS!$B$5:$B$597,$B168,community_cores_FS!$F$5:$F$597,"&lt;="&amp;$F168))</f>
        <v/>
      </c>
      <c r="T168" s="16" t="str">
        <f>IF(AND($A168="",$B168="",$E168=""),"",IF(AND($B168&lt;&gt;"",COUNTIF('2. Core Log'!$A$5:$A$124,$B168)=0),"Core ID not in Core Log. ","")&amp;IF(AND($A168&lt;&gt;"",COUNTIF('1. Plot &amp; Site Log'!$A$5:$A$64,$A168)=0),"Plot ID not in Plot &amp; Site Log. ","")&amp;IF(AND(ISNUMBER($E168),ISNUMBER($F168),$F168&lt;=$E168),"Bottom depth is not below top depth. ","")&amp;IF($I168="","Say which bulk-density basis the lab reported. ","")&amp;IF(AND(ISNUMBER($J168),OR($J168&lt;QC_BD_MIN,$J168&gt;QC_BD_MAX)),"Bulk density outside "&amp;QC_BD_MIN&amp;"–"&amp;QC_BD_MAX&amp;" g/cm³ for peat. Above the top of that range usually means the mineral contact has been passed. ","")&amp;IF(AND(ISNUMBER($N168),$N168&gt;QC_CARBON_PCT_MAX),"Carbon above "&amp;QC_CARBON_PCT_MAX&amp;"% — check units; this may be organic matter rather than carbon. ","")&amp;IF(AND($L168&lt;&gt;"",$M168&lt;&gt;""),"Both LOI and measured carbon given — the measured value is used. ","")&amp;IF(AND($M168="",$L168&lt;&gt;"",OM_FACTOR_IS_LOCAL&lt;&gt;"Yes"),"Carbon derived from LOI using the default factor of "&amp;CARBON_FRACTION_OM&amp;", which has not been calibrated locally. See R1. Reference. ","")&amp;IF(AND(ISNUMBER($O168),$O168=0,ISNUMBER($E168)),"Section lies entirely below the reference depth — it counts to the full-profile stock only. ",""))</f>
        <v/>
      </c>
      <c r="U168" s="14"/>
    </row>
    <row r="169" spans="1:21" ht="15.75" customHeight="1">
      <c r="A169" s="14"/>
      <c r="B169" s="14"/>
      <c r="C169" s="14"/>
      <c r="D169" s="14"/>
      <c r="E169" s="14"/>
      <c r="F169" s="14"/>
      <c r="G169" s="14" t="str">
        <f t="shared" si="20"/>
        <v/>
      </c>
      <c r="H169" s="14"/>
      <c r="I169" s="14"/>
      <c r="J169" s="24"/>
      <c r="K169" s="24"/>
      <c r="L169" s="24"/>
      <c r="M169" s="24"/>
      <c r="N169" s="16" t="str">
        <f t="shared" si="18"/>
        <v/>
      </c>
      <c r="O169" s="16" t="str">
        <f t="shared" si="21"/>
        <v/>
      </c>
      <c r="P169" s="16" t="str">
        <f t="shared" si="22"/>
        <v/>
      </c>
      <c r="Q169" s="16" t="str">
        <f t="shared" si="23"/>
        <v/>
      </c>
      <c r="R169" s="16">
        <f t="shared" si="19"/>
        <v>0</v>
      </c>
      <c r="S169" s="16" t="str">
        <f>IF(OR($B169="",NOT(ISNUMBER($F169))),"",SUMIFS(community_cores_FS!$P$5:$P$597,community_cores_FS!$B$5:$B$597,$B169,community_cores_FS!$F$5:$F$597,"&lt;="&amp;$F169))</f>
        <v/>
      </c>
      <c r="T169" s="16" t="str">
        <f>IF(AND($A169="",$B169="",$E169=""),"",IF(AND($B169&lt;&gt;"",COUNTIF('2. Core Log'!$A$5:$A$124,$B169)=0),"Core ID not in Core Log. ","")&amp;IF(AND($A169&lt;&gt;"",COUNTIF('1. Plot &amp; Site Log'!$A$5:$A$64,$A169)=0),"Plot ID not in Plot &amp; Site Log. ","")&amp;IF(AND(ISNUMBER($E169),ISNUMBER($F169),$F169&lt;=$E169),"Bottom depth is not below top depth. ","")&amp;IF($I169="","Say which bulk-density basis the lab reported. ","")&amp;IF(AND(ISNUMBER($J169),OR($J169&lt;QC_BD_MIN,$J169&gt;QC_BD_MAX)),"Bulk density outside "&amp;QC_BD_MIN&amp;"–"&amp;QC_BD_MAX&amp;" g/cm³ for peat. Above the top of that range usually means the mineral contact has been passed. ","")&amp;IF(AND(ISNUMBER($N169),$N169&gt;QC_CARBON_PCT_MAX),"Carbon above "&amp;QC_CARBON_PCT_MAX&amp;"% — check units; this may be organic matter rather than carbon. ","")&amp;IF(AND($L169&lt;&gt;"",$M169&lt;&gt;""),"Both LOI and measured carbon given — the measured value is used. ","")&amp;IF(AND($M169="",$L169&lt;&gt;"",OM_FACTOR_IS_LOCAL&lt;&gt;"Yes"),"Carbon derived from LOI using the default factor of "&amp;CARBON_FRACTION_OM&amp;", which has not been calibrated locally. See R1. Reference. ","")&amp;IF(AND(ISNUMBER($O169),$O169=0,ISNUMBER($E169)),"Section lies entirely below the reference depth — it counts to the full-profile stock only. ",""))</f>
        <v/>
      </c>
      <c r="U169" s="14"/>
    </row>
    <row r="170" spans="1:21" ht="15.75" customHeight="1">
      <c r="A170" s="14"/>
      <c r="B170" s="14"/>
      <c r="C170" s="14"/>
      <c r="D170" s="14"/>
      <c r="E170" s="14"/>
      <c r="F170" s="14"/>
      <c r="G170" s="14" t="str">
        <f t="shared" si="20"/>
        <v/>
      </c>
      <c r="H170" s="14"/>
      <c r="I170" s="14"/>
      <c r="J170" s="24"/>
      <c r="K170" s="24"/>
      <c r="L170" s="24"/>
      <c r="M170" s="24"/>
      <c r="N170" s="16" t="str">
        <f t="shared" si="18"/>
        <v/>
      </c>
      <c r="O170" s="16" t="str">
        <f t="shared" si="21"/>
        <v/>
      </c>
      <c r="P170" s="16" t="str">
        <f t="shared" si="22"/>
        <v/>
      </c>
      <c r="Q170" s="16" t="str">
        <f t="shared" si="23"/>
        <v/>
      </c>
      <c r="R170" s="16">
        <f t="shared" si="19"/>
        <v>0</v>
      </c>
      <c r="S170" s="16" t="str">
        <f>IF(OR($B170="",NOT(ISNUMBER($F170))),"",SUMIFS(community_cores_FS!$P$5:$P$597,community_cores_FS!$B$5:$B$597,$B170,community_cores_FS!$F$5:$F$597,"&lt;="&amp;$F170))</f>
        <v/>
      </c>
      <c r="T170" s="16" t="str">
        <f>IF(AND($A170="",$B170="",$E170=""),"",IF(AND($B170&lt;&gt;"",COUNTIF('2. Core Log'!$A$5:$A$124,$B170)=0),"Core ID not in Core Log. ","")&amp;IF(AND($A170&lt;&gt;"",COUNTIF('1. Plot &amp; Site Log'!$A$5:$A$64,$A170)=0),"Plot ID not in Plot &amp; Site Log. ","")&amp;IF(AND(ISNUMBER($E170),ISNUMBER($F170),$F170&lt;=$E170),"Bottom depth is not below top depth. ","")&amp;IF($I170="","Say which bulk-density basis the lab reported. ","")&amp;IF(AND(ISNUMBER($J170),OR($J170&lt;QC_BD_MIN,$J170&gt;QC_BD_MAX)),"Bulk density outside "&amp;QC_BD_MIN&amp;"–"&amp;QC_BD_MAX&amp;" g/cm³ for peat. Above the top of that range usually means the mineral contact has been passed. ","")&amp;IF(AND(ISNUMBER($N170),$N170&gt;QC_CARBON_PCT_MAX),"Carbon above "&amp;QC_CARBON_PCT_MAX&amp;"% — check units; this may be organic matter rather than carbon. ","")&amp;IF(AND($L170&lt;&gt;"",$M170&lt;&gt;""),"Both LOI and measured carbon given — the measured value is used. ","")&amp;IF(AND($M170="",$L170&lt;&gt;"",OM_FACTOR_IS_LOCAL&lt;&gt;"Yes"),"Carbon derived from LOI using the default factor of "&amp;CARBON_FRACTION_OM&amp;", which has not been calibrated locally. See R1. Reference. ","")&amp;IF(AND(ISNUMBER($O170),$O170=0,ISNUMBER($E170)),"Section lies entirely below the reference depth — it counts to the full-profile stock only. ",""))</f>
        <v/>
      </c>
      <c r="U170" s="14"/>
    </row>
    <row r="171" spans="1:21" ht="15.75" customHeight="1">
      <c r="A171" s="14"/>
      <c r="B171" s="14"/>
      <c r="C171" s="14"/>
      <c r="D171" s="14"/>
      <c r="E171" s="14"/>
      <c r="F171" s="14"/>
      <c r="G171" s="14" t="str">
        <f t="shared" si="20"/>
        <v/>
      </c>
      <c r="H171" s="14"/>
      <c r="I171" s="14"/>
      <c r="J171" s="24"/>
      <c r="K171" s="24"/>
      <c r="L171" s="24"/>
      <c r="M171" s="24"/>
      <c r="N171" s="16" t="str">
        <f t="shared" si="18"/>
        <v/>
      </c>
      <c r="O171" s="16" t="str">
        <f t="shared" si="21"/>
        <v/>
      </c>
      <c r="P171" s="16" t="str">
        <f t="shared" si="22"/>
        <v/>
      </c>
      <c r="Q171" s="16" t="str">
        <f t="shared" si="23"/>
        <v/>
      </c>
      <c r="R171" s="16">
        <f t="shared" si="19"/>
        <v>0</v>
      </c>
      <c r="S171" s="16" t="str">
        <f>IF(OR($B171="",NOT(ISNUMBER($F171))),"",SUMIFS(community_cores_FS!$P$5:$P$597,community_cores_FS!$B$5:$B$597,$B171,community_cores_FS!$F$5:$F$597,"&lt;="&amp;$F171))</f>
        <v/>
      </c>
      <c r="T171" s="16" t="str">
        <f>IF(AND($A171="",$B171="",$E171=""),"",IF(AND($B171&lt;&gt;"",COUNTIF('2. Core Log'!$A$5:$A$124,$B171)=0),"Core ID not in Core Log. ","")&amp;IF(AND($A171&lt;&gt;"",COUNTIF('1. Plot &amp; Site Log'!$A$5:$A$64,$A171)=0),"Plot ID not in Plot &amp; Site Log. ","")&amp;IF(AND(ISNUMBER($E171),ISNUMBER($F171),$F171&lt;=$E171),"Bottom depth is not below top depth. ","")&amp;IF($I171="","Say which bulk-density basis the lab reported. ","")&amp;IF(AND(ISNUMBER($J171),OR($J171&lt;QC_BD_MIN,$J171&gt;QC_BD_MAX)),"Bulk density outside "&amp;QC_BD_MIN&amp;"–"&amp;QC_BD_MAX&amp;" g/cm³ for peat. Above the top of that range usually means the mineral contact has been passed. ","")&amp;IF(AND(ISNUMBER($N171),$N171&gt;QC_CARBON_PCT_MAX),"Carbon above "&amp;QC_CARBON_PCT_MAX&amp;"% — check units; this may be organic matter rather than carbon. ","")&amp;IF(AND($L171&lt;&gt;"",$M171&lt;&gt;""),"Both LOI and measured carbon given — the measured value is used. ","")&amp;IF(AND($M171="",$L171&lt;&gt;"",OM_FACTOR_IS_LOCAL&lt;&gt;"Yes"),"Carbon derived from LOI using the default factor of "&amp;CARBON_FRACTION_OM&amp;", which has not been calibrated locally. See R1. Reference. ","")&amp;IF(AND(ISNUMBER($O171),$O171=0,ISNUMBER($E171)),"Section lies entirely below the reference depth — it counts to the full-profile stock only. ",""))</f>
        <v/>
      </c>
      <c r="U171" s="14"/>
    </row>
    <row r="172" spans="1:21" ht="15.75" customHeight="1">
      <c r="A172" s="14"/>
      <c r="B172" s="14"/>
      <c r="C172" s="14"/>
      <c r="D172" s="14"/>
      <c r="E172" s="14"/>
      <c r="F172" s="14"/>
      <c r="G172" s="14" t="str">
        <f t="shared" si="20"/>
        <v/>
      </c>
      <c r="H172" s="14"/>
      <c r="I172" s="14"/>
      <c r="J172" s="24"/>
      <c r="K172" s="24"/>
      <c r="L172" s="24"/>
      <c r="M172" s="24"/>
      <c r="N172" s="16" t="str">
        <f t="shared" si="18"/>
        <v/>
      </c>
      <c r="O172" s="16" t="str">
        <f t="shared" si="21"/>
        <v/>
      </c>
      <c r="P172" s="16" t="str">
        <f t="shared" si="22"/>
        <v/>
      </c>
      <c r="Q172" s="16" t="str">
        <f t="shared" si="23"/>
        <v/>
      </c>
      <c r="R172" s="16">
        <f t="shared" si="19"/>
        <v>0</v>
      </c>
      <c r="S172" s="16" t="str">
        <f>IF(OR($B172="",NOT(ISNUMBER($F172))),"",SUMIFS(community_cores_FS!$P$5:$P$597,community_cores_FS!$B$5:$B$597,$B172,community_cores_FS!$F$5:$F$597,"&lt;="&amp;$F172))</f>
        <v/>
      </c>
      <c r="T172" s="16" t="str">
        <f>IF(AND($A172="",$B172="",$E172=""),"",IF(AND($B172&lt;&gt;"",COUNTIF('2. Core Log'!$A$5:$A$124,$B172)=0),"Core ID not in Core Log. ","")&amp;IF(AND($A172&lt;&gt;"",COUNTIF('1. Plot &amp; Site Log'!$A$5:$A$64,$A172)=0),"Plot ID not in Plot &amp; Site Log. ","")&amp;IF(AND(ISNUMBER($E172),ISNUMBER($F172),$F172&lt;=$E172),"Bottom depth is not below top depth. ","")&amp;IF($I172="","Say which bulk-density basis the lab reported. ","")&amp;IF(AND(ISNUMBER($J172),OR($J172&lt;QC_BD_MIN,$J172&gt;QC_BD_MAX)),"Bulk density outside "&amp;QC_BD_MIN&amp;"–"&amp;QC_BD_MAX&amp;" g/cm³ for peat. Above the top of that range usually means the mineral contact has been passed. ","")&amp;IF(AND(ISNUMBER($N172),$N172&gt;QC_CARBON_PCT_MAX),"Carbon above "&amp;QC_CARBON_PCT_MAX&amp;"% — check units; this may be organic matter rather than carbon. ","")&amp;IF(AND($L172&lt;&gt;"",$M172&lt;&gt;""),"Both LOI and measured carbon given — the measured value is used. ","")&amp;IF(AND($M172="",$L172&lt;&gt;"",OM_FACTOR_IS_LOCAL&lt;&gt;"Yes"),"Carbon derived from LOI using the default factor of "&amp;CARBON_FRACTION_OM&amp;", which has not been calibrated locally. See R1. Reference. ","")&amp;IF(AND(ISNUMBER($O172),$O172=0,ISNUMBER($E172)),"Section lies entirely below the reference depth — it counts to the full-profile stock only. ",""))</f>
        <v/>
      </c>
      <c r="U172" s="14"/>
    </row>
    <row r="173" spans="1:21" ht="15.75" customHeight="1">
      <c r="A173" s="14"/>
      <c r="B173" s="14"/>
      <c r="C173" s="14"/>
      <c r="D173" s="14"/>
      <c r="E173" s="14"/>
      <c r="F173" s="14"/>
      <c r="G173" s="14" t="str">
        <f t="shared" si="20"/>
        <v/>
      </c>
      <c r="H173" s="14"/>
      <c r="I173" s="14"/>
      <c r="J173" s="24"/>
      <c r="K173" s="24"/>
      <c r="L173" s="24"/>
      <c r="M173" s="24"/>
      <c r="N173" s="16" t="str">
        <f t="shared" si="18"/>
        <v/>
      </c>
      <c r="O173" s="16" t="str">
        <f t="shared" si="21"/>
        <v/>
      </c>
      <c r="P173" s="16" t="str">
        <f t="shared" si="22"/>
        <v/>
      </c>
      <c r="Q173" s="16" t="str">
        <f t="shared" si="23"/>
        <v/>
      </c>
      <c r="R173" s="16">
        <f t="shared" si="19"/>
        <v>0</v>
      </c>
      <c r="S173" s="16" t="str">
        <f>IF(OR($B173="",NOT(ISNUMBER($F173))),"",SUMIFS(community_cores_FS!$P$5:$P$597,community_cores_FS!$B$5:$B$597,$B173,community_cores_FS!$F$5:$F$597,"&lt;="&amp;$F173))</f>
        <v/>
      </c>
      <c r="T173" s="16" t="str">
        <f>IF(AND($A173="",$B173="",$E173=""),"",IF(AND($B173&lt;&gt;"",COUNTIF('2. Core Log'!$A$5:$A$124,$B173)=0),"Core ID not in Core Log. ","")&amp;IF(AND($A173&lt;&gt;"",COUNTIF('1. Plot &amp; Site Log'!$A$5:$A$64,$A173)=0),"Plot ID not in Plot &amp; Site Log. ","")&amp;IF(AND(ISNUMBER($E173),ISNUMBER($F173),$F173&lt;=$E173),"Bottom depth is not below top depth. ","")&amp;IF($I173="","Say which bulk-density basis the lab reported. ","")&amp;IF(AND(ISNUMBER($J173),OR($J173&lt;QC_BD_MIN,$J173&gt;QC_BD_MAX)),"Bulk density outside "&amp;QC_BD_MIN&amp;"–"&amp;QC_BD_MAX&amp;" g/cm³ for peat. Above the top of that range usually means the mineral contact has been passed. ","")&amp;IF(AND(ISNUMBER($N173),$N173&gt;QC_CARBON_PCT_MAX),"Carbon above "&amp;QC_CARBON_PCT_MAX&amp;"% — check units; this may be organic matter rather than carbon. ","")&amp;IF(AND($L173&lt;&gt;"",$M173&lt;&gt;""),"Both LOI and measured carbon given — the measured value is used. ","")&amp;IF(AND($M173="",$L173&lt;&gt;"",OM_FACTOR_IS_LOCAL&lt;&gt;"Yes"),"Carbon derived from LOI using the default factor of "&amp;CARBON_FRACTION_OM&amp;", which has not been calibrated locally. See R1. Reference. ","")&amp;IF(AND(ISNUMBER($O173),$O173=0,ISNUMBER($E173)),"Section lies entirely below the reference depth — it counts to the full-profile stock only. ",""))</f>
        <v/>
      </c>
      <c r="U173" s="14"/>
    </row>
    <row r="174" spans="1:21" ht="15.75" customHeight="1">
      <c r="A174" s="14"/>
      <c r="B174" s="14"/>
      <c r="C174" s="14"/>
      <c r="D174" s="14"/>
      <c r="E174" s="14"/>
      <c r="F174" s="14"/>
      <c r="G174" s="14" t="str">
        <f t="shared" si="20"/>
        <v/>
      </c>
      <c r="H174" s="14"/>
      <c r="I174" s="14"/>
      <c r="J174" s="24"/>
      <c r="K174" s="24"/>
      <c r="L174" s="24"/>
      <c r="M174" s="24"/>
      <c r="N174" s="16" t="str">
        <f t="shared" si="18"/>
        <v/>
      </c>
      <c r="O174" s="16" t="str">
        <f t="shared" si="21"/>
        <v/>
      </c>
      <c r="P174" s="16" t="str">
        <f t="shared" si="22"/>
        <v/>
      </c>
      <c r="Q174" s="16" t="str">
        <f t="shared" si="23"/>
        <v/>
      </c>
      <c r="R174" s="16">
        <f t="shared" si="19"/>
        <v>0</v>
      </c>
      <c r="S174" s="16" t="str">
        <f>IF(OR($B174="",NOT(ISNUMBER($F174))),"",SUMIFS(community_cores_FS!$P$5:$P$597,community_cores_FS!$B$5:$B$597,$B174,community_cores_FS!$F$5:$F$597,"&lt;="&amp;$F174))</f>
        <v/>
      </c>
      <c r="T174" s="16" t="str">
        <f>IF(AND($A174="",$B174="",$E174=""),"",IF(AND($B174&lt;&gt;"",COUNTIF('2. Core Log'!$A$5:$A$124,$B174)=0),"Core ID not in Core Log. ","")&amp;IF(AND($A174&lt;&gt;"",COUNTIF('1. Plot &amp; Site Log'!$A$5:$A$64,$A174)=0),"Plot ID not in Plot &amp; Site Log. ","")&amp;IF(AND(ISNUMBER($E174),ISNUMBER($F174),$F174&lt;=$E174),"Bottom depth is not below top depth. ","")&amp;IF($I174="","Say which bulk-density basis the lab reported. ","")&amp;IF(AND(ISNUMBER($J174),OR($J174&lt;QC_BD_MIN,$J174&gt;QC_BD_MAX)),"Bulk density outside "&amp;QC_BD_MIN&amp;"–"&amp;QC_BD_MAX&amp;" g/cm³ for peat. Above the top of that range usually means the mineral contact has been passed. ","")&amp;IF(AND(ISNUMBER($N174),$N174&gt;QC_CARBON_PCT_MAX),"Carbon above "&amp;QC_CARBON_PCT_MAX&amp;"% — check units; this may be organic matter rather than carbon. ","")&amp;IF(AND($L174&lt;&gt;"",$M174&lt;&gt;""),"Both LOI and measured carbon given — the measured value is used. ","")&amp;IF(AND($M174="",$L174&lt;&gt;"",OM_FACTOR_IS_LOCAL&lt;&gt;"Yes"),"Carbon derived from LOI using the default factor of "&amp;CARBON_FRACTION_OM&amp;", which has not been calibrated locally. See R1. Reference. ","")&amp;IF(AND(ISNUMBER($O174),$O174=0,ISNUMBER($E174)),"Section lies entirely below the reference depth — it counts to the full-profile stock only. ",""))</f>
        <v/>
      </c>
      <c r="U174" s="14"/>
    </row>
    <row r="175" spans="1:21" ht="15.75" customHeight="1">
      <c r="A175" s="14"/>
      <c r="B175" s="14"/>
      <c r="C175" s="14"/>
      <c r="D175" s="14"/>
      <c r="E175" s="14"/>
      <c r="F175" s="14"/>
      <c r="G175" s="14" t="str">
        <f t="shared" si="20"/>
        <v/>
      </c>
      <c r="H175" s="14"/>
      <c r="I175" s="14"/>
      <c r="J175" s="24"/>
      <c r="K175" s="24"/>
      <c r="L175" s="24"/>
      <c r="M175" s="24"/>
      <c r="N175" s="16" t="str">
        <f t="shared" si="18"/>
        <v/>
      </c>
      <c r="O175" s="16" t="str">
        <f t="shared" si="21"/>
        <v/>
      </c>
      <c r="P175" s="16" t="str">
        <f t="shared" si="22"/>
        <v/>
      </c>
      <c r="Q175" s="16" t="str">
        <f t="shared" si="23"/>
        <v/>
      </c>
      <c r="R175" s="16">
        <f t="shared" si="19"/>
        <v>0</v>
      </c>
      <c r="S175" s="16" t="str">
        <f>IF(OR($B175="",NOT(ISNUMBER($F175))),"",SUMIFS(community_cores_FS!$P$5:$P$597,community_cores_FS!$B$5:$B$597,$B175,community_cores_FS!$F$5:$F$597,"&lt;="&amp;$F175))</f>
        <v/>
      </c>
      <c r="T175" s="16" t="str">
        <f>IF(AND($A175="",$B175="",$E175=""),"",IF(AND($B175&lt;&gt;"",COUNTIF('2. Core Log'!$A$5:$A$124,$B175)=0),"Core ID not in Core Log. ","")&amp;IF(AND($A175&lt;&gt;"",COUNTIF('1. Plot &amp; Site Log'!$A$5:$A$64,$A175)=0),"Plot ID not in Plot &amp; Site Log. ","")&amp;IF(AND(ISNUMBER($E175),ISNUMBER($F175),$F175&lt;=$E175),"Bottom depth is not below top depth. ","")&amp;IF($I175="","Say which bulk-density basis the lab reported. ","")&amp;IF(AND(ISNUMBER($J175),OR($J175&lt;QC_BD_MIN,$J175&gt;QC_BD_MAX)),"Bulk density outside "&amp;QC_BD_MIN&amp;"–"&amp;QC_BD_MAX&amp;" g/cm³ for peat. Above the top of that range usually means the mineral contact has been passed. ","")&amp;IF(AND(ISNUMBER($N175),$N175&gt;QC_CARBON_PCT_MAX),"Carbon above "&amp;QC_CARBON_PCT_MAX&amp;"% — check units; this may be organic matter rather than carbon. ","")&amp;IF(AND($L175&lt;&gt;"",$M175&lt;&gt;""),"Both LOI and measured carbon given — the measured value is used. ","")&amp;IF(AND($M175="",$L175&lt;&gt;"",OM_FACTOR_IS_LOCAL&lt;&gt;"Yes"),"Carbon derived from LOI using the default factor of "&amp;CARBON_FRACTION_OM&amp;", which has not been calibrated locally. See R1. Reference. ","")&amp;IF(AND(ISNUMBER($O175),$O175=0,ISNUMBER($E175)),"Section lies entirely below the reference depth — it counts to the full-profile stock only. ",""))</f>
        <v/>
      </c>
      <c r="U175" s="14"/>
    </row>
    <row r="176" spans="1:21" ht="15.75" customHeight="1">
      <c r="A176" s="14"/>
      <c r="B176" s="14"/>
      <c r="C176" s="14"/>
      <c r="D176" s="14"/>
      <c r="E176" s="14"/>
      <c r="F176" s="14"/>
      <c r="G176" s="14" t="str">
        <f t="shared" si="20"/>
        <v/>
      </c>
      <c r="H176" s="14"/>
      <c r="I176" s="14"/>
      <c r="J176" s="24"/>
      <c r="K176" s="24"/>
      <c r="L176" s="24"/>
      <c r="M176" s="24"/>
      <c r="N176" s="16" t="str">
        <f t="shared" si="18"/>
        <v/>
      </c>
      <c r="O176" s="16" t="str">
        <f t="shared" si="21"/>
        <v/>
      </c>
      <c r="P176" s="16" t="str">
        <f t="shared" si="22"/>
        <v/>
      </c>
      <c r="Q176" s="16" t="str">
        <f t="shared" si="23"/>
        <v/>
      </c>
      <c r="R176" s="16">
        <f t="shared" si="19"/>
        <v>0</v>
      </c>
      <c r="S176" s="16" t="str">
        <f>IF(OR($B176="",NOT(ISNUMBER($F176))),"",SUMIFS(community_cores_FS!$P$5:$P$597,community_cores_FS!$B$5:$B$597,$B176,community_cores_FS!$F$5:$F$597,"&lt;="&amp;$F176))</f>
        <v/>
      </c>
      <c r="T176" s="16" t="str">
        <f>IF(AND($A176="",$B176="",$E176=""),"",IF(AND($B176&lt;&gt;"",COUNTIF('2. Core Log'!$A$5:$A$124,$B176)=0),"Core ID not in Core Log. ","")&amp;IF(AND($A176&lt;&gt;"",COUNTIF('1. Plot &amp; Site Log'!$A$5:$A$64,$A176)=0),"Plot ID not in Plot &amp; Site Log. ","")&amp;IF(AND(ISNUMBER($E176),ISNUMBER($F176),$F176&lt;=$E176),"Bottom depth is not below top depth. ","")&amp;IF($I176="","Say which bulk-density basis the lab reported. ","")&amp;IF(AND(ISNUMBER($J176),OR($J176&lt;QC_BD_MIN,$J176&gt;QC_BD_MAX)),"Bulk density outside "&amp;QC_BD_MIN&amp;"–"&amp;QC_BD_MAX&amp;" g/cm³ for peat. Above the top of that range usually means the mineral contact has been passed. ","")&amp;IF(AND(ISNUMBER($N176),$N176&gt;QC_CARBON_PCT_MAX),"Carbon above "&amp;QC_CARBON_PCT_MAX&amp;"% — check units; this may be organic matter rather than carbon. ","")&amp;IF(AND($L176&lt;&gt;"",$M176&lt;&gt;""),"Both LOI and measured carbon given — the measured value is used. ","")&amp;IF(AND($M176="",$L176&lt;&gt;"",OM_FACTOR_IS_LOCAL&lt;&gt;"Yes"),"Carbon derived from LOI using the default factor of "&amp;CARBON_FRACTION_OM&amp;", which has not been calibrated locally. See R1. Reference. ","")&amp;IF(AND(ISNUMBER($O176),$O176=0,ISNUMBER($E176)),"Section lies entirely below the reference depth — it counts to the full-profile stock only. ",""))</f>
        <v/>
      </c>
      <c r="U176" s="14"/>
    </row>
    <row r="177" spans="1:21" ht="15.75" customHeight="1">
      <c r="A177" s="14"/>
      <c r="B177" s="14"/>
      <c r="C177" s="14"/>
      <c r="D177" s="14"/>
      <c r="E177" s="14"/>
      <c r="F177" s="14"/>
      <c r="G177" s="14" t="str">
        <f t="shared" si="20"/>
        <v/>
      </c>
      <c r="H177" s="14"/>
      <c r="I177" s="14"/>
      <c r="J177" s="24"/>
      <c r="K177" s="24"/>
      <c r="L177" s="24"/>
      <c r="M177" s="24"/>
      <c r="N177" s="16" t="str">
        <f t="shared" si="18"/>
        <v/>
      </c>
      <c r="O177" s="16" t="str">
        <f t="shared" si="21"/>
        <v/>
      </c>
      <c r="P177" s="16" t="str">
        <f t="shared" si="22"/>
        <v/>
      </c>
      <c r="Q177" s="16" t="str">
        <f t="shared" si="23"/>
        <v/>
      </c>
      <c r="R177" s="16">
        <f t="shared" si="19"/>
        <v>0</v>
      </c>
      <c r="S177" s="16" t="str">
        <f>IF(OR($B177="",NOT(ISNUMBER($F177))),"",SUMIFS(community_cores_FS!$P$5:$P$597,community_cores_FS!$B$5:$B$597,$B177,community_cores_FS!$F$5:$F$597,"&lt;="&amp;$F177))</f>
        <v/>
      </c>
      <c r="T177" s="16" t="str">
        <f>IF(AND($A177="",$B177="",$E177=""),"",IF(AND($B177&lt;&gt;"",COUNTIF('2. Core Log'!$A$5:$A$124,$B177)=0),"Core ID not in Core Log. ","")&amp;IF(AND($A177&lt;&gt;"",COUNTIF('1. Plot &amp; Site Log'!$A$5:$A$64,$A177)=0),"Plot ID not in Plot &amp; Site Log. ","")&amp;IF(AND(ISNUMBER($E177),ISNUMBER($F177),$F177&lt;=$E177),"Bottom depth is not below top depth. ","")&amp;IF($I177="","Say which bulk-density basis the lab reported. ","")&amp;IF(AND(ISNUMBER($J177),OR($J177&lt;QC_BD_MIN,$J177&gt;QC_BD_MAX)),"Bulk density outside "&amp;QC_BD_MIN&amp;"–"&amp;QC_BD_MAX&amp;" g/cm³ for peat. Above the top of that range usually means the mineral contact has been passed. ","")&amp;IF(AND(ISNUMBER($N177),$N177&gt;QC_CARBON_PCT_MAX),"Carbon above "&amp;QC_CARBON_PCT_MAX&amp;"% — check units; this may be organic matter rather than carbon. ","")&amp;IF(AND($L177&lt;&gt;"",$M177&lt;&gt;""),"Both LOI and measured carbon given — the measured value is used. ","")&amp;IF(AND($M177="",$L177&lt;&gt;"",OM_FACTOR_IS_LOCAL&lt;&gt;"Yes"),"Carbon derived from LOI using the default factor of "&amp;CARBON_FRACTION_OM&amp;", which has not been calibrated locally. See R1. Reference. ","")&amp;IF(AND(ISNUMBER($O177),$O177=0,ISNUMBER($E177)),"Section lies entirely below the reference depth — it counts to the full-profile stock only. ",""))</f>
        <v/>
      </c>
      <c r="U177" s="14"/>
    </row>
    <row r="178" spans="1:21" ht="15.75" customHeight="1">
      <c r="A178" s="14"/>
      <c r="B178" s="14"/>
      <c r="C178" s="14"/>
      <c r="D178" s="14"/>
      <c r="E178" s="14"/>
      <c r="F178" s="14"/>
      <c r="G178" s="14" t="str">
        <f t="shared" si="20"/>
        <v/>
      </c>
      <c r="H178" s="14"/>
      <c r="I178" s="14"/>
      <c r="J178" s="24"/>
      <c r="K178" s="24"/>
      <c r="L178" s="24"/>
      <c r="M178" s="24"/>
      <c r="N178" s="16" t="str">
        <f t="shared" si="18"/>
        <v/>
      </c>
      <c r="O178" s="16" t="str">
        <f t="shared" si="21"/>
        <v/>
      </c>
      <c r="P178" s="16" t="str">
        <f t="shared" si="22"/>
        <v/>
      </c>
      <c r="Q178" s="16" t="str">
        <f t="shared" si="23"/>
        <v/>
      </c>
      <c r="R178" s="16">
        <f t="shared" si="19"/>
        <v>0</v>
      </c>
      <c r="S178" s="16" t="str">
        <f>IF(OR($B178="",NOT(ISNUMBER($F178))),"",SUMIFS(community_cores_FS!$P$5:$P$597,community_cores_FS!$B$5:$B$597,$B178,community_cores_FS!$F$5:$F$597,"&lt;="&amp;$F178))</f>
        <v/>
      </c>
      <c r="T178" s="16" t="str">
        <f>IF(AND($A178="",$B178="",$E178=""),"",IF(AND($B178&lt;&gt;"",COUNTIF('2. Core Log'!$A$5:$A$124,$B178)=0),"Core ID not in Core Log. ","")&amp;IF(AND($A178&lt;&gt;"",COUNTIF('1. Plot &amp; Site Log'!$A$5:$A$64,$A178)=0),"Plot ID not in Plot &amp; Site Log. ","")&amp;IF(AND(ISNUMBER($E178),ISNUMBER($F178),$F178&lt;=$E178),"Bottom depth is not below top depth. ","")&amp;IF($I178="","Say which bulk-density basis the lab reported. ","")&amp;IF(AND(ISNUMBER($J178),OR($J178&lt;QC_BD_MIN,$J178&gt;QC_BD_MAX)),"Bulk density outside "&amp;QC_BD_MIN&amp;"–"&amp;QC_BD_MAX&amp;" g/cm³ for peat. Above the top of that range usually means the mineral contact has been passed. ","")&amp;IF(AND(ISNUMBER($N178),$N178&gt;QC_CARBON_PCT_MAX),"Carbon above "&amp;QC_CARBON_PCT_MAX&amp;"% — check units; this may be organic matter rather than carbon. ","")&amp;IF(AND($L178&lt;&gt;"",$M178&lt;&gt;""),"Both LOI and measured carbon given — the measured value is used. ","")&amp;IF(AND($M178="",$L178&lt;&gt;"",OM_FACTOR_IS_LOCAL&lt;&gt;"Yes"),"Carbon derived from LOI using the default factor of "&amp;CARBON_FRACTION_OM&amp;", which has not been calibrated locally. See R1. Reference. ","")&amp;IF(AND(ISNUMBER($O178),$O178=0,ISNUMBER($E178)),"Section lies entirely below the reference depth — it counts to the full-profile stock only. ",""))</f>
        <v/>
      </c>
      <c r="U178" s="14"/>
    </row>
    <row r="179" spans="1:21" ht="15.75" customHeight="1">
      <c r="A179" s="14"/>
      <c r="B179" s="14"/>
      <c r="C179" s="14"/>
      <c r="D179" s="14"/>
      <c r="E179" s="14"/>
      <c r="F179" s="14"/>
      <c r="G179" s="14" t="str">
        <f t="shared" si="20"/>
        <v/>
      </c>
      <c r="H179" s="14"/>
      <c r="I179" s="14"/>
      <c r="J179" s="24"/>
      <c r="K179" s="24"/>
      <c r="L179" s="24"/>
      <c r="M179" s="24"/>
      <c r="N179" s="16" t="str">
        <f t="shared" si="18"/>
        <v/>
      </c>
      <c r="O179" s="16" t="str">
        <f t="shared" si="21"/>
        <v/>
      </c>
      <c r="P179" s="16" t="str">
        <f t="shared" si="22"/>
        <v/>
      </c>
      <c r="Q179" s="16" t="str">
        <f t="shared" si="23"/>
        <v/>
      </c>
      <c r="R179" s="16">
        <f t="shared" si="19"/>
        <v>0</v>
      </c>
      <c r="S179" s="16" t="str">
        <f>IF(OR($B179="",NOT(ISNUMBER($F179))),"",SUMIFS(community_cores_FS!$P$5:$P$597,community_cores_FS!$B$5:$B$597,$B179,community_cores_FS!$F$5:$F$597,"&lt;="&amp;$F179))</f>
        <v/>
      </c>
      <c r="T179" s="16" t="str">
        <f>IF(AND($A179="",$B179="",$E179=""),"",IF(AND($B179&lt;&gt;"",COUNTIF('2. Core Log'!$A$5:$A$124,$B179)=0),"Core ID not in Core Log. ","")&amp;IF(AND($A179&lt;&gt;"",COUNTIF('1. Plot &amp; Site Log'!$A$5:$A$64,$A179)=0),"Plot ID not in Plot &amp; Site Log. ","")&amp;IF(AND(ISNUMBER($E179),ISNUMBER($F179),$F179&lt;=$E179),"Bottom depth is not below top depth. ","")&amp;IF($I179="","Say which bulk-density basis the lab reported. ","")&amp;IF(AND(ISNUMBER($J179),OR($J179&lt;QC_BD_MIN,$J179&gt;QC_BD_MAX)),"Bulk density outside "&amp;QC_BD_MIN&amp;"–"&amp;QC_BD_MAX&amp;" g/cm³ for peat. Above the top of that range usually means the mineral contact has been passed. ","")&amp;IF(AND(ISNUMBER($N179),$N179&gt;QC_CARBON_PCT_MAX),"Carbon above "&amp;QC_CARBON_PCT_MAX&amp;"% — check units; this may be organic matter rather than carbon. ","")&amp;IF(AND($L179&lt;&gt;"",$M179&lt;&gt;""),"Both LOI and measured carbon given — the measured value is used. ","")&amp;IF(AND($M179="",$L179&lt;&gt;"",OM_FACTOR_IS_LOCAL&lt;&gt;"Yes"),"Carbon derived from LOI using the default factor of "&amp;CARBON_FRACTION_OM&amp;", which has not been calibrated locally. See R1. Reference. ","")&amp;IF(AND(ISNUMBER($O179),$O179=0,ISNUMBER($E179)),"Section lies entirely below the reference depth — it counts to the full-profile stock only. ",""))</f>
        <v/>
      </c>
      <c r="U179" s="14"/>
    </row>
    <row r="180" spans="1:21" ht="15.75" customHeight="1">
      <c r="A180" s="14"/>
      <c r="B180" s="14"/>
      <c r="C180" s="14"/>
      <c r="D180" s="14"/>
      <c r="E180" s="14"/>
      <c r="F180" s="14"/>
      <c r="G180" s="14" t="str">
        <f t="shared" si="20"/>
        <v/>
      </c>
      <c r="H180" s="14"/>
      <c r="I180" s="14"/>
      <c r="J180" s="24"/>
      <c r="K180" s="24"/>
      <c r="L180" s="24"/>
      <c r="M180" s="24"/>
      <c r="N180" s="16" t="str">
        <f t="shared" si="18"/>
        <v/>
      </c>
      <c r="O180" s="16" t="str">
        <f t="shared" si="21"/>
        <v/>
      </c>
      <c r="P180" s="16" t="str">
        <f t="shared" si="22"/>
        <v/>
      </c>
      <c r="Q180" s="16" t="str">
        <f t="shared" si="23"/>
        <v/>
      </c>
      <c r="R180" s="16">
        <f t="shared" si="19"/>
        <v>0</v>
      </c>
      <c r="S180" s="16" t="str">
        <f>IF(OR($B180="",NOT(ISNUMBER($F180))),"",SUMIFS(community_cores_FS!$P$5:$P$597,community_cores_FS!$B$5:$B$597,$B180,community_cores_FS!$F$5:$F$597,"&lt;="&amp;$F180))</f>
        <v/>
      </c>
      <c r="T180" s="16" t="str">
        <f>IF(AND($A180="",$B180="",$E180=""),"",IF(AND($B180&lt;&gt;"",COUNTIF('2. Core Log'!$A$5:$A$124,$B180)=0),"Core ID not in Core Log. ","")&amp;IF(AND($A180&lt;&gt;"",COUNTIF('1. Plot &amp; Site Log'!$A$5:$A$64,$A180)=0),"Plot ID not in Plot &amp; Site Log. ","")&amp;IF(AND(ISNUMBER($E180),ISNUMBER($F180),$F180&lt;=$E180),"Bottom depth is not below top depth. ","")&amp;IF($I180="","Say which bulk-density basis the lab reported. ","")&amp;IF(AND(ISNUMBER($J180),OR($J180&lt;QC_BD_MIN,$J180&gt;QC_BD_MAX)),"Bulk density outside "&amp;QC_BD_MIN&amp;"–"&amp;QC_BD_MAX&amp;" g/cm³ for peat. Above the top of that range usually means the mineral contact has been passed. ","")&amp;IF(AND(ISNUMBER($N180),$N180&gt;QC_CARBON_PCT_MAX),"Carbon above "&amp;QC_CARBON_PCT_MAX&amp;"% — check units; this may be organic matter rather than carbon. ","")&amp;IF(AND($L180&lt;&gt;"",$M180&lt;&gt;""),"Both LOI and measured carbon given — the measured value is used. ","")&amp;IF(AND($M180="",$L180&lt;&gt;"",OM_FACTOR_IS_LOCAL&lt;&gt;"Yes"),"Carbon derived from LOI using the default factor of "&amp;CARBON_FRACTION_OM&amp;", which has not been calibrated locally. See R1. Reference. ","")&amp;IF(AND(ISNUMBER($O180),$O180=0,ISNUMBER($E180)),"Section lies entirely below the reference depth — it counts to the full-profile stock only. ",""))</f>
        <v/>
      </c>
      <c r="U180" s="14"/>
    </row>
    <row r="181" spans="1:21" ht="15.75" customHeight="1">
      <c r="A181" s="14"/>
      <c r="B181" s="14"/>
      <c r="C181" s="14"/>
      <c r="D181" s="14"/>
      <c r="E181" s="14"/>
      <c r="F181" s="14"/>
      <c r="G181" s="14" t="str">
        <f t="shared" si="20"/>
        <v/>
      </c>
      <c r="H181" s="14"/>
      <c r="I181" s="14"/>
      <c r="J181" s="24"/>
      <c r="K181" s="24"/>
      <c r="L181" s="24"/>
      <c r="M181" s="24"/>
      <c r="N181" s="16" t="str">
        <f t="shared" si="18"/>
        <v/>
      </c>
      <c r="O181" s="16" t="str">
        <f t="shared" si="21"/>
        <v/>
      </c>
      <c r="P181" s="16" t="str">
        <f t="shared" si="22"/>
        <v/>
      </c>
      <c r="Q181" s="16" t="str">
        <f t="shared" si="23"/>
        <v/>
      </c>
      <c r="R181" s="16">
        <f t="shared" si="19"/>
        <v>0</v>
      </c>
      <c r="S181" s="16" t="str">
        <f>IF(OR($B181="",NOT(ISNUMBER($F181))),"",SUMIFS(community_cores_FS!$P$5:$P$597,community_cores_FS!$B$5:$B$597,$B181,community_cores_FS!$F$5:$F$597,"&lt;="&amp;$F181))</f>
        <v/>
      </c>
      <c r="T181" s="16" t="str">
        <f>IF(AND($A181="",$B181="",$E181=""),"",IF(AND($B181&lt;&gt;"",COUNTIF('2. Core Log'!$A$5:$A$124,$B181)=0),"Core ID not in Core Log. ","")&amp;IF(AND($A181&lt;&gt;"",COUNTIF('1. Plot &amp; Site Log'!$A$5:$A$64,$A181)=0),"Plot ID not in Plot &amp; Site Log. ","")&amp;IF(AND(ISNUMBER($E181),ISNUMBER($F181),$F181&lt;=$E181),"Bottom depth is not below top depth. ","")&amp;IF($I181="","Say which bulk-density basis the lab reported. ","")&amp;IF(AND(ISNUMBER($J181),OR($J181&lt;QC_BD_MIN,$J181&gt;QC_BD_MAX)),"Bulk density outside "&amp;QC_BD_MIN&amp;"–"&amp;QC_BD_MAX&amp;" g/cm³ for peat. Above the top of that range usually means the mineral contact has been passed. ","")&amp;IF(AND(ISNUMBER($N181),$N181&gt;QC_CARBON_PCT_MAX),"Carbon above "&amp;QC_CARBON_PCT_MAX&amp;"% — check units; this may be organic matter rather than carbon. ","")&amp;IF(AND($L181&lt;&gt;"",$M181&lt;&gt;""),"Both LOI and measured carbon given — the measured value is used. ","")&amp;IF(AND($M181="",$L181&lt;&gt;"",OM_FACTOR_IS_LOCAL&lt;&gt;"Yes"),"Carbon derived from LOI using the default factor of "&amp;CARBON_FRACTION_OM&amp;", which has not been calibrated locally. See R1. Reference. ","")&amp;IF(AND(ISNUMBER($O181),$O181=0,ISNUMBER($E181)),"Section lies entirely below the reference depth — it counts to the full-profile stock only. ",""))</f>
        <v/>
      </c>
      <c r="U181" s="14"/>
    </row>
    <row r="182" spans="1:21" ht="15.75" customHeight="1">
      <c r="A182" s="14"/>
      <c r="B182" s="14"/>
      <c r="C182" s="14"/>
      <c r="D182" s="14"/>
      <c r="E182" s="14"/>
      <c r="F182" s="14"/>
      <c r="G182" s="14" t="str">
        <f t="shared" si="20"/>
        <v/>
      </c>
      <c r="H182" s="14"/>
      <c r="I182" s="14"/>
      <c r="J182" s="24"/>
      <c r="K182" s="24"/>
      <c r="L182" s="24"/>
      <c r="M182" s="24"/>
      <c r="N182" s="16" t="str">
        <f t="shared" si="18"/>
        <v/>
      </c>
      <c r="O182" s="16" t="str">
        <f t="shared" si="21"/>
        <v/>
      </c>
      <c r="P182" s="16" t="str">
        <f t="shared" si="22"/>
        <v/>
      </c>
      <c r="Q182" s="16" t="str">
        <f t="shared" si="23"/>
        <v/>
      </c>
      <c r="R182" s="16">
        <f t="shared" si="19"/>
        <v>0</v>
      </c>
      <c r="S182" s="16" t="str">
        <f>IF(OR($B182="",NOT(ISNUMBER($F182))),"",SUMIFS(community_cores_FS!$P$5:$P$597,community_cores_FS!$B$5:$B$597,$B182,community_cores_FS!$F$5:$F$597,"&lt;="&amp;$F182))</f>
        <v/>
      </c>
      <c r="T182" s="16" t="str">
        <f>IF(AND($A182="",$B182="",$E182=""),"",IF(AND($B182&lt;&gt;"",COUNTIF('2. Core Log'!$A$5:$A$124,$B182)=0),"Core ID not in Core Log. ","")&amp;IF(AND($A182&lt;&gt;"",COUNTIF('1. Plot &amp; Site Log'!$A$5:$A$64,$A182)=0),"Plot ID not in Plot &amp; Site Log. ","")&amp;IF(AND(ISNUMBER($E182),ISNUMBER($F182),$F182&lt;=$E182),"Bottom depth is not below top depth. ","")&amp;IF($I182="","Say which bulk-density basis the lab reported. ","")&amp;IF(AND(ISNUMBER($J182),OR($J182&lt;QC_BD_MIN,$J182&gt;QC_BD_MAX)),"Bulk density outside "&amp;QC_BD_MIN&amp;"–"&amp;QC_BD_MAX&amp;" g/cm³ for peat. Above the top of that range usually means the mineral contact has been passed. ","")&amp;IF(AND(ISNUMBER($N182),$N182&gt;QC_CARBON_PCT_MAX),"Carbon above "&amp;QC_CARBON_PCT_MAX&amp;"% — check units; this may be organic matter rather than carbon. ","")&amp;IF(AND($L182&lt;&gt;"",$M182&lt;&gt;""),"Both LOI and measured carbon given — the measured value is used. ","")&amp;IF(AND($M182="",$L182&lt;&gt;"",OM_FACTOR_IS_LOCAL&lt;&gt;"Yes"),"Carbon derived from LOI using the default factor of "&amp;CARBON_FRACTION_OM&amp;", which has not been calibrated locally. See R1. Reference. ","")&amp;IF(AND(ISNUMBER($O182),$O182=0,ISNUMBER($E182)),"Section lies entirely below the reference depth — it counts to the full-profile stock only. ",""))</f>
        <v/>
      </c>
      <c r="U182" s="14"/>
    </row>
    <row r="183" spans="1:21" ht="15.75" customHeight="1">
      <c r="A183" s="14"/>
      <c r="B183" s="14"/>
      <c r="C183" s="14"/>
      <c r="D183" s="14"/>
      <c r="E183" s="14"/>
      <c r="F183" s="14"/>
      <c r="G183" s="14" t="str">
        <f t="shared" si="20"/>
        <v/>
      </c>
      <c r="H183" s="14"/>
      <c r="I183" s="14"/>
      <c r="J183" s="24"/>
      <c r="K183" s="24"/>
      <c r="L183" s="24"/>
      <c r="M183" s="24"/>
      <c r="N183" s="16" t="str">
        <f t="shared" si="18"/>
        <v/>
      </c>
      <c r="O183" s="16" t="str">
        <f t="shared" si="21"/>
        <v/>
      </c>
      <c r="P183" s="16" t="str">
        <f t="shared" si="22"/>
        <v/>
      </c>
      <c r="Q183" s="16" t="str">
        <f t="shared" si="23"/>
        <v/>
      </c>
      <c r="R183" s="16">
        <f t="shared" si="19"/>
        <v>0</v>
      </c>
      <c r="S183" s="16" t="str">
        <f>IF(OR($B183="",NOT(ISNUMBER($F183))),"",SUMIFS(community_cores_FS!$P$5:$P$597,community_cores_FS!$B$5:$B$597,$B183,community_cores_FS!$F$5:$F$597,"&lt;="&amp;$F183))</f>
        <v/>
      </c>
      <c r="T183" s="16" t="str">
        <f>IF(AND($A183="",$B183="",$E183=""),"",IF(AND($B183&lt;&gt;"",COUNTIF('2. Core Log'!$A$5:$A$124,$B183)=0),"Core ID not in Core Log. ","")&amp;IF(AND($A183&lt;&gt;"",COUNTIF('1. Plot &amp; Site Log'!$A$5:$A$64,$A183)=0),"Plot ID not in Plot &amp; Site Log. ","")&amp;IF(AND(ISNUMBER($E183),ISNUMBER($F183),$F183&lt;=$E183),"Bottom depth is not below top depth. ","")&amp;IF($I183="","Say which bulk-density basis the lab reported. ","")&amp;IF(AND(ISNUMBER($J183),OR($J183&lt;QC_BD_MIN,$J183&gt;QC_BD_MAX)),"Bulk density outside "&amp;QC_BD_MIN&amp;"–"&amp;QC_BD_MAX&amp;" g/cm³ for peat. Above the top of that range usually means the mineral contact has been passed. ","")&amp;IF(AND(ISNUMBER($N183),$N183&gt;QC_CARBON_PCT_MAX),"Carbon above "&amp;QC_CARBON_PCT_MAX&amp;"% — check units; this may be organic matter rather than carbon. ","")&amp;IF(AND($L183&lt;&gt;"",$M183&lt;&gt;""),"Both LOI and measured carbon given — the measured value is used. ","")&amp;IF(AND($M183="",$L183&lt;&gt;"",OM_FACTOR_IS_LOCAL&lt;&gt;"Yes"),"Carbon derived from LOI using the default factor of "&amp;CARBON_FRACTION_OM&amp;", which has not been calibrated locally. See R1. Reference. ","")&amp;IF(AND(ISNUMBER($O183),$O183=0,ISNUMBER($E183)),"Section lies entirely below the reference depth — it counts to the full-profile stock only. ",""))</f>
        <v/>
      </c>
      <c r="U183" s="14"/>
    </row>
    <row r="184" spans="1:21" ht="15.75" customHeight="1">
      <c r="A184" s="14"/>
      <c r="B184" s="14"/>
      <c r="C184" s="14"/>
      <c r="D184" s="14"/>
      <c r="E184" s="14"/>
      <c r="F184" s="14"/>
      <c r="G184" s="14" t="str">
        <f t="shared" si="20"/>
        <v/>
      </c>
      <c r="H184" s="14"/>
      <c r="I184" s="14"/>
      <c r="J184" s="24"/>
      <c r="K184" s="24"/>
      <c r="L184" s="24"/>
      <c r="M184" s="24"/>
      <c r="N184" s="16" t="str">
        <f t="shared" si="18"/>
        <v/>
      </c>
      <c r="O184" s="16" t="str">
        <f t="shared" si="21"/>
        <v/>
      </c>
      <c r="P184" s="16" t="str">
        <f t="shared" si="22"/>
        <v/>
      </c>
      <c r="Q184" s="16" t="str">
        <f t="shared" si="23"/>
        <v/>
      </c>
      <c r="R184" s="16">
        <f t="shared" si="19"/>
        <v>0</v>
      </c>
      <c r="S184" s="16" t="str">
        <f>IF(OR($B184="",NOT(ISNUMBER($F184))),"",SUMIFS(community_cores_FS!$P$5:$P$597,community_cores_FS!$B$5:$B$597,$B184,community_cores_FS!$F$5:$F$597,"&lt;="&amp;$F184))</f>
        <v/>
      </c>
      <c r="T184" s="16" t="str">
        <f>IF(AND($A184="",$B184="",$E184=""),"",IF(AND($B184&lt;&gt;"",COUNTIF('2. Core Log'!$A$5:$A$124,$B184)=0),"Core ID not in Core Log. ","")&amp;IF(AND($A184&lt;&gt;"",COUNTIF('1. Plot &amp; Site Log'!$A$5:$A$64,$A184)=0),"Plot ID not in Plot &amp; Site Log. ","")&amp;IF(AND(ISNUMBER($E184),ISNUMBER($F184),$F184&lt;=$E184),"Bottom depth is not below top depth. ","")&amp;IF($I184="","Say which bulk-density basis the lab reported. ","")&amp;IF(AND(ISNUMBER($J184),OR($J184&lt;QC_BD_MIN,$J184&gt;QC_BD_MAX)),"Bulk density outside "&amp;QC_BD_MIN&amp;"–"&amp;QC_BD_MAX&amp;" g/cm³ for peat. Above the top of that range usually means the mineral contact has been passed. ","")&amp;IF(AND(ISNUMBER($N184),$N184&gt;QC_CARBON_PCT_MAX),"Carbon above "&amp;QC_CARBON_PCT_MAX&amp;"% — check units; this may be organic matter rather than carbon. ","")&amp;IF(AND($L184&lt;&gt;"",$M184&lt;&gt;""),"Both LOI and measured carbon given — the measured value is used. ","")&amp;IF(AND($M184="",$L184&lt;&gt;"",OM_FACTOR_IS_LOCAL&lt;&gt;"Yes"),"Carbon derived from LOI using the default factor of "&amp;CARBON_FRACTION_OM&amp;", which has not been calibrated locally. See R1. Reference. ","")&amp;IF(AND(ISNUMBER($O184),$O184=0,ISNUMBER($E184)),"Section lies entirely below the reference depth — it counts to the full-profile stock only. ",""))</f>
        <v/>
      </c>
      <c r="U184" s="14"/>
    </row>
    <row r="185" spans="1:21" ht="15.75" customHeight="1">
      <c r="A185" s="14"/>
      <c r="B185" s="14"/>
      <c r="C185" s="14"/>
      <c r="D185" s="14"/>
      <c r="E185" s="14"/>
      <c r="F185" s="14"/>
      <c r="G185" s="14" t="str">
        <f t="shared" si="20"/>
        <v/>
      </c>
      <c r="H185" s="14"/>
      <c r="I185" s="14"/>
      <c r="J185" s="24"/>
      <c r="K185" s="24"/>
      <c r="L185" s="24"/>
      <c r="M185" s="24"/>
      <c r="N185" s="16" t="str">
        <f t="shared" si="18"/>
        <v/>
      </c>
      <c r="O185" s="16" t="str">
        <f t="shared" si="21"/>
        <v/>
      </c>
      <c r="P185" s="16" t="str">
        <f t="shared" si="22"/>
        <v/>
      </c>
      <c r="Q185" s="16" t="str">
        <f t="shared" si="23"/>
        <v/>
      </c>
      <c r="R185" s="16">
        <f t="shared" si="19"/>
        <v>0</v>
      </c>
      <c r="S185" s="16" t="str">
        <f>IF(OR($B185="",NOT(ISNUMBER($F185))),"",SUMIFS(community_cores_FS!$P$5:$P$597,community_cores_FS!$B$5:$B$597,$B185,community_cores_FS!$F$5:$F$597,"&lt;="&amp;$F185))</f>
        <v/>
      </c>
      <c r="T185" s="16" t="str">
        <f>IF(AND($A185="",$B185="",$E185=""),"",IF(AND($B185&lt;&gt;"",COUNTIF('2. Core Log'!$A$5:$A$124,$B185)=0),"Core ID not in Core Log. ","")&amp;IF(AND($A185&lt;&gt;"",COUNTIF('1. Plot &amp; Site Log'!$A$5:$A$64,$A185)=0),"Plot ID not in Plot &amp; Site Log. ","")&amp;IF(AND(ISNUMBER($E185),ISNUMBER($F185),$F185&lt;=$E185),"Bottom depth is not below top depth. ","")&amp;IF($I185="","Say which bulk-density basis the lab reported. ","")&amp;IF(AND(ISNUMBER($J185),OR($J185&lt;QC_BD_MIN,$J185&gt;QC_BD_MAX)),"Bulk density outside "&amp;QC_BD_MIN&amp;"–"&amp;QC_BD_MAX&amp;" g/cm³ for peat. Above the top of that range usually means the mineral contact has been passed. ","")&amp;IF(AND(ISNUMBER($N185),$N185&gt;QC_CARBON_PCT_MAX),"Carbon above "&amp;QC_CARBON_PCT_MAX&amp;"% — check units; this may be organic matter rather than carbon. ","")&amp;IF(AND($L185&lt;&gt;"",$M185&lt;&gt;""),"Both LOI and measured carbon given — the measured value is used. ","")&amp;IF(AND($M185="",$L185&lt;&gt;"",OM_FACTOR_IS_LOCAL&lt;&gt;"Yes"),"Carbon derived from LOI using the default factor of "&amp;CARBON_FRACTION_OM&amp;", which has not been calibrated locally. See R1. Reference. ","")&amp;IF(AND(ISNUMBER($O185),$O185=0,ISNUMBER($E185)),"Section lies entirely below the reference depth — it counts to the full-profile stock only. ",""))</f>
        <v/>
      </c>
      <c r="U185" s="14"/>
    </row>
    <row r="186" spans="1:21" ht="15.75" customHeight="1">
      <c r="A186" s="14"/>
      <c r="B186" s="14"/>
      <c r="C186" s="14"/>
      <c r="D186" s="14"/>
      <c r="E186" s="14"/>
      <c r="F186" s="14"/>
      <c r="G186" s="14" t="str">
        <f t="shared" si="20"/>
        <v/>
      </c>
      <c r="H186" s="14"/>
      <c r="I186" s="14"/>
      <c r="J186" s="24"/>
      <c r="K186" s="24"/>
      <c r="L186" s="24"/>
      <c r="M186" s="24"/>
      <c r="N186" s="16" t="str">
        <f t="shared" si="18"/>
        <v/>
      </c>
      <c r="O186" s="16" t="str">
        <f t="shared" si="21"/>
        <v/>
      </c>
      <c r="P186" s="16" t="str">
        <f t="shared" si="22"/>
        <v/>
      </c>
      <c r="Q186" s="16" t="str">
        <f t="shared" si="23"/>
        <v/>
      </c>
      <c r="R186" s="16">
        <f t="shared" si="19"/>
        <v>0</v>
      </c>
      <c r="S186" s="16" t="str">
        <f>IF(OR($B186="",NOT(ISNUMBER($F186))),"",SUMIFS(community_cores_FS!$P$5:$P$597,community_cores_FS!$B$5:$B$597,$B186,community_cores_FS!$F$5:$F$597,"&lt;="&amp;$F186))</f>
        <v/>
      </c>
      <c r="T186" s="16" t="str">
        <f>IF(AND($A186="",$B186="",$E186=""),"",IF(AND($B186&lt;&gt;"",COUNTIF('2. Core Log'!$A$5:$A$124,$B186)=0),"Core ID not in Core Log. ","")&amp;IF(AND($A186&lt;&gt;"",COUNTIF('1. Plot &amp; Site Log'!$A$5:$A$64,$A186)=0),"Plot ID not in Plot &amp; Site Log. ","")&amp;IF(AND(ISNUMBER($E186),ISNUMBER($F186),$F186&lt;=$E186),"Bottom depth is not below top depth. ","")&amp;IF($I186="","Say which bulk-density basis the lab reported. ","")&amp;IF(AND(ISNUMBER($J186),OR($J186&lt;QC_BD_MIN,$J186&gt;QC_BD_MAX)),"Bulk density outside "&amp;QC_BD_MIN&amp;"–"&amp;QC_BD_MAX&amp;" g/cm³ for peat. Above the top of that range usually means the mineral contact has been passed. ","")&amp;IF(AND(ISNUMBER($N186),$N186&gt;QC_CARBON_PCT_MAX),"Carbon above "&amp;QC_CARBON_PCT_MAX&amp;"% — check units; this may be organic matter rather than carbon. ","")&amp;IF(AND($L186&lt;&gt;"",$M186&lt;&gt;""),"Both LOI and measured carbon given — the measured value is used. ","")&amp;IF(AND($M186="",$L186&lt;&gt;"",OM_FACTOR_IS_LOCAL&lt;&gt;"Yes"),"Carbon derived from LOI using the default factor of "&amp;CARBON_FRACTION_OM&amp;", which has not been calibrated locally. See R1. Reference. ","")&amp;IF(AND(ISNUMBER($O186),$O186=0,ISNUMBER($E186)),"Section lies entirely below the reference depth — it counts to the full-profile stock only. ",""))</f>
        <v/>
      </c>
      <c r="U186" s="14"/>
    </row>
    <row r="187" spans="1:21" ht="15.75" customHeight="1">
      <c r="A187" s="14"/>
      <c r="B187" s="14"/>
      <c r="C187" s="14"/>
      <c r="D187" s="14"/>
      <c r="E187" s="14"/>
      <c r="F187" s="14"/>
      <c r="G187" s="14" t="str">
        <f t="shared" si="20"/>
        <v/>
      </c>
      <c r="H187" s="14"/>
      <c r="I187" s="14"/>
      <c r="J187" s="24"/>
      <c r="K187" s="24"/>
      <c r="L187" s="24"/>
      <c r="M187" s="24"/>
      <c r="N187" s="16" t="str">
        <f t="shared" si="18"/>
        <v/>
      </c>
      <c r="O187" s="16" t="str">
        <f t="shared" si="21"/>
        <v/>
      </c>
      <c r="P187" s="16" t="str">
        <f t="shared" si="22"/>
        <v/>
      </c>
      <c r="Q187" s="16" t="str">
        <f t="shared" si="23"/>
        <v/>
      </c>
      <c r="R187" s="16">
        <f t="shared" si="19"/>
        <v>0</v>
      </c>
      <c r="S187" s="16" t="str">
        <f>IF(OR($B187="",NOT(ISNUMBER($F187))),"",SUMIFS(community_cores_FS!$P$5:$P$597,community_cores_FS!$B$5:$B$597,$B187,community_cores_FS!$F$5:$F$597,"&lt;="&amp;$F187))</f>
        <v/>
      </c>
      <c r="T187" s="16" t="str">
        <f>IF(AND($A187="",$B187="",$E187=""),"",IF(AND($B187&lt;&gt;"",COUNTIF('2. Core Log'!$A$5:$A$124,$B187)=0),"Core ID not in Core Log. ","")&amp;IF(AND($A187&lt;&gt;"",COUNTIF('1. Plot &amp; Site Log'!$A$5:$A$64,$A187)=0),"Plot ID not in Plot &amp; Site Log. ","")&amp;IF(AND(ISNUMBER($E187),ISNUMBER($F187),$F187&lt;=$E187),"Bottom depth is not below top depth. ","")&amp;IF($I187="","Say which bulk-density basis the lab reported. ","")&amp;IF(AND(ISNUMBER($J187),OR($J187&lt;QC_BD_MIN,$J187&gt;QC_BD_MAX)),"Bulk density outside "&amp;QC_BD_MIN&amp;"–"&amp;QC_BD_MAX&amp;" g/cm³ for peat. Above the top of that range usually means the mineral contact has been passed. ","")&amp;IF(AND(ISNUMBER($N187),$N187&gt;QC_CARBON_PCT_MAX),"Carbon above "&amp;QC_CARBON_PCT_MAX&amp;"% — check units; this may be organic matter rather than carbon. ","")&amp;IF(AND($L187&lt;&gt;"",$M187&lt;&gt;""),"Both LOI and measured carbon given — the measured value is used. ","")&amp;IF(AND($M187="",$L187&lt;&gt;"",OM_FACTOR_IS_LOCAL&lt;&gt;"Yes"),"Carbon derived from LOI using the default factor of "&amp;CARBON_FRACTION_OM&amp;", which has not been calibrated locally. See R1. Reference. ","")&amp;IF(AND(ISNUMBER($O187),$O187=0,ISNUMBER($E187)),"Section lies entirely below the reference depth — it counts to the full-profile stock only. ",""))</f>
        <v/>
      </c>
      <c r="U187" s="14"/>
    </row>
    <row r="188" spans="1:21" ht="15.75" customHeight="1">
      <c r="A188" s="14"/>
      <c r="B188" s="14"/>
      <c r="C188" s="14"/>
      <c r="D188" s="14"/>
      <c r="E188" s="14"/>
      <c r="F188" s="14"/>
      <c r="G188" s="14" t="str">
        <f t="shared" si="20"/>
        <v/>
      </c>
      <c r="H188" s="14"/>
      <c r="I188" s="14"/>
      <c r="J188" s="24"/>
      <c r="K188" s="24"/>
      <c r="L188" s="24"/>
      <c r="M188" s="24"/>
      <c r="N188" s="16" t="str">
        <f t="shared" si="18"/>
        <v/>
      </c>
      <c r="O188" s="16" t="str">
        <f t="shared" si="21"/>
        <v/>
      </c>
      <c r="P188" s="16" t="str">
        <f t="shared" si="22"/>
        <v/>
      </c>
      <c r="Q188" s="16" t="str">
        <f t="shared" si="23"/>
        <v/>
      </c>
      <c r="R188" s="16">
        <f t="shared" si="19"/>
        <v>0</v>
      </c>
      <c r="S188" s="16" t="str">
        <f>IF(OR($B188="",NOT(ISNUMBER($F188))),"",SUMIFS(community_cores_FS!$P$5:$P$597,community_cores_FS!$B$5:$B$597,$B188,community_cores_FS!$F$5:$F$597,"&lt;="&amp;$F188))</f>
        <v/>
      </c>
      <c r="T188" s="16" t="str">
        <f>IF(AND($A188="",$B188="",$E188=""),"",IF(AND($B188&lt;&gt;"",COUNTIF('2. Core Log'!$A$5:$A$124,$B188)=0),"Core ID not in Core Log. ","")&amp;IF(AND($A188&lt;&gt;"",COUNTIF('1. Plot &amp; Site Log'!$A$5:$A$64,$A188)=0),"Plot ID not in Plot &amp; Site Log. ","")&amp;IF(AND(ISNUMBER($E188),ISNUMBER($F188),$F188&lt;=$E188),"Bottom depth is not below top depth. ","")&amp;IF($I188="","Say which bulk-density basis the lab reported. ","")&amp;IF(AND(ISNUMBER($J188),OR($J188&lt;QC_BD_MIN,$J188&gt;QC_BD_MAX)),"Bulk density outside "&amp;QC_BD_MIN&amp;"–"&amp;QC_BD_MAX&amp;" g/cm³ for peat. Above the top of that range usually means the mineral contact has been passed. ","")&amp;IF(AND(ISNUMBER($N188),$N188&gt;QC_CARBON_PCT_MAX),"Carbon above "&amp;QC_CARBON_PCT_MAX&amp;"% — check units; this may be organic matter rather than carbon. ","")&amp;IF(AND($L188&lt;&gt;"",$M188&lt;&gt;""),"Both LOI and measured carbon given — the measured value is used. ","")&amp;IF(AND($M188="",$L188&lt;&gt;"",OM_FACTOR_IS_LOCAL&lt;&gt;"Yes"),"Carbon derived from LOI using the default factor of "&amp;CARBON_FRACTION_OM&amp;", which has not been calibrated locally. See R1. Reference. ","")&amp;IF(AND(ISNUMBER($O188),$O188=0,ISNUMBER($E188)),"Section lies entirely below the reference depth — it counts to the full-profile stock only. ",""))</f>
        <v/>
      </c>
      <c r="U188" s="14"/>
    </row>
    <row r="189" spans="1:21" ht="15.75" customHeight="1">
      <c r="A189" s="14"/>
      <c r="B189" s="14"/>
      <c r="C189" s="14"/>
      <c r="D189" s="14"/>
      <c r="E189" s="14"/>
      <c r="F189" s="14"/>
      <c r="G189" s="14" t="str">
        <f t="shared" si="20"/>
        <v/>
      </c>
      <c r="H189" s="14"/>
      <c r="I189" s="14"/>
      <c r="J189" s="24"/>
      <c r="K189" s="24"/>
      <c r="L189" s="24"/>
      <c r="M189" s="24"/>
      <c r="N189" s="16" t="str">
        <f t="shared" si="18"/>
        <v/>
      </c>
      <c r="O189" s="16" t="str">
        <f t="shared" si="21"/>
        <v/>
      </c>
      <c r="P189" s="16" t="str">
        <f t="shared" si="22"/>
        <v/>
      </c>
      <c r="Q189" s="16" t="str">
        <f t="shared" si="23"/>
        <v/>
      </c>
      <c r="R189" s="16">
        <f t="shared" si="19"/>
        <v>0</v>
      </c>
      <c r="S189" s="16" t="str">
        <f>IF(OR($B189="",NOT(ISNUMBER($F189))),"",SUMIFS(community_cores_FS!$P$5:$P$597,community_cores_FS!$B$5:$B$597,$B189,community_cores_FS!$F$5:$F$597,"&lt;="&amp;$F189))</f>
        <v/>
      </c>
      <c r="T189" s="16" t="str">
        <f>IF(AND($A189="",$B189="",$E189=""),"",IF(AND($B189&lt;&gt;"",COUNTIF('2. Core Log'!$A$5:$A$124,$B189)=0),"Core ID not in Core Log. ","")&amp;IF(AND($A189&lt;&gt;"",COUNTIF('1. Plot &amp; Site Log'!$A$5:$A$64,$A189)=0),"Plot ID not in Plot &amp; Site Log. ","")&amp;IF(AND(ISNUMBER($E189),ISNUMBER($F189),$F189&lt;=$E189),"Bottom depth is not below top depth. ","")&amp;IF($I189="","Say which bulk-density basis the lab reported. ","")&amp;IF(AND(ISNUMBER($J189),OR($J189&lt;QC_BD_MIN,$J189&gt;QC_BD_MAX)),"Bulk density outside "&amp;QC_BD_MIN&amp;"–"&amp;QC_BD_MAX&amp;" g/cm³ for peat. Above the top of that range usually means the mineral contact has been passed. ","")&amp;IF(AND(ISNUMBER($N189),$N189&gt;QC_CARBON_PCT_MAX),"Carbon above "&amp;QC_CARBON_PCT_MAX&amp;"% — check units; this may be organic matter rather than carbon. ","")&amp;IF(AND($L189&lt;&gt;"",$M189&lt;&gt;""),"Both LOI and measured carbon given — the measured value is used. ","")&amp;IF(AND($M189="",$L189&lt;&gt;"",OM_FACTOR_IS_LOCAL&lt;&gt;"Yes"),"Carbon derived from LOI using the default factor of "&amp;CARBON_FRACTION_OM&amp;", which has not been calibrated locally. See R1. Reference. ","")&amp;IF(AND(ISNUMBER($O189),$O189=0,ISNUMBER($E189)),"Section lies entirely below the reference depth — it counts to the full-profile stock only. ",""))</f>
        <v/>
      </c>
      <c r="U189" s="14"/>
    </row>
    <row r="190" spans="1:21" ht="15.75" customHeight="1">
      <c r="A190" s="14"/>
      <c r="B190" s="14"/>
      <c r="C190" s="14"/>
      <c r="D190" s="14"/>
      <c r="E190" s="14"/>
      <c r="F190" s="14"/>
      <c r="G190" s="14" t="str">
        <f t="shared" si="20"/>
        <v/>
      </c>
      <c r="H190" s="14"/>
      <c r="I190" s="14"/>
      <c r="J190" s="24"/>
      <c r="K190" s="24"/>
      <c r="L190" s="24"/>
      <c r="M190" s="24"/>
      <c r="N190" s="16" t="str">
        <f t="shared" ref="N190:N253" si="24">IF($M190&lt;&gt;"",$M190,IF($L190&lt;&gt;"",$L190*CARBON_FRACTION_OM,""))</f>
        <v/>
      </c>
      <c r="O190" s="16" t="str">
        <f t="shared" si="21"/>
        <v/>
      </c>
      <c r="P190" s="16" t="str">
        <f t="shared" si="22"/>
        <v/>
      </c>
      <c r="Q190" s="16" t="str">
        <f t="shared" si="23"/>
        <v/>
      </c>
      <c r="R190" s="16">
        <f t="shared" ref="R190:R253" si="25">IF(OR(NOT(ISNUMBER($P190)),NOT(ISNUMBER($G190)),$G190=0),0,$P190/$G190)</f>
        <v>0</v>
      </c>
      <c r="S190" s="16" t="str">
        <f>IF(OR($B190="",NOT(ISNUMBER($F190))),"",SUMIFS(community_cores_FS!$P$5:$P$597,community_cores_FS!$B$5:$B$597,$B190,community_cores_FS!$F$5:$F$597,"&lt;="&amp;$F190))</f>
        <v/>
      </c>
      <c r="T190" s="16" t="str">
        <f>IF(AND($A190="",$B190="",$E190=""),"",IF(AND($B190&lt;&gt;"",COUNTIF('2. Core Log'!$A$5:$A$124,$B190)=0),"Core ID not in Core Log. ","")&amp;IF(AND($A190&lt;&gt;"",COUNTIF('1. Plot &amp; Site Log'!$A$5:$A$64,$A190)=0),"Plot ID not in Plot &amp; Site Log. ","")&amp;IF(AND(ISNUMBER($E190),ISNUMBER($F190),$F190&lt;=$E190),"Bottom depth is not below top depth. ","")&amp;IF($I190="","Say which bulk-density basis the lab reported. ","")&amp;IF(AND(ISNUMBER($J190),OR($J190&lt;QC_BD_MIN,$J190&gt;QC_BD_MAX)),"Bulk density outside "&amp;QC_BD_MIN&amp;"–"&amp;QC_BD_MAX&amp;" g/cm³ for peat. Above the top of that range usually means the mineral contact has been passed. ","")&amp;IF(AND(ISNUMBER($N190),$N190&gt;QC_CARBON_PCT_MAX),"Carbon above "&amp;QC_CARBON_PCT_MAX&amp;"% — check units; this may be organic matter rather than carbon. ","")&amp;IF(AND($L190&lt;&gt;"",$M190&lt;&gt;""),"Both LOI and measured carbon given — the measured value is used. ","")&amp;IF(AND($M190="",$L190&lt;&gt;"",OM_FACTOR_IS_LOCAL&lt;&gt;"Yes"),"Carbon derived from LOI using the default factor of "&amp;CARBON_FRACTION_OM&amp;", which has not been calibrated locally. See R1. Reference. ","")&amp;IF(AND(ISNUMBER($O190),$O190=0,ISNUMBER($E190)),"Section lies entirely below the reference depth — it counts to the full-profile stock only. ",""))</f>
        <v/>
      </c>
      <c r="U190" s="14"/>
    </row>
    <row r="191" spans="1:21" ht="15.75" customHeight="1">
      <c r="A191" s="14"/>
      <c r="B191" s="14"/>
      <c r="C191" s="14"/>
      <c r="D191" s="14"/>
      <c r="E191" s="14"/>
      <c r="F191" s="14"/>
      <c r="G191" s="14" t="str">
        <f t="shared" si="20"/>
        <v/>
      </c>
      <c r="H191" s="14"/>
      <c r="I191" s="14"/>
      <c r="J191" s="24"/>
      <c r="K191" s="24"/>
      <c r="L191" s="24"/>
      <c r="M191" s="24"/>
      <c r="N191" s="16" t="str">
        <f t="shared" si="24"/>
        <v/>
      </c>
      <c r="O191" s="16" t="str">
        <f t="shared" si="21"/>
        <v/>
      </c>
      <c r="P191" s="16" t="str">
        <f t="shared" si="22"/>
        <v/>
      </c>
      <c r="Q191" s="16" t="str">
        <f t="shared" si="23"/>
        <v/>
      </c>
      <c r="R191" s="16">
        <f t="shared" si="25"/>
        <v>0</v>
      </c>
      <c r="S191" s="16" t="str">
        <f>IF(OR($B191="",NOT(ISNUMBER($F191))),"",SUMIFS(community_cores_FS!$P$5:$P$597,community_cores_FS!$B$5:$B$597,$B191,community_cores_FS!$F$5:$F$597,"&lt;="&amp;$F191))</f>
        <v/>
      </c>
      <c r="T191" s="16" t="str">
        <f>IF(AND($A191="",$B191="",$E191=""),"",IF(AND($B191&lt;&gt;"",COUNTIF('2. Core Log'!$A$5:$A$124,$B191)=0),"Core ID not in Core Log. ","")&amp;IF(AND($A191&lt;&gt;"",COUNTIF('1. Plot &amp; Site Log'!$A$5:$A$64,$A191)=0),"Plot ID not in Plot &amp; Site Log. ","")&amp;IF(AND(ISNUMBER($E191),ISNUMBER($F191),$F191&lt;=$E191),"Bottom depth is not below top depth. ","")&amp;IF($I191="","Say which bulk-density basis the lab reported. ","")&amp;IF(AND(ISNUMBER($J191),OR($J191&lt;QC_BD_MIN,$J191&gt;QC_BD_MAX)),"Bulk density outside "&amp;QC_BD_MIN&amp;"–"&amp;QC_BD_MAX&amp;" g/cm³ for peat. Above the top of that range usually means the mineral contact has been passed. ","")&amp;IF(AND(ISNUMBER($N191),$N191&gt;QC_CARBON_PCT_MAX),"Carbon above "&amp;QC_CARBON_PCT_MAX&amp;"% — check units; this may be organic matter rather than carbon. ","")&amp;IF(AND($L191&lt;&gt;"",$M191&lt;&gt;""),"Both LOI and measured carbon given — the measured value is used. ","")&amp;IF(AND($M191="",$L191&lt;&gt;"",OM_FACTOR_IS_LOCAL&lt;&gt;"Yes"),"Carbon derived from LOI using the default factor of "&amp;CARBON_FRACTION_OM&amp;", which has not been calibrated locally. See R1. Reference. ","")&amp;IF(AND(ISNUMBER($O191),$O191=0,ISNUMBER($E191)),"Section lies entirely below the reference depth — it counts to the full-profile stock only. ",""))</f>
        <v/>
      </c>
      <c r="U191" s="14"/>
    </row>
    <row r="192" spans="1:21" ht="15.75" customHeight="1">
      <c r="A192" s="14"/>
      <c r="B192" s="14"/>
      <c r="C192" s="14"/>
      <c r="D192" s="14"/>
      <c r="E192" s="14"/>
      <c r="F192" s="14"/>
      <c r="G192" s="14" t="str">
        <f t="shared" si="20"/>
        <v/>
      </c>
      <c r="H192" s="14"/>
      <c r="I192" s="14"/>
      <c r="J192" s="24"/>
      <c r="K192" s="24"/>
      <c r="L192" s="24"/>
      <c r="M192" s="24"/>
      <c r="N192" s="16" t="str">
        <f t="shared" si="24"/>
        <v/>
      </c>
      <c r="O192" s="16" t="str">
        <f t="shared" si="21"/>
        <v/>
      </c>
      <c r="P192" s="16" t="str">
        <f t="shared" si="22"/>
        <v/>
      </c>
      <c r="Q192" s="16" t="str">
        <f t="shared" si="23"/>
        <v/>
      </c>
      <c r="R192" s="16">
        <f t="shared" si="25"/>
        <v>0</v>
      </c>
      <c r="S192" s="16" t="str">
        <f>IF(OR($B192="",NOT(ISNUMBER($F192))),"",SUMIFS(community_cores_FS!$P$5:$P$597,community_cores_FS!$B$5:$B$597,$B192,community_cores_FS!$F$5:$F$597,"&lt;="&amp;$F192))</f>
        <v/>
      </c>
      <c r="T192" s="16" t="str">
        <f>IF(AND($A192="",$B192="",$E192=""),"",IF(AND($B192&lt;&gt;"",COUNTIF('2. Core Log'!$A$5:$A$124,$B192)=0),"Core ID not in Core Log. ","")&amp;IF(AND($A192&lt;&gt;"",COUNTIF('1. Plot &amp; Site Log'!$A$5:$A$64,$A192)=0),"Plot ID not in Plot &amp; Site Log. ","")&amp;IF(AND(ISNUMBER($E192),ISNUMBER($F192),$F192&lt;=$E192),"Bottom depth is not below top depth. ","")&amp;IF($I192="","Say which bulk-density basis the lab reported. ","")&amp;IF(AND(ISNUMBER($J192),OR($J192&lt;QC_BD_MIN,$J192&gt;QC_BD_MAX)),"Bulk density outside "&amp;QC_BD_MIN&amp;"–"&amp;QC_BD_MAX&amp;" g/cm³ for peat. Above the top of that range usually means the mineral contact has been passed. ","")&amp;IF(AND(ISNUMBER($N192),$N192&gt;QC_CARBON_PCT_MAX),"Carbon above "&amp;QC_CARBON_PCT_MAX&amp;"% — check units; this may be organic matter rather than carbon. ","")&amp;IF(AND($L192&lt;&gt;"",$M192&lt;&gt;""),"Both LOI and measured carbon given — the measured value is used. ","")&amp;IF(AND($M192="",$L192&lt;&gt;"",OM_FACTOR_IS_LOCAL&lt;&gt;"Yes"),"Carbon derived from LOI using the default factor of "&amp;CARBON_FRACTION_OM&amp;", which has not been calibrated locally. See R1. Reference. ","")&amp;IF(AND(ISNUMBER($O192),$O192=0,ISNUMBER($E192)),"Section lies entirely below the reference depth — it counts to the full-profile stock only. ",""))</f>
        <v/>
      </c>
      <c r="U192" s="14"/>
    </row>
    <row r="193" spans="1:21" ht="15.75" customHeight="1">
      <c r="A193" s="14"/>
      <c r="B193" s="14"/>
      <c r="C193" s="14"/>
      <c r="D193" s="14"/>
      <c r="E193" s="14"/>
      <c r="F193" s="14"/>
      <c r="G193" s="14" t="str">
        <f t="shared" si="20"/>
        <v/>
      </c>
      <c r="H193" s="14"/>
      <c r="I193" s="14"/>
      <c r="J193" s="24"/>
      <c r="K193" s="24"/>
      <c r="L193" s="24"/>
      <c r="M193" s="24"/>
      <c r="N193" s="16" t="str">
        <f t="shared" si="24"/>
        <v/>
      </c>
      <c r="O193" s="16" t="str">
        <f t="shared" si="21"/>
        <v/>
      </c>
      <c r="P193" s="16" t="str">
        <f t="shared" si="22"/>
        <v/>
      </c>
      <c r="Q193" s="16" t="str">
        <f t="shared" si="23"/>
        <v/>
      </c>
      <c r="R193" s="16">
        <f t="shared" si="25"/>
        <v>0</v>
      </c>
      <c r="S193" s="16" t="str">
        <f>IF(OR($B193="",NOT(ISNUMBER($F193))),"",SUMIFS(community_cores_FS!$P$5:$P$597,community_cores_FS!$B$5:$B$597,$B193,community_cores_FS!$F$5:$F$597,"&lt;="&amp;$F193))</f>
        <v/>
      </c>
      <c r="T193" s="16" t="str">
        <f>IF(AND($A193="",$B193="",$E193=""),"",IF(AND($B193&lt;&gt;"",COUNTIF('2. Core Log'!$A$5:$A$124,$B193)=0),"Core ID not in Core Log. ","")&amp;IF(AND($A193&lt;&gt;"",COUNTIF('1. Plot &amp; Site Log'!$A$5:$A$64,$A193)=0),"Plot ID not in Plot &amp; Site Log. ","")&amp;IF(AND(ISNUMBER($E193),ISNUMBER($F193),$F193&lt;=$E193),"Bottom depth is not below top depth. ","")&amp;IF($I193="","Say which bulk-density basis the lab reported. ","")&amp;IF(AND(ISNUMBER($J193),OR($J193&lt;QC_BD_MIN,$J193&gt;QC_BD_MAX)),"Bulk density outside "&amp;QC_BD_MIN&amp;"–"&amp;QC_BD_MAX&amp;" g/cm³ for peat. Above the top of that range usually means the mineral contact has been passed. ","")&amp;IF(AND(ISNUMBER($N193),$N193&gt;QC_CARBON_PCT_MAX),"Carbon above "&amp;QC_CARBON_PCT_MAX&amp;"% — check units; this may be organic matter rather than carbon. ","")&amp;IF(AND($L193&lt;&gt;"",$M193&lt;&gt;""),"Both LOI and measured carbon given — the measured value is used. ","")&amp;IF(AND($M193="",$L193&lt;&gt;"",OM_FACTOR_IS_LOCAL&lt;&gt;"Yes"),"Carbon derived from LOI using the default factor of "&amp;CARBON_FRACTION_OM&amp;", which has not been calibrated locally. See R1. Reference. ","")&amp;IF(AND(ISNUMBER($O193),$O193=0,ISNUMBER($E193)),"Section lies entirely below the reference depth — it counts to the full-profile stock only. ",""))</f>
        <v/>
      </c>
      <c r="U193" s="14"/>
    </row>
    <row r="194" spans="1:21" ht="15.75" customHeight="1">
      <c r="A194" s="14"/>
      <c r="B194" s="14"/>
      <c r="C194" s="14"/>
      <c r="D194" s="14"/>
      <c r="E194" s="14"/>
      <c r="F194" s="14"/>
      <c r="G194" s="14" t="str">
        <f t="shared" si="20"/>
        <v/>
      </c>
      <c r="H194" s="14"/>
      <c r="I194" s="14"/>
      <c r="J194" s="24"/>
      <c r="K194" s="24"/>
      <c r="L194" s="24"/>
      <c r="M194" s="24"/>
      <c r="N194" s="16" t="str">
        <f t="shared" si="24"/>
        <v/>
      </c>
      <c r="O194" s="16" t="str">
        <f t="shared" si="21"/>
        <v/>
      </c>
      <c r="P194" s="16" t="str">
        <f t="shared" si="22"/>
        <v/>
      </c>
      <c r="Q194" s="16" t="str">
        <f t="shared" si="23"/>
        <v/>
      </c>
      <c r="R194" s="16">
        <f t="shared" si="25"/>
        <v>0</v>
      </c>
      <c r="S194" s="16" t="str">
        <f>IF(OR($B194="",NOT(ISNUMBER($F194))),"",SUMIFS(community_cores_FS!$P$5:$P$597,community_cores_FS!$B$5:$B$597,$B194,community_cores_FS!$F$5:$F$597,"&lt;="&amp;$F194))</f>
        <v/>
      </c>
      <c r="T194" s="16" t="str">
        <f>IF(AND($A194="",$B194="",$E194=""),"",IF(AND($B194&lt;&gt;"",COUNTIF('2. Core Log'!$A$5:$A$124,$B194)=0),"Core ID not in Core Log. ","")&amp;IF(AND($A194&lt;&gt;"",COUNTIF('1. Plot &amp; Site Log'!$A$5:$A$64,$A194)=0),"Plot ID not in Plot &amp; Site Log. ","")&amp;IF(AND(ISNUMBER($E194),ISNUMBER($F194),$F194&lt;=$E194),"Bottom depth is not below top depth. ","")&amp;IF($I194="","Say which bulk-density basis the lab reported. ","")&amp;IF(AND(ISNUMBER($J194),OR($J194&lt;QC_BD_MIN,$J194&gt;QC_BD_MAX)),"Bulk density outside "&amp;QC_BD_MIN&amp;"–"&amp;QC_BD_MAX&amp;" g/cm³ for peat. Above the top of that range usually means the mineral contact has been passed. ","")&amp;IF(AND(ISNUMBER($N194),$N194&gt;QC_CARBON_PCT_MAX),"Carbon above "&amp;QC_CARBON_PCT_MAX&amp;"% — check units; this may be organic matter rather than carbon. ","")&amp;IF(AND($L194&lt;&gt;"",$M194&lt;&gt;""),"Both LOI and measured carbon given — the measured value is used. ","")&amp;IF(AND($M194="",$L194&lt;&gt;"",OM_FACTOR_IS_LOCAL&lt;&gt;"Yes"),"Carbon derived from LOI using the default factor of "&amp;CARBON_FRACTION_OM&amp;", which has not been calibrated locally. See R1. Reference. ","")&amp;IF(AND(ISNUMBER($O194),$O194=0,ISNUMBER($E194)),"Section lies entirely below the reference depth — it counts to the full-profile stock only. ",""))</f>
        <v/>
      </c>
      <c r="U194" s="14"/>
    </row>
    <row r="195" spans="1:21" ht="15.75" customHeight="1">
      <c r="A195" s="14"/>
      <c r="B195" s="14"/>
      <c r="C195" s="14"/>
      <c r="D195" s="14"/>
      <c r="E195" s="14"/>
      <c r="F195" s="14"/>
      <c r="G195" s="14" t="str">
        <f t="shared" si="20"/>
        <v/>
      </c>
      <c r="H195" s="14"/>
      <c r="I195" s="14"/>
      <c r="J195" s="24"/>
      <c r="K195" s="24"/>
      <c r="L195" s="24"/>
      <c r="M195" s="24"/>
      <c r="N195" s="16" t="str">
        <f t="shared" si="24"/>
        <v/>
      </c>
      <c r="O195" s="16" t="str">
        <f t="shared" si="21"/>
        <v/>
      </c>
      <c r="P195" s="16" t="str">
        <f t="shared" si="22"/>
        <v/>
      </c>
      <c r="Q195" s="16" t="str">
        <f t="shared" si="23"/>
        <v/>
      </c>
      <c r="R195" s="16">
        <f t="shared" si="25"/>
        <v>0</v>
      </c>
      <c r="S195" s="16" t="str">
        <f>IF(OR($B195="",NOT(ISNUMBER($F195))),"",SUMIFS(community_cores_FS!$P$5:$P$597,community_cores_FS!$B$5:$B$597,$B195,community_cores_FS!$F$5:$F$597,"&lt;="&amp;$F195))</f>
        <v/>
      </c>
      <c r="T195" s="16" t="str">
        <f>IF(AND($A195="",$B195="",$E195=""),"",IF(AND($B195&lt;&gt;"",COUNTIF('2. Core Log'!$A$5:$A$124,$B195)=0),"Core ID not in Core Log. ","")&amp;IF(AND($A195&lt;&gt;"",COUNTIF('1. Plot &amp; Site Log'!$A$5:$A$64,$A195)=0),"Plot ID not in Plot &amp; Site Log. ","")&amp;IF(AND(ISNUMBER($E195),ISNUMBER($F195),$F195&lt;=$E195),"Bottom depth is not below top depth. ","")&amp;IF($I195="","Say which bulk-density basis the lab reported. ","")&amp;IF(AND(ISNUMBER($J195),OR($J195&lt;QC_BD_MIN,$J195&gt;QC_BD_MAX)),"Bulk density outside "&amp;QC_BD_MIN&amp;"–"&amp;QC_BD_MAX&amp;" g/cm³ for peat. Above the top of that range usually means the mineral contact has been passed. ","")&amp;IF(AND(ISNUMBER($N195),$N195&gt;QC_CARBON_PCT_MAX),"Carbon above "&amp;QC_CARBON_PCT_MAX&amp;"% — check units; this may be organic matter rather than carbon. ","")&amp;IF(AND($L195&lt;&gt;"",$M195&lt;&gt;""),"Both LOI and measured carbon given — the measured value is used. ","")&amp;IF(AND($M195="",$L195&lt;&gt;"",OM_FACTOR_IS_LOCAL&lt;&gt;"Yes"),"Carbon derived from LOI using the default factor of "&amp;CARBON_FRACTION_OM&amp;", which has not been calibrated locally. See R1. Reference. ","")&amp;IF(AND(ISNUMBER($O195),$O195=0,ISNUMBER($E195)),"Section lies entirely below the reference depth — it counts to the full-profile stock only. ",""))</f>
        <v/>
      </c>
      <c r="U195" s="14"/>
    </row>
    <row r="196" spans="1:21" ht="15.75" customHeight="1">
      <c r="A196" s="14"/>
      <c r="B196" s="14"/>
      <c r="C196" s="14"/>
      <c r="D196" s="14"/>
      <c r="E196" s="14"/>
      <c r="F196" s="14"/>
      <c r="G196" s="14" t="str">
        <f t="shared" si="20"/>
        <v/>
      </c>
      <c r="H196" s="14"/>
      <c r="I196" s="14"/>
      <c r="J196" s="24"/>
      <c r="K196" s="24"/>
      <c r="L196" s="24"/>
      <c r="M196" s="24"/>
      <c r="N196" s="16" t="str">
        <f t="shared" si="24"/>
        <v/>
      </c>
      <c r="O196" s="16" t="str">
        <f t="shared" si="21"/>
        <v/>
      </c>
      <c r="P196" s="16" t="str">
        <f t="shared" si="22"/>
        <v/>
      </c>
      <c r="Q196" s="16" t="str">
        <f t="shared" si="23"/>
        <v/>
      </c>
      <c r="R196" s="16">
        <f t="shared" si="25"/>
        <v>0</v>
      </c>
      <c r="S196" s="16" t="str">
        <f>IF(OR($B196="",NOT(ISNUMBER($F196))),"",SUMIFS(community_cores_FS!$P$5:$P$597,community_cores_FS!$B$5:$B$597,$B196,community_cores_FS!$F$5:$F$597,"&lt;="&amp;$F196))</f>
        <v/>
      </c>
      <c r="T196" s="16" t="str">
        <f>IF(AND($A196="",$B196="",$E196=""),"",IF(AND($B196&lt;&gt;"",COUNTIF('2. Core Log'!$A$5:$A$124,$B196)=0),"Core ID not in Core Log. ","")&amp;IF(AND($A196&lt;&gt;"",COUNTIF('1. Plot &amp; Site Log'!$A$5:$A$64,$A196)=0),"Plot ID not in Plot &amp; Site Log. ","")&amp;IF(AND(ISNUMBER($E196),ISNUMBER($F196),$F196&lt;=$E196),"Bottom depth is not below top depth. ","")&amp;IF($I196="","Say which bulk-density basis the lab reported. ","")&amp;IF(AND(ISNUMBER($J196),OR($J196&lt;QC_BD_MIN,$J196&gt;QC_BD_MAX)),"Bulk density outside "&amp;QC_BD_MIN&amp;"–"&amp;QC_BD_MAX&amp;" g/cm³ for peat. Above the top of that range usually means the mineral contact has been passed. ","")&amp;IF(AND(ISNUMBER($N196),$N196&gt;QC_CARBON_PCT_MAX),"Carbon above "&amp;QC_CARBON_PCT_MAX&amp;"% — check units; this may be organic matter rather than carbon. ","")&amp;IF(AND($L196&lt;&gt;"",$M196&lt;&gt;""),"Both LOI and measured carbon given — the measured value is used. ","")&amp;IF(AND($M196="",$L196&lt;&gt;"",OM_FACTOR_IS_LOCAL&lt;&gt;"Yes"),"Carbon derived from LOI using the default factor of "&amp;CARBON_FRACTION_OM&amp;", which has not been calibrated locally. See R1. Reference. ","")&amp;IF(AND(ISNUMBER($O196),$O196=0,ISNUMBER($E196)),"Section lies entirely below the reference depth — it counts to the full-profile stock only. ",""))</f>
        <v/>
      </c>
      <c r="U196" s="14"/>
    </row>
    <row r="197" spans="1:21" ht="15.75" customHeight="1">
      <c r="A197" s="14"/>
      <c r="B197" s="14"/>
      <c r="C197" s="14"/>
      <c r="D197" s="14"/>
      <c r="E197" s="14"/>
      <c r="F197" s="14"/>
      <c r="G197" s="14" t="str">
        <f t="shared" si="20"/>
        <v/>
      </c>
      <c r="H197" s="14"/>
      <c r="I197" s="14"/>
      <c r="J197" s="24"/>
      <c r="K197" s="24"/>
      <c r="L197" s="24"/>
      <c r="M197" s="24"/>
      <c r="N197" s="16" t="str">
        <f t="shared" si="24"/>
        <v/>
      </c>
      <c r="O197" s="16" t="str">
        <f t="shared" si="21"/>
        <v/>
      </c>
      <c r="P197" s="16" t="str">
        <f t="shared" si="22"/>
        <v/>
      </c>
      <c r="Q197" s="16" t="str">
        <f t="shared" si="23"/>
        <v/>
      </c>
      <c r="R197" s="16">
        <f t="shared" si="25"/>
        <v>0</v>
      </c>
      <c r="S197" s="16" t="str">
        <f>IF(OR($B197="",NOT(ISNUMBER($F197))),"",SUMIFS(community_cores_FS!$P$5:$P$597,community_cores_FS!$B$5:$B$597,$B197,community_cores_FS!$F$5:$F$597,"&lt;="&amp;$F197))</f>
        <v/>
      </c>
      <c r="T197" s="16" t="str">
        <f>IF(AND($A197="",$B197="",$E197=""),"",IF(AND($B197&lt;&gt;"",COUNTIF('2. Core Log'!$A$5:$A$124,$B197)=0),"Core ID not in Core Log. ","")&amp;IF(AND($A197&lt;&gt;"",COUNTIF('1. Plot &amp; Site Log'!$A$5:$A$64,$A197)=0),"Plot ID not in Plot &amp; Site Log. ","")&amp;IF(AND(ISNUMBER($E197),ISNUMBER($F197),$F197&lt;=$E197),"Bottom depth is not below top depth. ","")&amp;IF($I197="","Say which bulk-density basis the lab reported. ","")&amp;IF(AND(ISNUMBER($J197),OR($J197&lt;QC_BD_MIN,$J197&gt;QC_BD_MAX)),"Bulk density outside "&amp;QC_BD_MIN&amp;"–"&amp;QC_BD_MAX&amp;" g/cm³ for peat. Above the top of that range usually means the mineral contact has been passed. ","")&amp;IF(AND(ISNUMBER($N197),$N197&gt;QC_CARBON_PCT_MAX),"Carbon above "&amp;QC_CARBON_PCT_MAX&amp;"% — check units; this may be organic matter rather than carbon. ","")&amp;IF(AND($L197&lt;&gt;"",$M197&lt;&gt;""),"Both LOI and measured carbon given — the measured value is used. ","")&amp;IF(AND($M197="",$L197&lt;&gt;"",OM_FACTOR_IS_LOCAL&lt;&gt;"Yes"),"Carbon derived from LOI using the default factor of "&amp;CARBON_FRACTION_OM&amp;", which has not been calibrated locally. See R1. Reference. ","")&amp;IF(AND(ISNUMBER($O197),$O197=0,ISNUMBER($E197)),"Section lies entirely below the reference depth — it counts to the full-profile stock only. ",""))</f>
        <v/>
      </c>
      <c r="U197" s="14"/>
    </row>
    <row r="198" spans="1:21" ht="15.75" customHeight="1">
      <c r="A198" s="14"/>
      <c r="B198" s="14"/>
      <c r="C198" s="14"/>
      <c r="D198" s="14"/>
      <c r="E198" s="14"/>
      <c r="F198" s="14"/>
      <c r="G198" s="14" t="str">
        <f t="shared" si="20"/>
        <v/>
      </c>
      <c r="H198" s="14"/>
      <c r="I198" s="14"/>
      <c r="J198" s="24"/>
      <c r="K198" s="24"/>
      <c r="L198" s="24"/>
      <c r="M198" s="24"/>
      <c r="N198" s="16" t="str">
        <f t="shared" si="24"/>
        <v/>
      </c>
      <c r="O198" s="16" t="str">
        <f t="shared" si="21"/>
        <v/>
      </c>
      <c r="P198" s="16" t="str">
        <f t="shared" si="22"/>
        <v/>
      </c>
      <c r="Q198" s="16" t="str">
        <f t="shared" si="23"/>
        <v/>
      </c>
      <c r="R198" s="16">
        <f t="shared" si="25"/>
        <v>0</v>
      </c>
      <c r="S198" s="16" t="str">
        <f>IF(OR($B198="",NOT(ISNUMBER($F198))),"",SUMIFS(community_cores_FS!$P$5:$P$597,community_cores_FS!$B$5:$B$597,$B198,community_cores_FS!$F$5:$F$597,"&lt;="&amp;$F198))</f>
        <v/>
      </c>
      <c r="T198" s="16" t="str">
        <f>IF(AND($A198="",$B198="",$E198=""),"",IF(AND($B198&lt;&gt;"",COUNTIF('2. Core Log'!$A$5:$A$124,$B198)=0),"Core ID not in Core Log. ","")&amp;IF(AND($A198&lt;&gt;"",COUNTIF('1. Plot &amp; Site Log'!$A$5:$A$64,$A198)=0),"Plot ID not in Plot &amp; Site Log. ","")&amp;IF(AND(ISNUMBER($E198),ISNUMBER($F198),$F198&lt;=$E198),"Bottom depth is not below top depth. ","")&amp;IF($I198="","Say which bulk-density basis the lab reported. ","")&amp;IF(AND(ISNUMBER($J198),OR($J198&lt;QC_BD_MIN,$J198&gt;QC_BD_MAX)),"Bulk density outside "&amp;QC_BD_MIN&amp;"–"&amp;QC_BD_MAX&amp;" g/cm³ for peat. Above the top of that range usually means the mineral contact has been passed. ","")&amp;IF(AND(ISNUMBER($N198),$N198&gt;QC_CARBON_PCT_MAX),"Carbon above "&amp;QC_CARBON_PCT_MAX&amp;"% — check units; this may be organic matter rather than carbon. ","")&amp;IF(AND($L198&lt;&gt;"",$M198&lt;&gt;""),"Both LOI and measured carbon given — the measured value is used. ","")&amp;IF(AND($M198="",$L198&lt;&gt;"",OM_FACTOR_IS_LOCAL&lt;&gt;"Yes"),"Carbon derived from LOI using the default factor of "&amp;CARBON_FRACTION_OM&amp;", which has not been calibrated locally. See R1. Reference. ","")&amp;IF(AND(ISNUMBER($O198),$O198=0,ISNUMBER($E198)),"Section lies entirely below the reference depth — it counts to the full-profile stock only. ",""))</f>
        <v/>
      </c>
      <c r="U198" s="14"/>
    </row>
    <row r="199" spans="1:21" ht="15.75" customHeight="1">
      <c r="A199" s="14"/>
      <c r="B199" s="14"/>
      <c r="C199" s="14"/>
      <c r="D199" s="14"/>
      <c r="E199" s="14"/>
      <c r="F199" s="14"/>
      <c r="G199" s="14" t="str">
        <f t="shared" si="20"/>
        <v/>
      </c>
      <c r="H199" s="14"/>
      <c r="I199" s="14"/>
      <c r="J199" s="24"/>
      <c r="K199" s="24"/>
      <c r="L199" s="24"/>
      <c r="M199" s="24"/>
      <c r="N199" s="16" t="str">
        <f t="shared" si="24"/>
        <v/>
      </c>
      <c r="O199" s="16" t="str">
        <f t="shared" si="21"/>
        <v/>
      </c>
      <c r="P199" s="16" t="str">
        <f t="shared" si="22"/>
        <v/>
      </c>
      <c r="Q199" s="16" t="str">
        <f t="shared" si="23"/>
        <v/>
      </c>
      <c r="R199" s="16">
        <f t="shared" si="25"/>
        <v>0</v>
      </c>
      <c r="S199" s="16" t="str">
        <f>IF(OR($B199="",NOT(ISNUMBER($F199))),"",SUMIFS(community_cores_FS!$P$5:$P$597,community_cores_FS!$B$5:$B$597,$B199,community_cores_FS!$F$5:$F$597,"&lt;="&amp;$F199))</f>
        <v/>
      </c>
      <c r="T199" s="16" t="str">
        <f>IF(AND($A199="",$B199="",$E199=""),"",IF(AND($B199&lt;&gt;"",COUNTIF('2. Core Log'!$A$5:$A$124,$B199)=0),"Core ID not in Core Log. ","")&amp;IF(AND($A199&lt;&gt;"",COUNTIF('1. Plot &amp; Site Log'!$A$5:$A$64,$A199)=0),"Plot ID not in Plot &amp; Site Log. ","")&amp;IF(AND(ISNUMBER($E199),ISNUMBER($F199),$F199&lt;=$E199),"Bottom depth is not below top depth. ","")&amp;IF($I199="","Say which bulk-density basis the lab reported. ","")&amp;IF(AND(ISNUMBER($J199),OR($J199&lt;QC_BD_MIN,$J199&gt;QC_BD_MAX)),"Bulk density outside "&amp;QC_BD_MIN&amp;"–"&amp;QC_BD_MAX&amp;" g/cm³ for peat. Above the top of that range usually means the mineral contact has been passed. ","")&amp;IF(AND(ISNUMBER($N199),$N199&gt;QC_CARBON_PCT_MAX),"Carbon above "&amp;QC_CARBON_PCT_MAX&amp;"% — check units; this may be organic matter rather than carbon. ","")&amp;IF(AND($L199&lt;&gt;"",$M199&lt;&gt;""),"Both LOI and measured carbon given — the measured value is used. ","")&amp;IF(AND($M199="",$L199&lt;&gt;"",OM_FACTOR_IS_LOCAL&lt;&gt;"Yes"),"Carbon derived from LOI using the default factor of "&amp;CARBON_FRACTION_OM&amp;", which has not been calibrated locally. See R1. Reference. ","")&amp;IF(AND(ISNUMBER($O199),$O199=0,ISNUMBER($E199)),"Section lies entirely below the reference depth — it counts to the full-profile stock only. ",""))</f>
        <v/>
      </c>
      <c r="U199" s="14"/>
    </row>
    <row r="200" spans="1:21" ht="15.75" customHeight="1">
      <c r="A200" s="14"/>
      <c r="B200" s="14"/>
      <c r="C200" s="14"/>
      <c r="D200" s="14"/>
      <c r="E200" s="14"/>
      <c r="F200" s="14"/>
      <c r="G200" s="14" t="str">
        <f t="shared" si="20"/>
        <v/>
      </c>
      <c r="H200" s="14"/>
      <c r="I200" s="14"/>
      <c r="J200" s="24"/>
      <c r="K200" s="24"/>
      <c r="L200" s="24"/>
      <c r="M200" s="24"/>
      <c r="N200" s="16" t="str">
        <f t="shared" si="24"/>
        <v/>
      </c>
      <c r="O200" s="16" t="str">
        <f t="shared" si="21"/>
        <v/>
      </c>
      <c r="P200" s="16" t="str">
        <f t="shared" si="22"/>
        <v/>
      </c>
      <c r="Q200" s="16" t="str">
        <f t="shared" si="23"/>
        <v/>
      </c>
      <c r="R200" s="16">
        <f t="shared" si="25"/>
        <v>0</v>
      </c>
      <c r="S200" s="16" t="str">
        <f>IF(OR($B200="",NOT(ISNUMBER($F200))),"",SUMIFS(community_cores_FS!$P$5:$P$597,community_cores_FS!$B$5:$B$597,$B200,community_cores_FS!$F$5:$F$597,"&lt;="&amp;$F200))</f>
        <v/>
      </c>
      <c r="T200" s="16" t="str">
        <f>IF(AND($A200="",$B200="",$E200=""),"",IF(AND($B200&lt;&gt;"",COUNTIF('2. Core Log'!$A$5:$A$124,$B200)=0),"Core ID not in Core Log. ","")&amp;IF(AND($A200&lt;&gt;"",COUNTIF('1. Plot &amp; Site Log'!$A$5:$A$64,$A200)=0),"Plot ID not in Plot &amp; Site Log. ","")&amp;IF(AND(ISNUMBER($E200),ISNUMBER($F200),$F200&lt;=$E200),"Bottom depth is not below top depth. ","")&amp;IF($I200="","Say which bulk-density basis the lab reported. ","")&amp;IF(AND(ISNUMBER($J200),OR($J200&lt;QC_BD_MIN,$J200&gt;QC_BD_MAX)),"Bulk density outside "&amp;QC_BD_MIN&amp;"–"&amp;QC_BD_MAX&amp;" g/cm³ for peat. Above the top of that range usually means the mineral contact has been passed. ","")&amp;IF(AND(ISNUMBER($N200),$N200&gt;QC_CARBON_PCT_MAX),"Carbon above "&amp;QC_CARBON_PCT_MAX&amp;"% — check units; this may be organic matter rather than carbon. ","")&amp;IF(AND($L200&lt;&gt;"",$M200&lt;&gt;""),"Both LOI and measured carbon given — the measured value is used. ","")&amp;IF(AND($M200="",$L200&lt;&gt;"",OM_FACTOR_IS_LOCAL&lt;&gt;"Yes"),"Carbon derived from LOI using the default factor of "&amp;CARBON_FRACTION_OM&amp;", which has not been calibrated locally. See R1. Reference. ","")&amp;IF(AND(ISNUMBER($O200),$O200=0,ISNUMBER($E200)),"Section lies entirely below the reference depth — it counts to the full-profile stock only. ",""))</f>
        <v/>
      </c>
      <c r="U200" s="14"/>
    </row>
    <row r="201" spans="1:21" ht="15.75" customHeight="1">
      <c r="A201" s="14"/>
      <c r="B201" s="14"/>
      <c r="C201" s="14"/>
      <c r="D201" s="14"/>
      <c r="E201" s="14"/>
      <c r="F201" s="14"/>
      <c r="G201" s="14" t="str">
        <f t="shared" si="20"/>
        <v/>
      </c>
      <c r="H201" s="14"/>
      <c r="I201" s="14"/>
      <c r="J201" s="24"/>
      <c r="K201" s="24"/>
      <c r="L201" s="24"/>
      <c r="M201" s="24"/>
      <c r="N201" s="16" t="str">
        <f t="shared" si="24"/>
        <v/>
      </c>
      <c r="O201" s="16" t="str">
        <f t="shared" si="21"/>
        <v/>
      </c>
      <c r="P201" s="16" t="str">
        <f t="shared" si="22"/>
        <v/>
      </c>
      <c r="Q201" s="16" t="str">
        <f t="shared" si="23"/>
        <v/>
      </c>
      <c r="R201" s="16">
        <f t="shared" si="25"/>
        <v>0</v>
      </c>
      <c r="S201" s="16" t="str">
        <f>IF(OR($B201="",NOT(ISNUMBER($F201))),"",SUMIFS(community_cores_FS!$P$5:$P$597,community_cores_FS!$B$5:$B$597,$B201,community_cores_FS!$F$5:$F$597,"&lt;="&amp;$F201))</f>
        <v/>
      </c>
      <c r="T201" s="16" t="str">
        <f>IF(AND($A201="",$B201="",$E201=""),"",IF(AND($B201&lt;&gt;"",COUNTIF('2. Core Log'!$A$5:$A$124,$B201)=0),"Core ID not in Core Log. ","")&amp;IF(AND($A201&lt;&gt;"",COUNTIF('1. Plot &amp; Site Log'!$A$5:$A$64,$A201)=0),"Plot ID not in Plot &amp; Site Log. ","")&amp;IF(AND(ISNUMBER($E201),ISNUMBER($F201),$F201&lt;=$E201),"Bottom depth is not below top depth. ","")&amp;IF($I201="","Say which bulk-density basis the lab reported. ","")&amp;IF(AND(ISNUMBER($J201),OR($J201&lt;QC_BD_MIN,$J201&gt;QC_BD_MAX)),"Bulk density outside "&amp;QC_BD_MIN&amp;"–"&amp;QC_BD_MAX&amp;" g/cm³ for peat. Above the top of that range usually means the mineral contact has been passed. ","")&amp;IF(AND(ISNUMBER($N201),$N201&gt;QC_CARBON_PCT_MAX),"Carbon above "&amp;QC_CARBON_PCT_MAX&amp;"% — check units; this may be organic matter rather than carbon. ","")&amp;IF(AND($L201&lt;&gt;"",$M201&lt;&gt;""),"Both LOI and measured carbon given — the measured value is used. ","")&amp;IF(AND($M201="",$L201&lt;&gt;"",OM_FACTOR_IS_LOCAL&lt;&gt;"Yes"),"Carbon derived from LOI using the default factor of "&amp;CARBON_FRACTION_OM&amp;", which has not been calibrated locally. See R1. Reference. ","")&amp;IF(AND(ISNUMBER($O201),$O201=0,ISNUMBER($E201)),"Section lies entirely below the reference depth — it counts to the full-profile stock only. ",""))</f>
        <v/>
      </c>
      <c r="U201" s="14"/>
    </row>
    <row r="202" spans="1:21" ht="15.75" customHeight="1">
      <c r="A202" s="14"/>
      <c r="B202" s="14"/>
      <c r="C202" s="14"/>
      <c r="D202" s="14"/>
      <c r="E202" s="14"/>
      <c r="F202" s="14"/>
      <c r="G202" s="14" t="str">
        <f t="shared" si="20"/>
        <v/>
      </c>
      <c r="H202" s="14"/>
      <c r="I202" s="14"/>
      <c r="J202" s="24"/>
      <c r="K202" s="24"/>
      <c r="L202" s="24"/>
      <c r="M202" s="24"/>
      <c r="N202" s="16" t="str">
        <f t="shared" si="24"/>
        <v/>
      </c>
      <c r="O202" s="16" t="str">
        <f t="shared" si="21"/>
        <v/>
      </c>
      <c r="P202" s="16" t="str">
        <f t="shared" si="22"/>
        <v/>
      </c>
      <c r="Q202" s="16" t="str">
        <f t="shared" si="23"/>
        <v/>
      </c>
      <c r="R202" s="16">
        <f t="shared" si="25"/>
        <v>0</v>
      </c>
      <c r="S202" s="16" t="str">
        <f>IF(OR($B202="",NOT(ISNUMBER($F202))),"",SUMIFS(community_cores_FS!$P$5:$P$597,community_cores_FS!$B$5:$B$597,$B202,community_cores_FS!$F$5:$F$597,"&lt;="&amp;$F202))</f>
        <v/>
      </c>
      <c r="T202" s="16" t="str">
        <f>IF(AND($A202="",$B202="",$E202=""),"",IF(AND($B202&lt;&gt;"",COUNTIF('2. Core Log'!$A$5:$A$124,$B202)=0),"Core ID not in Core Log. ","")&amp;IF(AND($A202&lt;&gt;"",COUNTIF('1. Plot &amp; Site Log'!$A$5:$A$64,$A202)=0),"Plot ID not in Plot &amp; Site Log. ","")&amp;IF(AND(ISNUMBER($E202),ISNUMBER($F202),$F202&lt;=$E202),"Bottom depth is not below top depth. ","")&amp;IF($I202="","Say which bulk-density basis the lab reported. ","")&amp;IF(AND(ISNUMBER($J202),OR($J202&lt;QC_BD_MIN,$J202&gt;QC_BD_MAX)),"Bulk density outside "&amp;QC_BD_MIN&amp;"–"&amp;QC_BD_MAX&amp;" g/cm³ for peat. Above the top of that range usually means the mineral contact has been passed. ","")&amp;IF(AND(ISNUMBER($N202),$N202&gt;QC_CARBON_PCT_MAX),"Carbon above "&amp;QC_CARBON_PCT_MAX&amp;"% — check units; this may be organic matter rather than carbon. ","")&amp;IF(AND($L202&lt;&gt;"",$M202&lt;&gt;""),"Both LOI and measured carbon given — the measured value is used. ","")&amp;IF(AND($M202="",$L202&lt;&gt;"",OM_FACTOR_IS_LOCAL&lt;&gt;"Yes"),"Carbon derived from LOI using the default factor of "&amp;CARBON_FRACTION_OM&amp;", which has not been calibrated locally. See R1. Reference. ","")&amp;IF(AND(ISNUMBER($O202),$O202=0,ISNUMBER($E202)),"Section lies entirely below the reference depth — it counts to the full-profile stock only. ",""))</f>
        <v/>
      </c>
      <c r="U202" s="14"/>
    </row>
    <row r="203" spans="1:21" ht="15.75" customHeight="1">
      <c r="A203" s="14"/>
      <c r="B203" s="14"/>
      <c r="C203" s="14"/>
      <c r="D203" s="14"/>
      <c r="E203" s="14"/>
      <c r="F203" s="14"/>
      <c r="G203" s="14" t="str">
        <f t="shared" si="20"/>
        <v/>
      </c>
      <c r="H203" s="14"/>
      <c r="I203" s="14"/>
      <c r="J203" s="24"/>
      <c r="K203" s="24"/>
      <c r="L203" s="24"/>
      <c r="M203" s="24"/>
      <c r="N203" s="16" t="str">
        <f t="shared" si="24"/>
        <v/>
      </c>
      <c r="O203" s="16" t="str">
        <f t="shared" si="21"/>
        <v/>
      </c>
      <c r="P203" s="16" t="str">
        <f t="shared" si="22"/>
        <v/>
      </c>
      <c r="Q203" s="16" t="str">
        <f t="shared" si="23"/>
        <v/>
      </c>
      <c r="R203" s="16">
        <f t="shared" si="25"/>
        <v>0</v>
      </c>
      <c r="S203" s="16" t="str">
        <f>IF(OR($B203="",NOT(ISNUMBER($F203))),"",SUMIFS(community_cores_FS!$P$5:$P$597,community_cores_FS!$B$5:$B$597,$B203,community_cores_FS!$F$5:$F$597,"&lt;="&amp;$F203))</f>
        <v/>
      </c>
      <c r="T203" s="16" t="str">
        <f>IF(AND($A203="",$B203="",$E203=""),"",IF(AND($B203&lt;&gt;"",COUNTIF('2. Core Log'!$A$5:$A$124,$B203)=0),"Core ID not in Core Log. ","")&amp;IF(AND($A203&lt;&gt;"",COUNTIF('1. Plot &amp; Site Log'!$A$5:$A$64,$A203)=0),"Plot ID not in Plot &amp; Site Log. ","")&amp;IF(AND(ISNUMBER($E203),ISNUMBER($F203),$F203&lt;=$E203),"Bottom depth is not below top depth. ","")&amp;IF($I203="","Say which bulk-density basis the lab reported. ","")&amp;IF(AND(ISNUMBER($J203),OR($J203&lt;QC_BD_MIN,$J203&gt;QC_BD_MAX)),"Bulk density outside "&amp;QC_BD_MIN&amp;"–"&amp;QC_BD_MAX&amp;" g/cm³ for peat. Above the top of that range usually means the mineral contact has been passed. ","")&amp;IF(AND(ISNUMBER($N203),$N203&gt;QC_CARBON_PCT_MAX),"Carbon above "&amp;QC_CARBON_PCT_MAX&amp;"% — check units; this may be organic matter rather than carbon. ","")&amp;IF(AND($L203&lt;&gt;"",$M203&lt;&gt;""),"Both LOI and measured carbon given — the measured value is used. ","")&amp;IF(AND($M203="",$L203&lt;&gt;"",OM_FACTOR_IS_LOCAL&lt;&gt;"Yes"),"Carbon derived from LOI using the default factor of "&amp;CARBON_FRACTION_OM&amp;", which has not been calibrated locally. See R1. Reference. ","")&amp;IF(AND(ISNUMBER($O203),$O203=0,ISNUMBER($E203)),"Section lies entirely below the reference depth — it counts to the full-profile stock only. ",""))</f>
        <v/>
      </c>
      <c r="U203" s="14"/>
    </row>
    <row r="204" spans="1:21" ht="15.75" customHeight="1">
      <c r="A204" s="14"/>
      <c r="B204" s="14"/>
      <c r="C204" s="14"/>
      <c r="D204" s="14"/>
      <c r="E204" s="14"/>
      <c r="F204" s="14"/>
      <c r="G204" s="14" t="str">
        <f t="shared" si="20"/>
        <v/>
      </c>
      <c r="H204" s="14"/>
      <c r="I204" s="14"/>
      <c r="J204" s="24"/>
      <c r="K204" s="24"/>
      <c r="L204" s="24"/>
      <c r="M204" s="24"/>
      <c r="N204" s="16" t="str">
        <f t="shared" si="24"/>
        <v/>
      </c>
      <c r="O204" s="16" t="str">
        <f t="shared" si="21"/>
        <v/>
      </c>
      <c r="P204" s="16" t="str">
        <f t="shared" si="22"/>
        <v/>
      </c>
      <c r="Q204" s="16" t="str">
        <f t="shared" si="23"/>
        <v/>
      </c>
      <c r="R204" s="16">
        <f t="shared" si="25"/>
        <v>0</v>
      </c>
      <c r="S204" s="16" t="str">
        <f>IF(OR($B204="",NOT(ISNUMBER($F204))),"",SUMIFS(community_cores_FS!$P$5:$P$597,community_cores_FS!$B$5:$B$597,$B204,community_cores_FS!$F$5:$F$597,"&lt;="&amp;$F204))</f>
        <v/>
      </c>
      <c r="T204" s="16" t="str">
        <f>IF(AND($A204="",$B204="",$E204=""),"",IF(AND($B204&lt;&gt;"",COUNTIF('2. Core Log'!$A$5:$A$124,$B204)=0),"Core ID not in Core Log. ","")&amp;IF(AND($A204&lt;&gt;"",COUNTIF('1. Plot &amp; Site Log'!$A$5:$A$64,$A204)=0),"Plot ID not in Plot &amp; Site Log. ","")&amp;IF(AND(ISNUMBER($E204),ISNUMBER($F204),$F204&lt;=$E204),"Bottom depth is not below top depth. ","")&amp;IF($I204="","Say which bulk-density basis the lab reported. ","")&amp;IF(AND(ISNUMBER($J204),OR($J204&lt;QC_BD_MIN,$J204&gt;QC_BD_MAX)),"Bulk density outside "&amp;QC_BD_MIN&amp;"–"&amp;QC_BD_MAX&amp;" g/cm³ for peat. Above the top of that range usually means the mineral contact has been passed. ","")&amp;IF(AND(ISNUMBER($N204),$N204&gt;QC_CARBON_PCT_MAX),"Carbon above "&amp;QC_CARBON_PCT_MAX&amp;"% — check units; this may be organic matter rather than carbon. ","")&amp;IF(AND($L204&lt;&gt;"",$M204&lt;&gt;""),"Both LOI and measured carbon given — the measured value is used. ","")&amp;IF(AND($M204="",$L204&lt;&gt;"",OM_FACTOR_IS_LOCAL&lt;&gt;"Yes"),"Carbon derived from LOI using the default factor of "&amp;CARBON_FRACTION_OM&amp;", which has not been calibrated locally. See R1. Reference. ","")&amp;IF(AND(ISNUMBER($O204),$O204=0,ISNUMBER($E204)),"Section lies entirely below the reference depth — it counts to the full-profile stock only. ",""))</f>
        <v/>
      </c>
      <c r="U204" s="14"/>
    </row>
    <row r="205" spans="1:21" ht="15.75" customHeight="1">
      <c r="A205" s="14"/>
      <c r="B205" s="14"/>
      <c r="C205" s="14"/>
      <c r="D205" s="14"/>
      <c r="E205" s="14"/>
      <c r="F205" s="14"/>
      <c r="G205" s="14" t="str">
        <f t="shared" si="20"/>
        <v/>
      </c>
      <c r="H205" s="14"/>
      <c r="I205" s="14"/>
      <c r="J205" s="24"/>
      <c r="K205" s="24"/>
      <c r="L205" s="24"/>
      <c r="M205" s="24"/>
      <c r="N205" s="16" t="str">
        <f t="shared" si="24"/>
        <v/>
      </c>
      <c r="O205" s="16" t="str">
        <f t="shared" si="21"/>
        <v/>
      </c>
      <c r="P205" s="16" t="str">
        <f t="shared" si="22"/>
        <v/>
      </c>
      <c r="Q205" s="16" t="str">
        <f t="shared" si="23"/>
        <v/>
      </c>
      <c r="R205" s="16">
        <f t="shared" si="25"/>
        <v>0</v>
      </c>
      <c r="S205" s="16" t="str">
        <f>IF(OR($B205="",NOT(ISNUMBER($F205))),"",SUMIFS(community_cores_FS!$P$5:$P$597,community_cores_FS!$B$5:$B$597,$B205,community_cores_FS!$F$5:$F$597,"&lt;="&amp;$F205))</f>
        <v/>
      </c>
      <c r="T205" s="16" t="str">
        <f>IF(AND($A205="",$B205="",$E205=""),"",IF(AND($B205&lt;&gt;"",COUNTIF('2. Core Log'!$A$5:$A$124,$B205)=0),"Core ID not in Core Log. ","")&amp;IF(AND($A205&lt;&gt;"",COUNTIF('1. Plot &amp; Site Log'!$A$5:$A$64,$A205)=0),"Plot ID not in Plot &amp; Site Log. ","")&amp;IF(AND(ISNUMBER($E205),ISNUMBER($F205),$F205&lt;=$E205),"Bottom depth is not below top depth. ","")&amp;IF($I205="","Say which bulk-density basis the lab reported. ","")&amp;IF(AND(ISNUMBER($J205),OR($J205&lt;QC_BD_MIN,$J205&gt;QC_BD_MAX)),"Bulk density outside "&amp;QC_BD_MIN&amp;"–"&amp;QC_BD_MAX&amp;" g/cm³ for peat. Above the top of that range usually means the mineral contact has been passed. ","")&amp;IF(AND(ISNUMBER($N205),$N205&gt;QC_CARBON_PCT_MAX),"Carbon above "&amp;QC_CARBON_PCT_MAX&amp;"% — check units; this may be organic matter rather than carbon. ","")&amp;IF(AND($L205&lt;&gt;"",$M205&lt;&gt;""),"Both LOI and measured carbon given — the measured value is used. ","")&amp;IF(AND($M205="",$L205&lt;&gt;"",OM_FACTOR_IS_LOCAL&lt;&gt;"Yes"),"Carbon derived from LOI using the default factor of "&amp;CARBON_FRACTION_OM&amp;", which has not been calibrated locally. See R1. Reference. ","")&amp;IF(AND(ISNUMBER($O205),$O205=0,ISNUMBER($E205)),"Section lies entirely below the reference depth — it counts to the full-profile stock only. ",""))</f>
        <v/>
      </c>
      <c r="U205" s="14"/>
    </row>
    <row r="206" spans="1:21" ht="15.75" customHeight="1">
      <c r="A206" s="14"/>
      <c r="B206" s="14"/>
      <c r="C206" s="14"/>
      <c r="D206" s="14"/>
      <c r="E206" s="14"/>
      <c r="F206" s="14"/>
      <c r="G206" s="14" t="str">
        <f t="shared" si="20"/>
        <v/>
      </c>
      <c r="H206" s="14"/>
      <c r="I206" s="14"/>
      <c r="J206" s="24"/>
      <c r="K206" s="24"/>
      <c r="L206" s="24"/>
      <c r="M206" s="24"/>
      <c r="N206" s="16" t="str">
        <f t="shared" si="24"/>
        <v/>
      </c>
      <c r="O206" s="16" t="str">
        <f t="shared" si="21"/>
        <v/>
      </c>
      <c r="P206" s="16" t="str">
        <f t="shared" si="22"/>
        <v/>
      </c>
      <c r="Q206" s="16" t="str">
        <f t="shared" si="23"/>
        <v/>
      </c>
      <c r="R206" s="16">
        <f t="shared" si="25"/>
        <v>0</v>
      </c>
      <c r="S206" s="16" t="str">
        <f>IF(OR($B206="",NOT(ISNUMBER($F206))),"",SUMIFS(community_cores_FS!$P$5:$P$597,community_cores_FS!$B$5:$B$597,$B206,community_cores_FS!$F$5:$F$597,"&lt;="&amp;$F206))</f>
        <v/>
      </c>
      <c r="T206" s="16" t="str">
        <f>IF(AND($A206="",$B206="",$E206=""),"",IF(AND($B206&lt;&gt;"",COUNTIF('2. Core Log'!$A$5:$A$124,$B206)=0),"Core ID not in Core Log. ","")&amp;IF(AND($A206&lt;&gt;"",COUNTIF('1. Plot &amp; Site Log'!$A$5:$A$64,$A206)=0),"Plot ID not in Plot &amp; Site Log. ","")&amp;IF(AND(ISNUMBER($E206),ISNUMBER($F206),$F206&lt;=$E206),"Bottom depth is not below top depth. ","")&amp;IF($I206="","Say which bulk-density basis the lab reported. ","")&amp;IF(AND(ISNUMBER($J206),OR($J206&lt;QC_BD_MIN,$J206&gt;QC_BD_MAX)),"Bulk density outside "&amp;QC_BD_MIN&amp;"–"&amp;QC_BD_MAX&amp;" g/cm³ for peat. Above the top of that range usually means the mineral contact has been passed. ","")&amp;IF(AND(ISNUMBER($N206),$N206&gt;QC_CARBON_PCT_MAX),"Carbon above "&amp;QC_CARBON_PCT_MAX&amp;"% — check units; this may be organic matter rather than carbon. ","")&amp;IF(AND($L206&lt;&gt;"",$M206&lt;&gt;""),"Both LOI and measured carbon given — the measured value is used. ","")&amp;IF(AND($M206="",$L206&lt;&gt;"",OM_FACTOR_IS_LOCAL&lt;&gt;"Yes"),"Carbon derived from LOI using the default factor of "&amp;CARBON_FRACTION_OM&amp;", which has not been calibrated locally. See R1. Reference. ","")&amp;IF(AND(ISNUMBER($O206),$O206=0,ISNUMBER($E206)),"Section lies entirely below the reference depth — it counts to the full-profile stock only. ",""))</f>
        <v/>
      </c>
      <c r="U206" s="14"/>
    </row>
    <row r="207" spans="1:21" ht="15.75" customHeight="1">
      <c r="A207" s="14"/>
      <c r="B207" s="14"/>
      <c r="C207" s="14"/>
      <c r="D207" s="14"/>
      <c r="E207" s="14"/>
      <c r="F207" s="14"/>
      <c r="G207" s="14" t="str">
        <f t="shared" si="20"/>
        <v/>
      </c>
      <c r="H207" s="14"/>
      <c r="I207" s="14"/>
      <c r="J207" s="24"/>
      <c r="K207" s="24"/>
      <c r="L207" s="24"/>
      <c r="M207" s="24"/>
      <c r="N207" s="16" t="str">
        <f t="shared" si="24"/>
        <v/>
      </c>
      <c r="O207" s="16" t="str">
        <f t="shared" si="21"/>
        <v/>
      </c>
      <c r="P207" s="16" t="str">
        <f t="shared" si="22"/>
        <v/>
      </c>
      <c r="Q207" s="16" t="str">
        <f t="shared" si="23"/>
        <v/>
      </c>
      <c r="R207" s="16">
        <f t="shared" si="25"/>
        <v>0</v>
      </c>
      <c r="S207" s="16" t="str">
        <f>IF(OR($B207="",NOT(ISNUMBER($F207))),"",SUMIFS(community_cores_FS!$P$5:$P$597,community_cores_FS!$B$5:$B$597,$B207,community_cores_FS!$F$5:$F$597,"&lt;="&amp;$F207))</f>
        <v/>
      </c>
      <c r="T207" s="16" t="str">
        <f>IF(AND($A207="",$B207="",$E207=""),"",IF(AND($B207&lt;&gt;"",COUNTIF('2. Core Log'!$A$5:$A$124,$B207)=0),"Core ID not in Core Log. ","")&amp;IF(AND($A207&lt;&gt;"",COUNTIF('1. Plot &amp; Site Log'!$A$5:$A$64,$A207)=0),"Plot ID not in Plot &amp; Site Log. ","")&amp;IF(AND(ISNUMBER($E207),ISNUMBER($F207),$F207&lt;=$E207),"Bottom depth is not below top depth. ","")&amp;IF($I207="","Say which bulk-density basis the lab reported. ","")&amp;IF(AND(ISNUMBER($J207),OR($J207&lt;QC_BD_MIN,$J207&gt;QC_BD_MAX)),"Bulk density outside "&amp;QC_BD_MIN&amp;"–"&amp;QC_BD_MAX&amp;" g/cm³ for peat. Above the top of that range usually means the mineral contact has been passed. ","")&amp;IF(AND(ISNUMBER($N207),$N207&gt;QC_CARBON_PCT_MAX),"Carbon above "&amp;QC_CARBON_PCT_MAX&amp;"% — check units; this may be organic matter rather than carbon. ","")&amp;IF(AND($L207&lt;&gt;"",$M207&lt;&gt;""),"Both LOI and measured carbon given — the measured value is used. ","")&amp;IF(AND($M207="",$L207&lt;&gt;"",OM_FACTOR_IS_LOCAL&lt;&gt;"Yes"),"Carbon derived from LOI using the default factor of "&amp;CARBON_FRACTION_OM&amp;", which has not been calibrated locally. See R1. Reference. ","")&amp;IF(AND(ISNUMBER($O207),$O207=0,ISNUMBER($E207)),"Section lies entirely below the reference depth — it counts to the full-profile stock only. ",""))</f>
        <v/>
      </c>
      <c r="U207" s="14"/>
    </row>
    <row r="208" spans="1:21" ht="15.75" customHeight="1">
      <c r="A208" s="14"/>
      <c r="B208" s="14"/>
      <c r="C208" s="14"/>
      <c r="D208" s="14"/>
      <c r="E208" s="14"/>
      <c r="F208" s="14"/>
      <c r="G208" s="14" t="str">
        <f t="shared" si="20"/>
        <v/>
      </c>
      <c r="H208" s="14"/>
      <c r="I208" s="14"/>
      <c r="J208" s="24"/>
      <c r="K208" s="24"/>
      <c r="L208" s="24"/>
      <c r="M208" s="24"/>
      <c r="N208" s="16" t="str">
        <f t="shared" si="24"/>
        <v/>
      </c>
      <c r="O208" s="16" t="str">
        <f t="shared" si="21"/>
        <v/>
      </c>
      <c r="P208" s="16" t="str">
        <f t="shared" si="22"/>
        <v/>
      </c>
      <c r="Q208" s="16" t="str">
        <f t="shared" si="23"/>
        <v/>
      </c>
      <c r="R208" s="16">
        <f t="shared" si="25"/>
        <v>0</v>
      </c>
      <c r="S208" s="16" t="str">
        <f>IF(OR($B208="",NOT(ISNUMBER($F208))),"",SUMIFS(community_cores_FS!$P$5:$P$597,community_cores_FS!$B$5:$B$597,$B208,community_cores_FS!$F$5:$F$597,"&lt;="&amp;$F208))</f>
        <v/>
      </c>
      <c r="T208" s="16" t="str">
        <f>IF(AND($A208="",$B208="",$E208=""),"",IF(AND($B208&lt;&gt;"",COUNTIF('2. Core Log'!$A$5:$A$124,$B208)=0),"Core ID not in Core Log. ","")&amp;IF(AND($A208&lt;&gt;"",COUNTIF('1. Plot &amp; Site Log'!$A$5:$A$64,$A208)=0),"Plot ID not in Plot &amp; Site Log. ","")&amp;IF(AND(ISNUMBER($E208),ISNUMBER($F208),$F208&lt;=$E208),"Bottom depth is not below top depth. ","")&amp;IF($I208="","Say which bulk-density basis the lab reported. ","")&amp;IF(AND(ISNUMBER($J208),OR($J208&lt;QC_BD_MIN,$J208&gt;QC_BD_MAX)),"Bulk density outside "&amp;QC_BD_MIN&amp;"–"&amp;QC_BD_MAX&amp;" g/cm³ for peat. Above the top of that range usually means the mineral contact has been passed. ","")&amp;IF(AND(ISNUMBER($N208),$N208&gt;QC_CARBON_PCT_MAX),"Carbon above "&amp;QC_CARBON_PCT_MAX&amp;"% — check units; this may be organic matter rather than carbon. ","")&amp;IF(AND($L208&lt;&gt;"",$M208&lt;&gt;""),"Both LOI and measured carbon given — the measured value is used. ","")&amp;IF(AND($M208="",$L208&lt;&gt;"",OM_FACTOR_IS_LOCAL&lt;&gt;"Yes"),"Carbon derived from LOI using the default factor of "&amp;CARBON_FRACTION_OM&amp;", which has not been calibrated locally. See R1. Reference. ","")&amp;IF(AND(ISNUMBER($O208),$O208=0,ISNUMBER($E208)),"Section lies entirely below the reference depth — it counts to the full-profile stock only. ",""))</f>
        <v/>
      </c>
      <c r="U208" s="14"/>
    </row>
    <row r="209" spans="1:21" ht="15.75" customHeight="1">
      <c r="A209" s="14"/>
      <c r="B209" s="14"/>
      <c r="C209" s="14"/>
      <c r="D209" s="14"/>
      <c r="E209" s="14"/>
      <c r="F209" s="14"/>
      <c r="G209" s="14" t="str">
        <f t="shared" si="20"/>
        <v/>
      </c>
      <c r="H209" s="14"/>
      <c r="I209" s="14"/>
      <c r="J209" s="24"/>
      <c r="K209" s="24"/>
      <c r="L209" s="24"/>
      <c r="M209" s="24"/>
      <c r="N209" s="16" t="str">
        <f t="shared" si="24"/>
        <v/>
      </c>
      <c r="O209" s="16" t="str">
        <f t="shared" si="21"/>
        <v/>
      </c>
      <c r="P209" s="16" t="str">
        <f t="shared" si="22"/>
        <v/>
      </c>
      <c r="Q209" s="16" t="str">
        <f t="shared" si="23"/>
        <v/>
      </c>
      <c r="R209" s="16">
        <f t="shared" si="25"/>
        <v>0</v>
      </c>
      <c r="S209" s="16" t="str">
        <f>IF(OR($B209="",NOT(ISNUMBER($F209))),"",SUMIFS(community_cores_FS!$P$5:$P$597,community_cores_FS!$B$5:$B$597,$B209,community_cores_FS!$F$5:$F$597,"&lt;="&amp;$F209))</f>
        <v/>
      </c>
      <c r="T209" s="16" t="str">
        <f>IF(AND($A209="",$B209="",$E209=""),"",IF(AND($B209&lt;&gt;"",COUNTIF('2. Core Log'!$A$5:$A$124,$B209)=0),"Core ID not in Core Log. ","")&amp;IF(AND($A209&lt;&gt;"",COUNTIF('1. Plot &amp; Site Log'!$A$5:$A$64,$A209)=0),"Plot ID not in Plot &amp; Site Log. ","")&amp;IF(AND(ISNUMBER($E209),ISNUMBER($F209),$F209&lt;=$E209),"Bottom depth is not below top depth. ","")&amp;IF($I209="","Say which bulk-density basis the lab reported. ","")&amp;IF(AND(ISNUMBER($J209),OR($J209&lt;QC_BD_MIN,$J209&gt;QC_BD_MAX)),"Bulk density outside "&amp;QC_BD_MIN&amp;"–"&amp;QC_BD_MAX&amp;" g/cm³ for peat. Above the top of that range usually means the mineral contact has been passed. ","")&amp;IF(AND(ISNUMBER($N209),$N209&gt;QC_CARBON_PCT_MAX),"Carbon above "&amp;QC_CARBON_PCT_MAX&amp;"% — check units; this may be organic matter rather than carbon. ","")&amp;IF(AND($L209&lt;&gt;"",$M209&lt;&gt;""),"Both LOI and measured carbon given — the measured value is used. ","")&amp;IF(AND($M209="",$L209&lt;&gt;"",OM_FACTOR_IS_LOCAL&lt;&gt;"Yes"),"Carbon derived from LOI using the default factor of "&amp;CARBON_FRACTION_OM&amp;", which has not been calibrated locally. See R1. Reference. ","")&amp;IF(AND(ISNUMBER($O209),$O209=0,ISNUMBER($E209)),"Section lies entirely below the reference depth — it counts to the full-profile stock only. ",""))</f>
        <v/>
      </c>
      <c r="U209" s="14"/>
    </row>
    <row r="210" spans="1:21" ht="15.75" customHeight="1">
      <c r="A210" s="14"/>
      <c r="B210" s="14"/>
      <c r="C210" s="14"/>
      <c r="D210" s="14"/>
      <c r="E210" s="14"/>
      <c r="F210" s="14"/>
      <c r="G210" s="14" t="str">
        <f t="shared" si="20"/>
        <v/>
      </c>
      <c r="H210" s="14"/>
      <c r="I210" s="14"/>
      <c r="J210" s="24"/>
      <c r="K210" s="24"/>
      <c r="L210" s="24"/>
      <c r="M210" s="24"/>
      <c r="N210" s="16" t="str">
        <f t="shared" si="24"/>
        <v/>
      </c>
      <c r="O210" s="16" t="str">
        <f t="shared" si="21"/>
        <v/>
      </c>
      <c r="P210" s="16" t="str">
        <f t="shared" si="22"/>
        <v/>
      </c>
      <c r="Q210" s="16" t="str">
        <f t="shared" si="23"/>
        <v/>
      </c>
      <c r="R210" s="16">
        <f t="shared" si="25"/>
        <v>0</v>
      </c>
      <c r="S210" s="16" t="str">
        <f>IF(OR($B210="",NOT(ISNUMBER($F210))),"",SUMIFS(community_cores_FS!$P$5:$P$597,community_cores_FS!$B$5:$B$597,$B210,community_cores_FS!$F$5:$F$597,"&lt;="&amp;$F210))</f>
        <v/>
      </c>
      <c r="T210" s="16" t="str">
        <f>IF(AND($A210="",$B210="",$E210=""),"",IF(AND($B210&lt;&gt;"",COUNTIF('2. Core Log'!$A$5:$A$124,$B210)=0),"Core ID not in Core Log. ","")&amp;IF(AND($A210&lt;&gt;"",COUNTIF('1. Plot &amp; Site Log'!$A$5:$A$64,$A210)=0),"Plot ID not in Plot &amp; Site Log. ","")&amp;IF(AND(ISNUMBER($E210),ISNUMBER($F210),$F210&lt;=$E210),"Bottom depth is not below top depth. ","")&amp;IF($I210="","Say which bulk-density basis the lab reported. ","")&amp;IF(AND(ISNUMBER($J210),OR($J210&lt;QC_BD_MIN,$J210&gt;QC_BD_MAX)),"Bulk density outside "&amp;QC_BD_MIN&amp;"–"&amp;QC_BD_MAX&amp;" g/cm³ for peat. Above the top of that range usually means the mineral contact has been passed. ","")&amp;IF(AND(ISNUMBER($N210),$N210&gt;QC_CARBON_PCT_MAX),"Carbon above "&amp;QC_CARBON_PCT_MAX&amp;"% — check units; this may be organic matter rather than carbon. ","")&amp;IF(AND($L210&lt;&gt;"",$M210&lt;&gt;""),"Both LOI and measured carbon given — the measured value is used. ","")&amp;IF(AND($M210="",$L210&lt;&gt;"",OM_FACTOR_IS_LOCAL&lt;&gt;"Yes"),"Carbon derived from LOI using the default factor of "&amp;CARBON_FRACTION_OM&amp;", which has not been calibrated locally. See R1. Reference. ","")&amp;IF(AND(ISNUMBER($O210),$O210=0,ISNUMBER($E210)),"Section lies entirely below the reference depth — it counts to the full-profile stock only. ",""))</f>
        <v/>
      </c>
      <c r="U210" s="14"/>
    </row>
    <row r="211" spans="1:21" ht="15.75" customHeight="1">
      <c r="A211" s="14"/>
      <c r="B211" s="14"/>
      <c r="C211" s="14"/>
      <c r="D211" s="14"/>
      <c r="E211" s="14"/>
      <c r="F211" s="14"/>
      <c r="G211" s="14" t="str">
        <f t="shared" si="20"/>
        <v/>
      </c>
      <c r="H211" s="14"/>
      <c r="I211" s="14"/>
      <c r="J211" s="24"/>
      <c r="K211" s="24"/>
      <c r="L211" s="24"/>
      <c r="M211" s="24"/>
      <c r="N211" s="16" t="str">
        <f t="shared" si="24"/>
        <v/>
      </c>
      <c r="O211" s="16" t="str">
        <f t="shared" si="21"/>
        <v/>
      </c>
      <c r="P211" s="16" t="str">
        <f t="shared" si="22"/>
        <v/>
      </c>
      <c r="Q211" s="16" t="str">
        <f t="shared" si="23"/>
        <v/>
      </c>
      <c r="R211" s="16">
        <f t="shared" si="25"/>
        <v>0</v>
      </c>
      <c r="S211" s="16" t="str">
        <f>IF(OR($B211="",NOT(ISNUMBER($F211))),"",SUMIFS(community_cores_FS!$P$5:$P$597,community_cores_FS!$B$5:$B$597,$B211,community_cores_FS!$F$5:$F$597,"&lt;="&amp;$F211))</f>
        <v/>
      </c>
      <c r="T211" s="16" t="str">
        <f>IF(AND($A211="",$B211="",$E211=""),"",IF(AND($B211&lt;&gt;"",COUNTIF('2. Core Log'!$A$5:$A$124,$B211)=0),"Core ID not in Core Log. ","")&amp;IF(AND($A211&lt;&gt;"",COUNTIF('1. Plot &amp; Site Log'!$A$5:$A$64,$A211)=0),"Plot ID not in Plot &amp; Site Log. ","")&amp;IF(AND(ISNUMBER($E211),ISNUMBER($F211),$F211&lt;=$E211),"Bottom depth is not below top depth. ","")&amp;IF($I211="","Say which bulk-density basis the lab reported. ","")&amp;IF(AND(ISNUMBER($J211),OR($J211&lt;QC_BD_MIN,$J211&gt;QC_BD_MAX)),"Bulk density outside "&amp;QC_BD_MIN&amp;"–"&amp;QC_BD_MAX&amp;" g/cm³ for peat. Above the top of that range usually means the mineral contact has been passed. ","")&amp;IF(AND(ISNUMBER($N211),$N211&gt;QC_CARBON_PCT_MAX),"Carbon above "&amp;QC_CARBON_PCT_MAX&amp;"% — check units; this may be organic matter rather than carbon. ","")&amp;IF(AND($L211&lt;&gt;"",$M211&lt;&gt;""),"Both LOI and measured carbon given — the measured value is used. ","")&amp;IF(AND($M211="",$L211&lt;&gt;"",OM_FACTOR_IS_LOCAL&lt;&gt;"Yes"),"Carbon derived from LOI using the default factor of "&amp;CARBON_FRACTION_OM&amp;", which has not been calibrated locally. See R1. Reference. ","")&amp;IF(AND(ISNUMBER($O211),$O211=0,ISNUMBER($E211)),"Section lies entirely below the reference depth — it counts to the full-profile stock only. ",""))</f>
        <v/>
      </c>
      <c r="U211" s="14"/>
    </row>
    <row r="212" spans="1:21" ht="15.75" customHeight="1">
      <c r="A212" s="14"/>
      <c r="B212" s="14"/>
      <c r="C212" s="14"/>
      <c r="D212" s="14"/>
      <c r="E212" s="14"/>
      <c r="F212" s="14"/>
      <c r="G212" s="14" t="str">
        <f t="shared" si="20"/>
        <v/>
      </c>
      <c r="H212" s="14"/>
      <c r="I212" s="14"/>
      <c r="J212" s="24"/>
      <c r="K212" s="24"/>
      <c r="L212" s="24"/>
      <c r="M212" s="24"/>
      <c r="N212" s="16" t="str">
        <f t="shared" si="24"/>
        <v/>
      </c>
      <c r="O212" s="16" t="str">
        <f t="shared" si="21"/>
        <v/>
      </c>
      <c r="P212" s="16" t="str">
        <f t="shared" si="22"/>
        <v/>
      </c>
      <c r="Q212" s="16" t="str">
        <f t="shared" si="23"/>
        <v/>
      </c>
      <c r="R212" s="16">
        <f t="shared" si="25"/>
        <v>0</v>
      </c>
      <c r="S212" s="16" t="str">
        <f>IF(OR($B212="",NOT(ISNUMBER($F212))),"",SUMIFS(community_cores_FS!$P$5:$P$597,community_cores_FS!$B$5:$B$597,$B212,community_cores_FS!$F$5:$F$597,"&lt;="&amp;$F212))</f>
        <v/>
      </c>
      <c r="T212" s="16" t="str">
        <f>IF(AND($A212="",$B212="",$E212=""),"",IF(AND($B212&lt;&gt;"",COUNTIF('2. Core Log'!$A$5:$A$124,$B212)=0),"Core ID not in Core Log. ","")&amp;IF(AND($A212&lt;&gt;"",COUNTIF('1. Plot &amp; Site Log'!$A$5:$A$64,$A212)=0),"Plot ID not in Plot &amp; Site Log. ","")&amp;IF(AND(ISNUMBER($E212),ISNUMBER($F212),$F212&lt;=$E212),"Bottom depth is not below top depth. ","")&amp;IF($I212="","Say which bulk-density basis the lab reported. ","")&amp;IF(AND(ISNUMBER($J212),OR($J212&lt;QC_BD_MIN,$J212&gt;QC_BD_MAX)),"Bulk density outside "&amp;QC_BD_MIN&amp;"–"&amp;QC_BD_MAX&amp;" g/cm³ for peat. Above the top of that range usually means the mineral contact has been passed. ","")&amp;IF(AND(ISNUMBER($N212),$N212&gt;QC_CARBON_PCT_MAX),"Carbon above "&amp;QC_CARBON_PCT_MAX&amp;"% — check units; this may be organic matter rather than carbon. ","")&amp;IF(AND($L212&lt;&gt;"",$M212&lt;&gt;""),"Both LOI and measured carbon given — the measured value is used. ","")&amp;IF(AND($M212="",$L212&lt;&gt;"",OM_FACTOR_IS_LOCAL&lt;&gt;"Yes"),"Carbon derived from LOI using the default factor of "&amp;CARBON_FRACTION_OM&amp;", which has not been calibrated locally. See R1. Reference. ","")&amp;IF(AND(ISNUMBER($O212),$O212=0,ISNUMBER($E212)),"Section lies entirely below the reference depth — it counts to the full-profile stock only. ",""))</f>
        <v/>
      </c>
      <c r="U212" s="14"/>
    </row>
    <row r="213" spans="1:21" ht="15.75" customHeight="1">
      <c r="A213" s="14"/>
      <c r="B213" s="14"/>
      <c r="C213" s="14"/>
      <c r="D213" s="14"/>
      <c r="E213" s="14"/>
      <c r="F213" s="14"/>
      <c r="G213" s="14" t="str">
        <f t="shared" si="20"/>
        <v/>
      </c>
      <c r="H213" s="14"/>
      <c r="I213" s="14"/>
      <c r="J213" s="24"/>
      <c r="K213" s="24"/>
      <c r="L213" s="24"/>
      <c r="M213" s="24"/>
      <c r="N213" s="16" t="str">
        <f t="shared" si="24"/>
        <v/>
      </c>
      <c r="O213" s="16" t="str">
        <f t="shared" si="21"/>
        <v/>
      </c>
      <c r="P213" s="16" t="str">
        <f t="shared" si="22"/>
        <v/>
      </c>
      <c r="Q213" s="16" t="str">
        <f t="shared" si="23"/>
        <v/>
      </c>
      <c r="R213" s="16">
        <f t="shared" si="25"/>
        <v>0</v>
      </c>
      <c r="S213" s="16" t="str">
        <f>IF(OR($B213="",NOT(ISNUMBER($F213))),"",SUMIFS(community_cores_FS!$P$5:$P$597,community_cores_FS!$B$5:$B$597,$B213,community_cores_FS!$F$5:$F$597,"&lt;="&amp;$F213))</f>
        <v/>
      </c>
      <c r="T213" s="16" t="str">
        <f>IF(AND($A213="",$B213="",$E213=""),"",IF(AND($B213&lt;&gt;"",COUNTIF('2. Core Log'!$A$5:$A$124,$B213)=0),"Core ID not in Core Log. ","")&amp;IF(AND($A213&lt;&gt;"",COUNTIF('1. Plot &amp; Site Log'!$A$5:$A$64,$A213)=0),"Plot ID not in Plot &amp; Site Log. ","")&amp;IF(AND(ISNUMBER($E213),ISNUMBER($F213),$F213&lt;=$E213),"Bottom depth is not below top depth. ","")&amp;IF($I213="","Say which bulk-density basis the lab reported. ","")&amp;IF(AND(ISNUMBER($J213),OR($J213&lt;QC_BD_MIN,$J213&gt;QC_BD_MAX)),"Bulk density outside "&amp;QC_BD_MIN&amp;"–"&amp;QC_BD_MAX&amp;" g/cm³ for peat. Above the top of that range usually means the mineral contact has been passed. ","")&amp;IF(AND(ISNUMBER($N213),$N213&gt;QC_CARBON_PCT_MAX),"Carbon above "&amp;QC_CARBON_PCT_MAX&amp;"% — check units; this may be organic matter rather than carbon. ","")&amp;IF(AND($L213&lt;&gt;"",$M213&lt;&gt;""),"Both LOI and measured carbon given — the measured value is used. ","")&amp;IF(AND($M213="",$L213&lt;&gt;"",OM_FACTOR_IS_LOCAL&lt;&gt;"Yes"),"Carbon derived from LOI using the default factor of "&amp;CARBON_FRACTION_OM&amp;", which has not been calibrated locally. See R1. Reference. ","")&amp;IF(AND(ISNUMBER($O213),$O213=0,ISNUMBER($E213)),"Section lies entirely below the reference depth — it counts to the full-profile stock only. ",""))</f>
        <v/>
      </c>
      <c r="U213" s="14"/>
    </row>
    <row r="214" spans="1:21" ht="15.75" customHeight="1">
      <c r="A214" s="14"/>
      <c r="B214" s="14"/>
      <c r="C214" s="14"/>
      <c r="D214" s="14"/>
      <c r="E214" s="14"/>
      <c r="F214" s="14"/>
      <c r="G214" s="14" t="str">
        <f t="shared" si="20"/>
        <v/>
      </c>
      <c r="H214" s="14"/>
      <c r="I214" s="14"/>
      <c r="J214" s="24"/>
      <c r="K214" s="24"/>
      <c r="L214" s="24"/>
      <c r="M214" s="24"/>
      <c r="N214" s="16" t="str">
        <f t="shared" si="24"/>
        <v/>
      </c>
      <c r="O214" s="16" t="str">
        <f t="shared" si="21"/>
        <v/>
      </c>
      <c r="P214" s="16" t="str">
        <f t="shared" si="22"/>
        <v/>
      </c>
      <c r="Q214" s="16" t="str">
        <f t="shared" si="23"/>
        <v/>
      </c>
      <c r="R214" s="16">
        <f t="shared" si="25"/>
        <v>0</v>
      </c>
      <c r="S214" s="16" t="str">
        <f>IF(OR($B214="",NOT(ISNUMBER($F214))),"",SUMIFS(community_cores_FS!$P$5:$P$597,community_cores_FS!$B$5:$B$597,$B214,community_cores_FS!$F$5:$F$597,"&lt;="&amp;$F214))</f>
        <v/>
      </c>
      <c r="T214" s="16" t="str">
        <f>IF(AND($A214="",$B214="",$E214=""),"",IF(AND($B214&lt;&gt;"",COUNTIF('2. Core Log'!$A$5:$A$124,$B214)=0),"Core ID not in Core Log. ","")&amp;IF(AND($A214&lt;&gt;"",COUNTIF('1. Plot &amp; Site Log'!$A$5:$A$64,$A214)=0),"Plot ID not in Plot &amp; Site Log. ","")&amp;IF(AND(ISNUMBER($E214),ISNUMBER($F214),$F214&lt;=$E214),"Bottom depth is not below top depth. ","")&amp;IF($I214="","Say which bulk-density basis the lab reported. ","")&amp;IF(AND(ISNUMBER($J214),OR($J214&lt;QC_BD_MIN,$J214&gt;QC_BD_MAX)),"Bulk density outside "&amp;QC_BD_MIN&amp;"–"&amp;QC_BD_MAX&amp;" g/cm³ for peat. Above the top of that range usually means the mineral contact has been passed. ","")&amp;IF(AND(ISNUMBER($N214),$N214&gt;QC_CARBON_PCT_MAX),"Carbon above "&amp;QC_CARBON_PCT_MAX&amp;"% — check units; this may be organic matter rather than carbon. ","")&amp;IF(AND($L214&lt;&gt;"",$M214&lt;&gt;""),"Both LOI and measured carbon given — the measured value is used. ","")&amp;IF(AND($M214="",$L214&lt;&gt;"",OM_FACTOR_IS_LOCAL&lt;&gt;"Yes"),"Carbon derived from LOI using the default factor of "&amp;CARBON_FRACTION_OM&amp;", which has not been calibrated locally. See R1. Reference. ","")&amp;IF(AND(ISNUMBER($O214),$O214=0,ISNUMBER($E214)),"Section lies entirely below the reference depth — it counts to the full-profile stock only. ",""))</f>
        <v/>
      </c>
      <c r="U214" s="14"/>
    </row>
    <row r="215" spans="1:21" ht="15.75" customHeight="1">
      <c r="A215" s="14"/>
      <c r="B215" s="14"/>
      <c r="C215" s="14"/>
      <c r="D215" s="14"/>
      <c r="E215" s="14"/>
      <c r="F215" s="14"/>
      <c r="G215" s="14" t="str">
        <f t="shared" si="20"/>
        <v/>
      </c>
      <c r="H215" s="14"/>
      <c r="I215" s="14"/>
      <c r="J215" s="24"/>
      <c r="K215" s="24"/>
      <c r="L215" s="24"/>
      <c r="M215" s="24"/>
      <c r="N215" s="16" t="str">
        <f t="shared" si="24"/>
        <v/>
      </c>
      <c r="O215" s="16" t="str">
        <f t="shared" si="21"/>
        <v/>
      </c>
      <c r="P215" s="16" t="str">
        <f t="shared" si="22"/>
        <v/>
      </c>
      <c r="Q215" s="16" t="str">
        <f t="shared" si="23"/>
        <v/>
      </c>
      <c r="R215" s="16">
        <f t="shared" si="25"/>
        <v>0</v>
      </c>
      <c r="S215" s="16" t="str">
        <f>IF(OR($B215="",NOT(ISNUMBER($F215))),"",SUMIFS(community_cores_FS!$P$5:$P$597,community_cores_FS!$B$5:$B$597,$B215,community_cores_FS!$F$5:$F$597,"&lt;="&amp;$F215))</f>
        <v/>
      </c>
      <c r="T215" s="16" t="str">
        <f>IF(AND($A215="",$B215="",$E215=""),"",IF(AND($B215&lt;&gt;"",COUNTIF('2. Core Log'!$A$5:$A$124,$B215)=0),"Core ID not in Core Log. ","")&amp;IF(AND($A215&lt;&gt;"",COUNTIF('1. Plot &amp; Site Log'!$A$5:$A$64,$A215)=0),"Plot ID not in Plot &amp; Site Log. ","")&amp;IF(AND(ISNUMBER($E215),ISNUMBER($F215),$F215&lt;=$E215),"Bottom depth is not below top depth. ","")&amp;IF($I215="","Say which bulk-density basis the lab reported. ","")&amp;IF(AND(ISNUMBER($J215),OR($J215&lt;QC_BD_MIN,$J215&gt;QC_BD_MAX)),"Bulk density outside "&amp;QC_BD_MIN&amp;"–"&amp;QC_BD_MAX&amp;" g/cm³ for peat. Above the top of that range usually means the mineral contact has been passed. ","")&amp;IF(AND(ISNUMBER($N215),$N215&gt;QC_CARBON_PCT_MAX),"Carbon above "&amp;QC_CARBON_PCT_MAX&amp;"% — check units; this may be organic matter rather than carbon. ","")&amp;IF(AND($L215&lt;&gt;"",$M215&lt;&gt;""),"Both LOI and measured carbon given — the measured value is used. ","")&amp;IF(AND($M215="",$L215&lt;&gt;"",OM_FACTOR_IS_LOCAL&lt;&gt;"Yes"),"Carbon derived from LOI using the default factor of "&amp;CARBON_FRACTION_OM&amp;", which has not been calibrated locally. See R1. Reference. ","")&amp;IF(AND(ISNUMBER($O215),$O215=0,ISNUMBER($E215)),"Section lies entirely below the reference depth — it counts to the full-profile stock only. ",""))</f>
        <v/>
      </c>
      <c r="U215" s="14"/>
    </row>
    <row r="216" spans="1:21" ht="15.75" customHeight="1">
      <c r="A216" s="14"/>
      <c r="B216" s="14"/>
      <c r="C216" s="14"/>
      <c r="D216" s="14"/>
      <c r="E216" s="14"/>
      <c r="F216" s="14"/>
      <c r="G216" s="14" t="str">
        <f t="shared" si="20"/>
        <v/>
      </c>
      <c r="H216" s="14"/>
      <c r="I216" s="14"/>
      <c r="J216" s="24"/>
      <c r="K216" s="24"/>
      <c r="L216" s="24"/>
      <c r="M216" s="24"/>
      <c r="N216" s="16" t="str">
        <f t="shared" si="24"/>
        <v/>
      </c>
      <c r="O216" s="16" t="str">
        <f t="shared" si="21"/>
        <v/>
      </c>
      <c r="P216" s="16" t="str">
        <f t="shared" si="22"/>
        <v/>
      </c>
      <c r="Q216" s="16" t="str">
        <f t="shared" si="23"/>
        <v/>
      </c>
      <c r="R216" s="16">
        <f t="shared" si="25"/>
        <v>0</v>
      </c>
      <c r="S216" s="16" t="str">
        <f>IF(OR($B216="",NOT(ISNUMBER($F216))),"",SUMIFS(community_cores_FS!$P$5:$P$597,community_cores_FS!$B$5:$B$597,$B216,community_cores_FS!$F$5:$F$597,"&lt;="&amp;$F216))</f>
        <v/>
      </c>
      <c r="T216" s="16" t="str">
        <f>IF(AND($A216="",$B216="",$E216=""),"",IF(AND($B216&lt;&gt;"",COUNTIF('2. Core Log'!$A$5:$A$124,$B216)=0),"Core ID not in Core Log. ","")&amp;IF(AND($A216&lt;&gt;"",COUNTIF('1. Plot &amp; Site Log'!$A$5:$A$64,$A216)=0),"Plot ID not in Plot &amp; Site Log. ","")&amp;IF(AND(ISNUMBER($E216),ISNUMBER($F216),$F216&lt;=$E216),"Bottom depth is not below top depth. ","")&amp;IF($I216="","Say which bulk-density basis the lab reported. ","")&amp;IF(AND(ISNUMBER($J216),OR($J216&lt;QC_BD_MIN,$J216&gt;QC_BD_MAX)),"Bulk density outside "&amp;QC_BD_MIN&amp;"–"&amp;QC_BD_MAX&amp;" g/cm³ for peat. Above the top of that range usually means the mineral contact has been passed. ","")&amp;IF(AND(ISNUMBER($N216),$N216&gt;QC_CARBON_PCT_MAX),"Carbon above "&amp;QC_CARBON_PCT_MAX&amp;"% — check units; this may be organic matter rather than carbon. ","")&amp;IF(AND($L216&lt;&gt;"",$M216&lt;&gt;""),"Both LOI and measured carbon given — the measured value is used. ","")&amp;IF(AND($M216="",$L216&lt;&gt;"",OM_FACTOR_IS_LOCAL&lt;&gt;"Yes"),"Carbon derived from LOI using the default factor of "&amp;CARBON_FRACTION_OM&amp;", which has not been calibrated locally. See R1. Reference. ","")&amp;IF(AND(ISNUMBER($O216),$O216=0,ISNUMBER($E216)),"Section lies entirely below the reference depth — it counts to the full-profile stock only. ",""))</f>
        <v/>
      </c>
      <c r="U216" s="14"/>
    </row>
    <row r="217" spans="1:21" ht="15.75" customHeight="1">
      <c r="A217" s="14"/>
      <c r="B217" s="14"/>
      <c r="C217" s="14"/>
      <c r="D217" s="14"/>
      <c r="E217" s="14"/>
      <c r="F217" s="14"/>
      <c r="G217" s="14" t="str">
        <f t="shared" si="20"/>
        <v/>
      </c>
      <c r="H217" s="14"/>
      <c r="I217" s="14"/>
      <c r="J217" s="24"/>
      <c r="K217" s="24"/>
      <c r="L217" s="24"/>
      <c r="M217" s="24"/>
      <c r="N217" s="16" t="str">
        <f t="shared" si="24"/>
        <v/>
      </c>
      <c r="O217" s="16" t="str">
        <f t="shared" si="21"/>
        <v/>
      </c>
      <c r="P217" s="16" t="str">
        <f t="shared" si="22"/>
        <v/>
      </c>
      <c r="Q217" s="16" t="str">
        <f t="shared" si="23"/>
        <v/>
      </c>
      <c r="R217" s="16">
        <f t="shared" si="25"/>
        <v>0</v>
      </c>
      <c r="S217" s="16" t="str">
        <f>IF(OR($B217="",NOT(ISNUMBER($F217))),"",SUMIFS(community_cores_FS!$P$5:$P$597,community_cores_FS!$B$5:$B$597,$B217,community_cores_FS!$F$5:$F$597,"&lt;="&amp;$F217))</f>
        <v/>
      </c>
      <c r="T217" s="16" t="str">
        <f>IF(AND($A217="",$B217="",$E217=""),"",IF(AND($B217&lt;&gt;"",COUNTIF('2. Core Log'!$A$5:$A$124,$B217)=0),"Core ID not in Core Log. ","")&amp;IF(AND($A217&lt;&gt;"",COUNTIF('1. Plot &amp; Site Log'!$A$5:$A$64,$A217)=0),"Plot ID not in Plot &amp; Site Log. ","")&amp;IF(AND(ISNUMBER($E217),ISNUMBER($F217),$F217&lt;=$E217),"Bottom depth is not below top depth. ","")&amp;IF($I217="","Say which bulk-density basis the lab reported. ","")&amp;IF(AND(ISNUMBER($J217),OR($J217&lt;QC_BD_MIN,$J217&gt;QC_BD_MAX)),"Bulk density outside "&amp;QC_BD_MIN&amp;"–"&amp;QC_BD_MAX&amp;" g/cm³ for peat. Above the top of that range usually means the mineral contact has been passed. ","")&amp;IF(AND(ISNUMBER($N217),$N217&gt;QC_CARBON_PCT_MAX),"Carbon above "&amp;QC_CARBON_PCT_MAX&amp;"% — check units; this may be organic matter rather than carbon. ","")&amp;IF(AND($L217&lt;&gt;"",$M217&lt;&gt;""),"Both LOI and measured carbon given — the measured value is used. ","")&amp;IF(AND($M217="",$L217&lt;&gt;"",OM_FACTOR_IS_LOCAL&lt;&gt;"Yes"),"Carbon derived from LOI using the default factor of "&amp;CARBON_FRACTION_OM&amp;", which has not been calibrated locally. See R1. Reference. ","")&amp;IF(AND(ISNUMBER($O217),$O217=0,ISNUMBER($E217)),"Section lies entirely below the reference depth — it counts to the full-profile stock only. ",""))</f>
        <v/>
      </c>
      <c r="U217" s="14"/>
    </row>
    <row r="218" spans="1:21" ht="15.75" customHeight="1">
      <c r="A218" s="14"/>
      <c r="B218" s="14"/>
      <c r="C218" s="14"/>
      <c r="D218" s="14"/>
      <c r="E218" s="14"/>
      <c r="F218" s="14"/>
      <c r="G218" s="14" t="str">
        <f t="shared" si="20"/>
        <v/>
      </c>
      <c r="H218" s="14"/>
      <c r="I218" s="14"/>
      <c r="J218" s="24"/>
      <c r="K218" s="24"/>
      <c r="L218" s="24"/>
      <c r="M218" s="24"/>
      <c r="N218" s="16" t="str">
        <f t="shared" si="24"/>
        <v/>
      </c>
      <c r="O218" s="16" t="str">
        <f t="shared" si="21"/>
        <v/>
      </c>
      <c r="P218" s="16" t="str">
        <f t="shared" si="22"/>
        <v/>
      </c>
      <c r="Q218" s="16" t="str">
        <f t="shared" si="23"/>
        <v/>
      </c>
      <c r="R218" s="16">
        <f t="shared" si="25"/>
        <v>0</v>
      </c>
      <c r="S218" s="16" t="str">
        <f>IF(OR($B218="",NOT(ISNUMBER($F218))),"",SUMIFS(community_cores_FS!$P$5:$P$597,community_cores_FS!$B$5:$B$597,$B218,community_cores_FS!$F$5:$F$597,"&lt;="&amp;$F218))</f>
        <v/>
      </c>
      <c r="T218" s="16" t="str">
        <f>IF(AND($A218="",$B218="",$E218=""),"",IF(AND($B218&lt;&gt;"",COUNTIF('2. Core Log'!$A$5:$A$124,$B218)=0),"Core ID not in Core Log. ","")&amp;IF(AND($A218&lt;&gt;"",COUNTIF('1. Plot &amp; Site Log'!$A$5:$A$64,$A218)=0),"Plot ID not in Plot &amp; Site Log. ","")&amp;IF(AND(ISNUMBER($E218),ISNUMBER($F218),$F218&lt;=$E218),"Bottom depth is not below top depth. ","")&amp;IF($I218="","Say which bulk-density basis the lab reported. ","")&amp;IF(AND(ISNUMBER($J218),OR($J218&lt;QC_BD_MIN,$J218&gt;QC_BD_MAX)),"Bulk density outside "&amp;QC_BD_MIN&amp;"–"&amp;QC_BD_MAX&amp;" g/cm³ for peat. Above the top of that range usually means the mineral contact has been passed. ","")&amp;IF(AND(ISNUMBER($N218),$N218&gt;QC_CARBON_PCT_MAX),"Carbon above "&amp;QC_CARBON_PCT_MAX&amp;"% — check units; this may be organic matter rather than carbon. ","")&amp;IF(AND($L218&lt;&gt;"",$M218&lt;&gt;""),"Both LOI and measured carbon given — the measured value is used. ","")&amp;IF(AND($M218="",$L218&lt;&gt;"",OM_FACTOR_IS_LOCAL&lt;&gt;"Yes"),"Carbon derived from LOI using the default factor of "&amp;CARBON_FRACTION_OM&amp;", which has not been calibrated locally. See R1. Reference. ","")&amp;IF(AND(ISNUMBER($O218),$O218=0,ISNUMBER($E218)),"Section lies entirely below the reference depth — it counts to the full-profile stock only. ",""))</f>
        <v/>
      </c>
      <c r="U218" s="14"/>
    </row>
    <row r="219" spans="1:21" ht="15.75" customHeight="1">
      <c r="A219" s="14"/>
      <c r="B219" s="14"/>
      <c r="C219" s="14"/>
      <c r="D219" s="14"/>
      <c r="E219" s="14"/>
      <c r="F219" s="14"/>
      <c r="G219" s="14" t="str">
        <f t="shared" ref="G219:G282" si="26">IF(OR($E219="",$F219=""),"",$F219-$E219)</f>
        <v/>
      </c>
      <c r="H219" s="14"/>
      <c r="I219" s="14"/>
      <c r="J219" s="24"/>
      <c r="K219" s="24"/>
      <c r="L219" s="24"/>
      <c r="M219" s="24"/>
      <c r="N219" s="16" t="str">
        <f t="shared" si="24"/>
        <v/>
      </c>
      <c r="O219" s="16" t="str">
        <f t="shared" ref="O219:O282" si="27">IF(OR($E219="",$F219=""),"",MAX(0,MIN($F219,REFERENCE_DEPTH_CM)-MIN($E219,REFERENCE_DEPTH_CM)))</f>
        <v/>
      </c>
      <c r="P219" s="16" t="str">
        <f t="shared" ref="P219:P282" si="28">IF(OR($J219="",$N219="",$G219=""),"",$J219*($N219/100)*$G219*10)</f>
        <v/>
      </c>
      <c r="Q219" s="16" t="str">
        <f t="shared" ref="Q219:Q282" si="29">IF(OR($J219="",$N219="",$O219=""),"",$J219*($N219/100)*$O219*10)</f>
        <v/>
      </c>
      <c r="R219" s="16">
        <f t="shared" si="25"/>
        <v>0</v>
      </c>
      <c r="S219" s="16" t="str">
        <f>IF(OR($B219="",NOT(ISNUMBER($F219))),"",SUMIFS(community_cores_FS!$P$5:$P$597,community_cores_FS!$B$5:$B$597,$B219,community_cores_FS!$F$5:$F$597,"&lt;="&amp;$F219))</f>
        <v/>
      </c>
      <c r="T219" s="16" t="str">
        <f>IF(AND($A219="",$B219="",$E219=""),"",IF(AND($B219&lt;&gt;"",COUNTIF('2. Core Log'!$A$5:$A$124,$B219)=0),"Core ID not in Core Log. ","")&amp;IF(AND($A219&lt;&gt;"",COUNTIF('1. Plot &amp; Site Log'!$A$5:$A$64,$A219)=0),"Plot ID not in Plot &amp; Site Log. ","")&amp;IF(AND(ISNUMBER($E219),ISNUMBER($F219),$F219&lt;=$E219),"Bottom depth is not below top depth. ","")&amp;IF($I219="","Say which bulk-density basis the lab reported. ","")&amp;IF(AND(ISNUMBER($J219),OR($J219&lt;QC_BD_MIN,$J219&gt;QC_BD_MAX)),"Bulk density outside "&amp;QC_BD_MIN&amp;"–"&amp;QC_BD_MAX&amp;" g/cm³ for peat. Above the top of that range usually means the mineral contact has been passed. ","")&amp;IF(AND(ISNUMBER($N219),$N219&gt;QC_CARBON_PCT_MAX),"Carbon above "&amp;QC_CARBON_PCT_MAX&amp;"% — check units; this may be organic matter rather than carbon. ","")&amp;IF(AND($L219&lt;&gt;"",$M219&lt;&gt;""),"Both LOI and measured carbon given — the measured value is used. ","")&amp;IF(AND($M219="",$L219&lt;&gt;"",OM_FACTOR_IS_LOCAL&lt;&gt;"Yes"),"Carbon derived from LOI using the default factor of "&amp;CARBON_FRACTION_OM&amp;", which has not been calibrated locally. See R1. Reference. ","")&amp;IF(AND(ISNUMBER($O219),$O219=0,ISNUMBER($E219)),"Section lies entirely below the reference depth — it counts to the full-profile stock only. ",""))</f>
        <v/>
      </c>
      <c r="U219" s="14"/>
    </row>
    <row r="220" spans="1:21" ht="15.75" customHeight="1">
      <c r="A220" s="14"/>
      <c r="B220" s="14"/>
      <c r="C220" s="14"/>
      <c r="D220" s="14"/>
      <c r="E220" s="14"/>
      <c r="F220" s="14"/>
      <c r="G220" s="14" t="str">
        <f t="shared" si="26"/>
        <v/>
      </c>
      <c r="H220" s="14"/>
      <c r="I220" s="14"/>
      <c r="J220" s="24"/>
      <c r="K220" s="24"/>
      <c r="L220" s="24"/>
      <c r="M220" s="24"/>
      <c r="N220" s="16" t="str">
        <f t="shared" si="24"/>
        <v/>
      </c>
      <c r="O220" s="16" t="str">
        <f t="shared" si="27"/>
        <v/>
      </c>
      <c r="P220" s="16" t="str">
        <f t="shared" si="28"/>
        <v/>
      </c>
      <c r="Q220" s="16" t="str">
        <f t="shared" si="29"/>
        <v/>
      </c>
      <c r="R220" s="16">
        <f t="shared" si="25"/>
        <v>0</v>
      </c>
      <c r="S220" s="16" t="str">
        <f>IF(OR($B220="",NOT(ISNUMBER($F220))),"",SUMIFS(community_cores_FS!$P$5:$P$597,community_cores_FS!$B$5:$B$597,$B220,community_cores_FS!$F$5:$F$597,"&lt;="&amp;$F220))</f>
        <v/>
      </c>
      <c r="T220" s="16" t="str">
        <f>IF(AND($A220="",$B220="",$E220=""),"",IF(AND($B220&lt;&gt;"",COUNTIF('2. Core Log'!$A$5:$A$124,$B220)=0),"Core ID not in Core Log. ","")&amp;IF(AND($A220&lt;&gt;"",COUNTIF('1. Plot &amp; Site Log'!$A$5:$A$64,$A220)=0),"Plot ID not in Plot &amp; Site Log. ","")&amp;IF(AND(ISNUMBER($E220),ISNUMBER($F220),$F220&lt;=$E220),"Bottom depth is not below top depth. ","")&amp;IF($I220="","Say which bulk-density basis the lab reported. ","")&amp;IF(AND(ISNUMBER($J220),OR($J220&lt;QC_BD_MIN,$J220&gt;QC_BD_MAX)),"Bulk density outside "&amp;QC_BD_MIN&amp;"–"&amp;QC_BD_MAX&amp;" g/cm³ for peat. Above the top of that range usually means the mineral contact has been passed. ","")&amp;IF(AND(ISNUMBER($N220),$N220&gt;QC_CARBON_PCT_MAX),"Carbon above "&amp;QC_CARBON_PCT_MAX&amp;"% — check units; this may be organic matter rather than carbon. ","")&amp;IF(AND($L220&lt;&gt;"",$M220&lt;&gt;""),"Both LOI and measured carbon given — the measured value is used. ","")&amp;IF(AND($M220="",$L220&lt;&gt;"",OM_FACTOR_IS_LOCAL&lt;&gt;"Yes"),"Carbon derived from LOI using the default factor of "&amp;CARBON_FRACTION_OM&amp;", which has not been calibrated locally. See R1. Reference. ","")&amp;IF(AND(ISNUMBER($O220),$O220=0,ISNUMBER($E220)),"Section lies entirely below the reference depth — it counts to the full-profile stock only. ",""))</f>
        <v/>
      </c>
      <c r="U220" s="14"/>
    </row>
    <row r="221" spans="1:21" ht="15.75" customHeight="1">
      <c r="A221" s="14"/>
      <c r="B221" s="14"/>
      <c r="C221" s="14"/>
      <c r="D221" s="14"/>
      <c r="E221" s="14"/>
      <c r="F221" s="14"/>
      <c r="G221" s="14" t="str">
        <f t="shared" si="26"/>
        <v/>
      </c>
      <c r="H221" s="14"/>
      <c r="I221" s="14"/>
      <c r="J221" s="24"/>
      <c r="K221" s="24"/>
      <c r="L221" s="24"/>
      <c r="M221" s="24"/>
      <c r="N221" s="16" t="str">
        <f t="shared" si="24"/>
        <v/>
      </c>
      <c r="O221" s="16" t="str">
        <f t="shared" si="27"/>
        <v/>
      </c>
      <c r="P221" s="16" t="str">
        <f t="shared" si="28"/>
        <v/>
      </c>
      <c r="Q221" s="16" t="str">
        <f t="shared" si="29"/>
        <v/>
      </c>
      <c r="R221" s="16">
        <f t="shared" si="25"/>
        <v>0</v>
      </c>
      <c r="S221" s="16" t="str">
        <f>IF(OR($B221="",NOT(ISNUMBER($F221))),"",SUMIFS(community_cores_FS!$P$5:$P$597,community_cores_FS!$B$5:$B$597,$B221,community_cores_FS!$F$5:$F$597,"&lt;="&amp;$F221))</f>
        <v/>
      </c>
      <c r="T221" s="16" t="str">
        <f>IF(AND($A221="",$B221="",$E221=""),"",IF(AND($B221&lt;&gt;"",COUNTIF('2. Core Log'!$A$5:$A$124,$B221)=0),"Core ID not in Core Log. ","")&amp;IF(AND($A221&lt;&gt;"",COUNTIF('1. Plot &amp; Site Log'!$A$5:$A$64,$A221)=0),"Plot ID not in Plot &amp; Site Log. ","")&amp;IF(AND(ISNUMBER($E221),ISNUMBER($F221),$F221&lt;=$E221),"Bottom depth is not below top depth. ","")&amp;IF($I221="","Say which bulk-density basis the lab reported. ","")&amp;IF(AND(ISNUMBER($J221),OR($J221&lt;QC_BD_MIN,$J221&gt;QC_BD_MAX)),"Bulk density outside "&amp;QC_BD_MIN&amp;"–"&amp;QC_BD_MAX&amp;" g/cm³ for peat. Above the top of that range usually means the mineral contact has been passed. ","")&amp;IF(AND(ISNUMBER($N221),$N221&gt;QC_CARBON_PCT_MAX),"Carbon above "&amp;QC_CARBON_PCT_MAX&amp;"% — check units; this may be organic matter rather than carbon. ","")&amp;IF(AND($L221&lt;&gt;"",$M221&lt;&gt;""),"Both LOI and measured carbon given — the measured value is used. ","")&amp;IF(AND($M221="",$L221&lt;&gt;"",OM_FACTOR_IS_LOCAL&lt;&gt;"Yes"),"Carbon derived from LOI using the default factor of "&amp;CARBON_FRACTION_OM&amp;", which has not been calibrated locally. See R1. Reference. ","")&amp;IF(AND(ISNUMBER($O221),$O221=0,ISNUMBER($E221)),"Section lies entirely below the reference depth — it counts to the full-profile stock only. ",""))</f>
        <v/>
      </c>
      <c r="U221" s="14"/>
    </row>
    <row r="222" spans="1:21" ht="15.75" customHeight="1">
      <c r="A222" s="14"/>
      <c r="B222" s="14"/>
      <c r="C222" s="14"/>
      <c r="D222" s="14"/>
      <c r="E222" s="14"/>
      <c r="F222" s="14"/>
      <c r="G222" s="14" t="str">
        <f t="shared" si="26"/>
        <v/>
      </c>
      <c r="H222" s="14"/>
      <c r="I222" s="14"/>
      <c r="J222" s="24"/>
      <c r="K222" s="24"/>
      <c r="L222" s="24"/>
      <c r="M222" s="24"/>
      <c r="N222" s="16" t="str">
        <f t="shared" si="24"/>
        <v/>
      </c>
      <c r="O222" s="16" t="str">
        <f t="shared" si="27"/>
        <v/>
      </c>
      <c r="P222" s="16" t="str">
        <f t="shared" si="28"/>
        <v/>
      </c>
      <c r="Q222" s="16" t="str">
        <f t="shared" si="29"/>
        <v/>
      </c>
      <c r="R222" s="16">
        <f t="shared" si="25"/>
        <v>0</v>
      </c>
      <c r="S222" s="16" t="str">
        <f>IF(OR($B222="",NOT(ISNUMBER($F222))),"",SUMIFS(community_cores_FS!$P$5:$P$597,community_cores_FS!$B$5:$B$597,$B222,community_cores_FS!$F$5:$F$597,"&lt;="&amp;$F222))</f>
        <v/>
      </c>
      <c r="T222" s="16" t="str">
        <f>IF(AND($A222="",$B222="",$E222=""),"",IF(AND($B222&lt;&gt;"",COUNTIF('2. Core Log'!$A$5:$A$124,$B222)=0),"Core ID not in Core Log. ","")&amp;IF(AND($A222&lt;&gt;"",COUNTIF('1. Plot &amp; Site Log'!$A$5:$A$64,$A222)=0),"Plot ID not in Plot &amp; Site Log. ","")&amp;IF(AND(ISNUMBER($E222),ISNUMBER($F222),$F222&lt;=$E222),"Bottom depth is not below top depth. ","")&amp;IF($I222="","Say which bulk-density basis the lab reported. ","")&amp;IF(AND(ISNUMBER($J222),OR($J222&lt;QC_BD_MIN,$J222&gt;QC_BD_MAX)),"Bulk density outside "&amp;QC_BD_MIN&amp;"–"&amp;QC_BD_MAX&amp;" g/cm³ for peat. Above the top of that range usually means the mineral contact has been passed. ","")&amp;IF(AND(ISNUMBER($N222),$N222&gt;QC_CARBON_PCT_MAX),"Carbon above "&amp;QC_CARBON_PCT_MAX&amp;"% — check units; this may be organic matter rather than carbon. ","")&amp;IF(AND($L222&lt;&gt;"",$M222&lt;&gt;""),"Both LOI and measured carbon given — the measured value is used. ","")&amp;IF(AND($M222="",$L222&lt;&gt;"",OM_FACTOR_IS_LOCAL&lt;&gt;"Yes"),"Carbon derived from LOI using the default factor of "&amp;CARBON_FRACTION_OM&amp;", which has not been calibrated locally. See R1. Reference. ","")&amp;IF(AND(ISNUMBER($O222),$O222=0,ISNUMBER($E222)),"Section lies entirely below the reference depth — it counts to the full-profile stock only. ",""))</f>
        <v/>
      </c>
      <c r="U222" s="14"/>
    </row>
    <row r="223" spans="1:21" ht="15.75" customHeight="1">
      <c r="A223" s="14"/>
      <c r="B223" s="14"/>
      <c r="C223" s="14"/>
      <c r="D223" s="14"/>
      <c r="E223" s="14"/>
      <c r="F223" s="14"/>
      <c r="G223" s="14" t="str">
        <f t="shared" si="26"/>
        <v/>
      </c>
      <c r="H223" s="14"/>
      <c r="I223" s="14"/>
      <c r="J223" s="24"/>
      <c r="K223" s="24"/>
      <c r="L223" s="24"/>
      <c r="M223" s="24"/>
      <c r="N223" s="16" t="str">
        <f t="shared" si="24"/>
        <v/>
      </c>
      <c r="O223" s="16" t="str">
        <f t="shared" si="27"/>
        <v/>
      </c>
      <c r="P223" s="16" t="str">
        <f t="shared" si="28"/>
        <v/>
      </c>
      <c r="Q223" s="16" t="str">
        <f t="shared" si="29"/>
        <v/>
      </c>
      <c r="R223" s="16">
        <f t="shared" si="25"/>
        <v>0</v>
      </c>
      <c r="S223" s="16" t="str">
        <f>IF(OR($B223="",NOT(ISNUMBER($F223))),"",SUMIFS(community_cores_FS!$P$5:$P$597,community_cores_FS!$B$5:$B$597,$B223,community_cores_FS!$F$5:$F$597,"&lt;="&amp;$F223))</f>
        <v/>
      </c>
      <c r="T223" s="16" t="str">
        <f>IF(AND($A223="",$B223="",$E223=""),"",IF(AND($B223&lt;&gt;"",COUNTIF('2. Core Log'!$A$5:$A$124,$B223)=0),"Core ID not in Core Log. ","")&amp;IF(AND($A223&lt;&gt;"",COUNTIF('1. Plot &amp; Site Log'!$A$5:$A$64,$A223)=0),"Plot ID not in Plot &amp; Site Log. ","")&amp;IF(AND(ISNUMBER($E223),ISNUMBER($F223),$F223&lt;=$E223),"Bottom depth is not below top depth. ","")&amp;IF($I223="","Say which bulk-density basis the lab reported. ","")&amp;IF(AND(ISNUMBER($J223),OR($J223&lt;QC_BD_MIN,$J223&gt;QC_BD_MAX)),"Bulk density outside "&amp;QC_BD_MIN&amp;"–"&amp;QC_BD_MAX&amp;" g/cm³ for peat. Above the top of that range usually means the mineral contact has been passed. ","")&amp;IF(AND(ISNUMBER($N223),$N223&gt;QC_CARBON_PCT_MAX),"Carbon above "&amp;QC_CARBON_PCT_MAX&amp;"% — check units; this may be organic matter rather than carbon. ","")&amp;IF(AND($L223&lt;&gt;"",$M223&lt;&gt;""),"Both LOI and measured carbon given — the measured value is used. ","")&amp;IF(AND($M223="",$L223&lt;&gt;"",OM_FACTOR_IS_LOCAL&lt;&gt;"Yes"),"Carbon derived from LOI using the default factor of "&amp;CARBON_FRACTION_OM&amp;", which has not been calibrated locally. See R1. Reference. ","")&amp;IF(AND(ISNUMBER($O223),$O223=0,ISNUMBER($E223)),"Section lies entirely below the reference depth — it counts to the full-profile stock only. ",""))</f>
        <v/>
      </c>
      <c r="U223" s="14"/>
    </row>
    <row r="224" spans="1:21" ht="15.75" customHeight="1">
      <c r="A224" s="14"/>
      <c r="B224" s="14"/>
      <c r="C224" s="14"/>
      <c r="D224" s="14"/>
      <c r="E224" s="14"/>
      <c r="F224" s="14"/>
      <c r="G224" s="14" t="str">
        <f t="shared" si="26"/>
        <v/>
      </c>
      <c r="H224" s="14"/>
      <c r="I224" s="14"/>
      <c r="J224" s="24"/>
      <c r="K224" s="24"/>
      <c r="L224" s="24"/>
      <c r="M224" s="24"/>
      <c r="N224" s="16" t="str">
        <f t="shared" si="24"/>
        <v/>
      </c>
      <c r="O224" s="16" t="str">
        <f t="shared" si="27"/>
        <v/>
      </c>
      <c r="P224" s="16" t="str">
        <f t="shared" si="28"/>
        <v/>
      </c>
      <c r="Q224" s="16" t="str">
        <f t="shared" si="29"/>
        <v/>
      </c>
      <c r="R224" s="16">
        <f t="shared" si="25"/>
        <v>0</v>
      </c>
      <c r="S224" s="16" t="str">
        <f>IF(OR($B224="",NOT(ISNUMBER($F224))),"",SUMIFS(community_cores_FS!$P$5:$P$597,community_cores_FS!$B$5:$B$597,$B224,community_cores_FS!$F$5:$F$597,"&lt;="&amp;$F224))</f>
        <v/>
      </c>
      <c r="T224" s="16" t="str">
        <f>IF(AND($A224="",$B224="",$E224=""),"",IF(AND($B224&lt;&gt;"",COUNTIF('2. Core Log'!$A$5:$A$124,$B224)=0),"Core ID not in Core Log. ","")&amp;IF(AND($A224&lt;&gt;"",COUNTIF('1. Plot &amp; Site Log'!$A$5:$A$64,$A224)=0),"Plot ID not in Plot &amp; Site Log. ","")&amp;IF(AND(ISNUMBER($E224),ISNUMBER($F224),$F224&lt;=$E224),"Bottom depth is not below top depth. ","")&amp;IF($I224="","Say which bulk-density basis the lab reported. ","")&amp;IF(AND(ISNUMBER($J224),OR($J224&lt;QC_BD_MIN,$J224&gt;QC_BD_MAX)),"Bulk density outside "&amp;QC_BD_MIN&amp;"–"&amp;QC_BD_MAX&amp;" g/cm³ for peat. Above the top of that range usually means the mineral contact has been passed. ","")&amp;IF(AND(ISNUMBER($N224),$N224&gt;QC_CARBON_PCT_MAX),"Carbon above "&amp;QC_CARBON_PCT_MAX&amp;"% — check units; this may be organic matter rather than carbon. ","")&amp;IF(AND($L224&lt;&gt;"",$M224&lt;&gt;""),"Both LOI and measured carbon given — the measured value is used. ","")&amp;IF(AND($M224="",$L224&lt;&gt;"",OM_FACTOR_IS_LOCAL&lt;&gt;"Yes"),"Carbon derived from LOI using the default factor of "&amp;CARBON_FRACTION_OM&amp;", which has not been calibrated locally. See R1. Reference. ","")&amp;IF(AND(ISNUMBER($O224),$O224=0,ISNUMBER($E224)),"Section lies entirely below the reference depth — it counts to the full-profile stock only. ",""))</f>
        <v/>
      </c>
      <c r="U224" s="14"/>
    </row>
    <row r="225" spans="1:21" ht="15.75" customHeight="1">
      <c r="A225" s="14"/>
      <c r="B225" s="14"/>
      <c r="C225" s="14"/>
      <c r="D225" s="14"/>
      <c r="E225" s="14"/>
      <c r="F225" s="14"/>
      <c r="G225" s="14" t="str">
        <f t="shared" si="26"/>
        <v/>
      </c>
      <c r="H225" s="14"/>
      <c r="I225" s="14"/>
      <c r="J225" s="24"/>
      <c r="K225" s="24"/>
      <c r="L225" s="24"/>
      <c r="M225" s="24"/>
      <c r="N225" s="16" t="str">
        <f t="shared" si="24"/>
        <v/>
      </c>
      <c r="O225" s="16" t="str">
        <f t="shared" si="27"/>
        <v/>
      </c>
      <c r="P225" s="16" t="str">
        <f t="shared" si="28"/>
        <v/>
      </c>
      <c r="Q225" s="16" t="str">
        <f t="shared" si="29"/>
        <v/>
      </c>
      <c r="R225" s="16">
        <f t="shared" si="25"/>
        <v>0</v>
      </c>
      <c r="S225" s="16" t="str">
        <f>IF(OR($B225="",NOT(ISNUMBER($F225))),"",SUMIFS(community_cores_FS!$P$5:$P$597,community_cores_FS!$B$5:$B$597,$B225,community_cores_FS!$F$5:$F$597,"&lt;="&amp;$F225))</f>
        <v/>
      </c>
      <c r="T225" s="16" t="str">
        <f>IF(AND($A225="",$B225="",$E225=""),"",IF(AND($B225&lt;&gt;"",COUNTIF('2. Core Log'!$A$5:$A$124,$B225)=0),"Core ID not in Core Log. ","")&amp;IF(AND($A225&lt;&gt;"",COUNTIF('1. Plot &amp; Site Log'!$A$5:$A$64,$A225)=0),"Plot ID not in Plot &amp; Site Log. ","")&amp;IF(AND(ISNUMBER($E225),ISNUMBER($F225),$F225&lt;=$E225),"Bottom depth is not below top depth. ","")&amp;IF($I225="","Say which bulk-density basis the lab reported. ","")&amp;IF(AND(ISNUMBER($J225),OR($J225&lt;QC_BD_MIN,$J225&gt;QC_BD_MAX)),"Bulk density outside "&amp;QC_BD_MIN&amp;"–"&amp;QC_BD_MAX&amp;" g/cm³ for peat. Above the top of that range usually means the mineral contact has been passed. ","")&amp;IF(AND(ISNUMBER($N225),$N225&gt;QC_CARBON_PCT_MAX),"Carbon above "&amp;QC_CARBON_PCT_MAX&amp;"% — check units; this may be organic matter rather than carbon. ","")&amp;IF(AND($L225&lt;&gt;"",$M225&lt;&gt;""),"Both LOI and measured carbon given — the measured value is used. ","")&amp;IF(AND($M225="",$L225&lt;&gt;"",OM_FACTOR_IS_LOCAL&lt;&gt;"Yes"),"Carbon derived from LOI using the default factor of "&amp;CARBON_FRACTION_OM&amp;", which has not been calibrated locally. See R1. Reference. ","")&amp;IF(AND(ISNUMBER($O225),$O225=0,ISNUMBER($E225)),"Section lies entirely below the reference depth — it counts to the full-profile stock only. ",""))</f>
        <v/>
      </c>
      <c r="U225" s="14"/>
    </row>
    <row r="226" spans="1:21" ht="15.75" customHeight="1">
      <c r="A226" s="14"/>
      <c r="B226" s="14"/>
      <c r="C226" s="14"/>
      <c r="D226" s="14"/>
      <c r="E226" s="14"/>
      <c r="F226" s="14"/>
      <c r="G226" s="14" t="str">
        <f t="shared" si="26"/>
        <v/>
      </c>
      <c r="H226" s="14"/>
      <c r="I226" s="14"/>
      <c r="J226" s="24"/>
      <c r="K226" s="24"/>
      <c r="L226" s="24"/>
      <c r="M226" s="24"/>
      <c r="N226" s="16" t="str">
        <f t="shared" si="24"/>
        <v/>
      </c>
      <c r="O226" s="16" t="str">
        <f t="shared" si="27"/>
        <v/>
      </c>
      <c r="P226" s="16" t="str">
        <f t="shared" si="28"/>
        <v/>
      </c>
      <c r="Q226" s="16" t="str">
        <f t="shared" si="29"/>
        <v/>
      </c>
      <c r="R226" s="16">
        <f t="shared" si="25"/>
        <v>0</v>
      </c>
      <c r="S226" s="16" t="str">
        <f>IF(OR($B226="",NOT(ISNUMBER($F226))),"",SUMIFS(community_cores_FS!$P$5:$P$597,community_cores_FS!$B$5:$B$597,$B226,community_cores_FS!$F$5:$F$597,"&lt;="&amp;$F226))</f>
        <v/>
      </c>
      <c r="T226" s="16" t="str">
        <f>IF(AND($A226="",$B226="",$E226=""),"",IF(AND($B226&lt;&gt;"",COUNTIF('2. Core Log'!$A$5:$A$124,$B226)=0),"Core ID not in Core Log. ","")&amp;IF(AND($A226&lt;&gt;"",COUNTIF('1. Plot &amp; Site Log'!$A$5:$A$64,$A226)=0),"Plot ID not in Plot &amp; Site Log. ","")&amp;IF(AND(ISNUMBER($E226),ISNUMBER($F226),$F226&lt;=$E226),"Bottom depth is not below top depth. ","")&amp;IF($I226="","Say which bulk-density basis the lab reported. ","")&amp;IF(AND(ISNUMBER($J226),OR($J226&lt;QC_BD_MIN,$J226&gt;QC_BD_MAX)),"Bulk density outside "&amp;QC_BD_MIN&amp;"–"&amp;QC_BD_MAX&amp;" g/cm³ for peat. Above the top of that range usually means the mineral contact has been passed. ","")&amp;IF(AND(ISNUMBER($N226),$N226&gt;QC_CARBON_PCT_MAX),"Carbon above "&amp;QC_CARBON_PCT_MAX&amp;"% — check units; this may be organic matter rather than carbon. ","")&amp;IF(AND($L226&lt;&gt;"",$M226&lt;&gt;""),"Both LOI and measured carbon given — the measured value is used. ","")&amp;IF(AND($M226="",$L226&lt;&gt;"",OM_FACTOR_IS_LOCAL&lt;&gt;"Yes"),"Carbon derived from LOI using the default factor of "&amp;CARBON_FRACTION_OM&amp;", which has not been calibrated locally. See R1. Reference. ","")&amp;IF(AND(ISNUMBER($O226),$O226=0,ISNUMBER($E226)),"Section lies entirely below the reference depth — it counts to the full-profile stock only. ",""))</f>
        <v/>
      </c>
      <c r="U226" s="14"/>
    </row>
    <row r="227" spans="1:21" ht="15.75" customHeight="1">
      <c r="A227" s="14"/>
      <c r="B227" s="14"/>
      <c r="C227" s="14"/>
      <c r="D227" s="14"/>
      <c r="E227" s="14"/>
      <c r="F227" s="14"/>
      <c r="G227" s="14" t="str">
        <f t="shared" si="26"/>
        <v/>
      </c>
      <c r="H227" s="14"/>
      <c r="I227" s="14"/>
      <c r="J227" s="24"/>
      <c r="K227" s="24"/>
      <c r="L227" s="24"/>
      <c r="M227" s="24"/>
      <c r="N227" s="16" t="str">
        <f t="shared" si="24"/>
        <v/>
      </c>
      <c r="O227" s="16" t="str">
        <f t="shared" si="27"/>
        <v/>
      </c>
      <c r="P227" s="16" t="str">
        <f t="shared" si="28"/>
        <v/>
      </c>
      <c r="Q227" s="16" t="str">
        <f t="shared" si="29"/>
        <v/>
      </c>
      <c r="R227" s="16">
        <f t="shared" si="25"/>
        <v>0</v>
      </c>
      <c r="S227" s="16" t="str">
        <f>IF(OR($B227="",NOT(ISNUMBER($F227))),"",SUMIFS(community_cores_FS!$P$5:$P$597,community_cores_FS!$B$5:$B$597,$B227,community_cores_FS!$F$5:$F$597,"&lt;="&amp;$F227))</f>
        <v/>
      </c>
      <c r="T227" s="16" t="str">
        <f>IF(AND($A227="",$B227="",$E227=""),"",IF(AND($B227&lt;&gt;"",COUNTIF('2. Core Log'!$A$5:$A$124,$B227)=0),"Core ID not in Core Log. ","")&amp;IF(AND($A227&lt;&gt;"",COUNTIF('1. Plot &amp; Site Log'!$A$5:$A$64,$A227)=0),"Plot ID not in Plot &amp; Site Log. ","")&amp;IF(AND(ISNUMBER($E227),ISNUMBER($F227),$F227&lt;=$E227),"Bottom depth is not below top depth. ","")&amp;IF($I227="","Say which bulk-density basis the lab reported. ","")&amp;IF(AND(ISNUMBER($J227),OR($J227&lt;QC_BD_MIN,$J227&gt;QC_BD_MAX)),"Bulk density outside "&amp;QC_BD_MIN&amp;"–"&amp;QC_BD_MAX&amp;" g/cm³ for peat. Above the top of that range usually means the mineral contact has been passed. ","")&amp;IF(AND(ISNUMBER($N227),$N227&gt;QC_CARBON_PCT_MAX),"Carbon above "&amp;QC_CARBON_PCT_MAX&amp;"% — check units; this may be organic matter rather than carbon. ","")&amp;IF(AND($L227&lt;&gt;"",$M227&lt;&gt;""),"Both LOI and measured carbon given — the measured value is used. ","")&amp;IF(AND($M227="",$L227&lt;&gt;"",OM_FACTOR_IS_LOCAL&lt;&gt;"Yes"),"Carbon derived from LOI using the default factor of "&amp;CARBON_FRACTION_OM&amp;", which has not been calibrated locally. See R1. Reference. ","")&amp;IF(AND(ISNUMBER($O227),$O227=0,ISNUMBER($E227)),"Section lies entirely below the reference depth — it counts to the full-profile stock only. ",""))</f>
        <v/>
      </c>
      <c r="U227" s="14"/>
    </row>
    <row r="228" spans="1:21" ht="15.75" customHeight="1">
      <c r="A228" s="14"/>
      <c r="B228" s="14"/>
      <c r="C228" s="14"/>
      <c r="D228" s="14"/>
      <c r="E228" s="14"/>
      <c r="F228" s="14"/>
      <c r="G228" s="14" t="str">
        <f t="shared" si="26"/>
        <v/>
      </c>
      <c r="H228" s="14"/>
      <c r="I228" s="14"/>
      <c r="J228" s="24"/>
      <c r="K228" s="24"/>
      <c r="L228" s="24"/>
      <c r="M228" s="24"/>
      <c r="N228" s="16" t="str">
        <f t="shared" si="24"/>
        <v/>
      </c>
      <c r="O228" s="16" t="str">
        <f t="shared" si="27"/>
        <v/>
      </c>
      <c r="P228" s="16" t="str">
        <f t="shared" si="28"/>
        <v/>
      </c>
      <c r="Q228" s="16" t="str">
        <f t="shared" si="29"/>
        <v/>
      </c>
      <c r="R228" s="16">
        <f t="shared" si="25"/>
        <v>0</v>
      </c>
      <c r="S228" s="16" t="str">
        <f>IF(OR($B228="",NOT(ISNUMBER($F228))),"",SUMIFS(community_cores_FS!$P$5:$P$597,community_cores_FS!$B$5:$B$597,$B228,community_cores_FS!$F$5:$F$597,"&lt;="&amp;$F228))</f>
        <v/>
      </c>
      <c r="T228" s="16" t="str">
        <f>IF(AND($A228="",$B228="",$E228=""),"",IF(AND($B228&lt;&gt;"",COUNTIF('2. Core Log'!$A$5:$A$124,$B228)=0),"Core ID not in Core Log. ","")&amp;IF(AND($A228&lt;&gt;"",COUNTIF('1. Plot &amp; Site Log'!$A$5:$A$64,$A228)=0),"Plot ID not in Plot &amp; Site Log. ","")&amp;IF(AND(ISNUMBER($E228),ISNUMBER($F228),$F228&lt;=$E228),"Bottom depth is not below top depth. ","")&amp;IF($I228="","Say which bulk-density basis the lab reported. ","")&amp;IF(AND(ISNUMBER($J228),OR($J228&lt;QC_BD_MIN,$J228&gt;QC_BD_MAX)),"Bulk density outside "&amp;QC_BD_MIN&amp;"–"&amp;QC_BD_MAX&amp;" g/cm³ for peat. Above the top of that range usually means the mineral contact has been passed. ","")&amp;IF(AND(ISNUMBER($N228),$N228&gt;QC_CARBON_PCT_MAX),"Carbon above "&amp;QC_CARBON_PCT_MAX&amp;"% — check units; this may be organic matter rather than carbon. ","")&amp;IF(AND($L228&lt;&gt;"",$M228&lt;&gt;""),"Both LOI and measured carbon given — the measured value is used. ","")&amp;IF(AND($M228="",$L228&lt;&gt;"",OM_FACTOR_IS_LOCAL&lt;&gt;"Yes"),"Carbon derived from LOI using the default factor of "&amp;CARBON_FRACTION_OM&amp;", which has not been calibrated locally. See R1. Reference. ","")&amp;IF(AND(ISNUMBER($O228),$O228=0,ISNUMBER($E228)),"Section lies entirely below the reference depth — it counts to the full-profile stock only. ",""))</f>
        <v/>
      </c>
      <c r="U228" s="14"/>
    </row>
    <row r="229" spans="1:21" ht="15.75" customHeight="1">
      <c r="A229" s="14"/>
      <c r="B229" s="14"/>
      <c r="C229" s="14"/>
      <c r="D229" s="14"/>
      <c r="E229" s="14"/>
      <c r="F229" s="14"/>
      <c r="G229" s="14" t="str">
        <f t="shared" si="26"/>
        <v/>
      </c>
      <c r="H229" s="14"/>
      <c r="I229" s="14"/>
      <c r="J229" s="24"/>
      <c r="K229" s="24"/>
      <c r="L229" s="24"/>
      <c r="M229" s="24"/>
      <c r="N229" s="16" t="str">
        <f t="shared" si="24"/>
        <v/>
      </c>
      <c r="O229" s="16" t="str">
        <f t="shared" si="27"/>
        <v/>
      </c>
      <c r="P229" s="16" t="str">
        <f t="shared" si="28"/>
        <v/>
      </c>
      <c r="Q229" s="16" t="str">
        <f t="shared" si="29"/>
        <v/>
      </c>
      <c r="R229" s="16">
        <f t="shared" si="25"/>
        <v>0</v>
      </c>
      <c r="S229" s="16" t="str">
        <f>IF(OR($B229="",NOT(ISNUMBER($F229))),"",SUMIFS(community_cores_FS!$P$5:$P$597,community_cores_FS!$B$5:$B$597,$B229,community_cores_FS!$F$5:$F$597,"&lt;="&amp;$F229))</f>
        <v/>
      </c>
      <c r="T229" s="16" t="str">
        <f>IF(AND($A229="",$B229="",$E229=""),"",IF(AND($B229&lt;&gt;"",COUNTIF('2. Core Log'!$A$5:$A$124,$B229)=0),"Core ID not in Core Log. ","")&amp;IF(AND($A229&lt;&gt;"",COUNTIF('1. Plot &amp; Site Log'!$A$5:$A$64,$A229)=0),"Plot ID not in Plot &amp; Site Log. ","")&amp;IF(AND(ISNUMBER($E229),ISNUMBER($F229),$F229&lt;=$E229),"Bottom depth is not below top depth. ","")&amp;IF($I229="","Say which bulk-density basis the lab reported. ","")&amp;IF(AND(ISNUMBER($J229),OR($J229&lt;QC_BD_MIN,$J229&gt;QC_BD_MAX)),"Bulk density outside "&amp;QC_BD_MIN&amp;"–"&amp;QC_BD_MAX&amp;" g/cm³ for peat. Above the top of that range usually means the mineral contact has been passed. ","")&amp;IF(AND(ISNUMBER($N229),$N229&gt;QC_CARBON_PCT_MAX),"Carbon above "&amp;QC_CARBON_PCT_MAX&amp;"% — check units; this may be organic matter rather than carbon. ","")&amp;IF(AND($L229&lt;&gt;"",$M229&lt;&gt;""),"Both LOI and measured carbon given — the measured value is used. ","")&amp;IF(AND($M229="",$L229&lt;&gt;"",OM_FACTOR_IS_LOCAL&lt;&gt;"Yes"),"Carbon derived from LOI using the default factor of "&amp;CARBON_FRACTION_OM&amp;", which has not been calibrated locally. See R1. Reference. ","")&amp;IF(AND(ISNUMBER($O229),$O229=0,ISNUMBER($E229)),"Section lies entirely below the reference depth — it counts to the full-profile stock only. ",""))</f>
        <v/>
      </c>
      <c r="U229" s="14"/>
    </row>
    <row r="230" spans="1:21" ht="15.75" customHeight="1">
      <c r="A230" s="14"/>
      <c r="B230" s="14"/>
      <c r="C230" s="14"/>
      <c r="D230" s="14"/>
      <c r="E230" s="14"/>
      <c r="F230" s="14"/>
      <c r="G230" s="14" t="str">
        <f t="shared" si="26"/>
        <v/>
      </c>
      <c r="H230" s="14"/>
      <c r="I230" s="14"/>
      <c r="J230" s="24"/>
      <c r="K230" s="24"/>
      <c r="L230" s="24"/>
      <c r="M230" s="24"/>
      <c r="N230" s="16" t="str">
        <f t="shared" si="24"/>
        <v/>
      </c>
      <c r="O230" s="16" t="str">
        <f t="shared" si="27"/>
        <v/>
      </c>
      <c r="P230" s="16" t="str">
        <f t="shared" si="28"/>
        <v/>
      </c>
      <c r="Q230" s="16" t="str">
        <f t="shared" si="29"/>
        <v/>
      </c>
      <c r="R230" s="16">
        <f t="shared" si="25"/>
        <v>0</v>
      </c>
      <c r="S230" s="16" t="str">
        <f>IF(OR($B230="",NOT(ISNUMBER($F230))),"",SUMIFS(community_cores_FS!$P$5:$P$597,community_cores_FS!$B$5:$B$597,$B230,community_cores_FS!$F$5:$F$597,"&lt;="&amp;$F230))</f>
        <v/>
      </c>
      <c r="T230" s="16" t="str">
        <f>IF(AND($A230="",$B230="",$E230=""),"",IF(AND($B230&lt;&gt;"",COUNTIF('2. Core Log'!$A$5:$A$124,$B230)=0),"Core ID not in Core Log. ","")&amp;IF(AND($A230&lt;&gt;"",COUNTIF('1. Plot &amp; Site Log'!$A$5:$A$64,$A230)=0),"Plot ID not in Plot &amp; Site Log. ","")&amp;IF(AND(ISNUMBER($E230),ISNUMBER($F230),$F230&lt;=$E230),"Bottom depth is not below top depth. ","")&amp;IF($I230="","Say which bulk-density basis the lab reported. ","")&amp;IF(AND(ISNUMBER($J230),OR($J230&lt;QC_BD_MIN,$J230&gt;QC_BD_MAX)),"Bulk density outside "&amp;QC_BD_MIN&amp;"–"&amp;QC_BD_MAX&amp;" g/cm³ for peat. Above the top of that range usually means the mineral contact has been passed. ","")&amp;IF(AND(ISNUMBER($N230),$N230&gt;QC_CARBON_PCT_MAX),"Carbon above "&amp;QC_CARBON_PCT_MAX&amp;"% — check units; this may be organic matter rather than carbon. ","")&amp;IF(AND($L230&lt;&gt;"",$M230&lt;&gt;""),"Both LOI and measured carbon given — the measured value is used. ","")&amp;IF(AND($M230="",$L230&lt;&gt;"",OM_FACTOR_IS_LOCAL&lt;&gt;"Yes"),"Carbon derived from LOI using the default factor of "&amp;CARBON_FRACTION_OM&amp;", which has not been calibrated locally. See R1. Reference. ","")&amp;IF(AND(ISNUMBER($O230),$O230=0,ISNUMBER($E230)),"Section lies entirely below the reference depth — it counts to the full-profile stock only. ",""))</f>
        <v/>
      </c>
      <c r="U230" s="14"/>
    </row>
    <row r="231" spans="1:21" ht="15.75" customHeight="1">
      <c r="A231" s="14"/>
      <c r="B231" s="14"/>
      <c r="C231" s="14"/>
      <c r="D231" s="14"/>
      <c r="E231" s="14"/>
      <c r="F231" s="14"/>
      <c r="G231" s="14" t="str">
        <f t="shared" si="26"/>
        <v/>
      </c>
      <c r="H231" s="14"/>
      <c r="I231" s="14"/>
      <c r="J231" s="24"/>
      <c r="K231" s="24"/>
      <c r="L231" s="24"/>
      <c r="M231" s="24"/>
      <c r="N231" s="16" t="str">
        <f t="shared" si="24"/>
        <v/>
      </c>
      <c r="O231" s="16" t="str">
        <f t="shared" si="27"/>
        <v/>
      </c>
      <c r="P231" s="16" t="str">
        <f t="shared" si="28"/>
        <v/>
      </c>
      <c r="Q231" s="16" t="str">
        <f t="shared" si="29"/>
        <v/>
      </c>
      <c r="R231" s="16">
        <f t="shared" si="25"/>
        <v>0</v>
      </c>
      <c r="S231" s="16" t="str">
        <f>IF(OR($B231="",NOT(ISNUMBER($F231))),"",SUMIFS(community_cores_FS!$P$5:$P$597,community_cores_FS!$B$5:$B$597,$B231,community_cores_FS!$F$5:$F$597,"&lt;="&amp;$F231))</f>
        <v/>
      </c>
      <c r="T231" s="16" t="str">
        <f>IF(AND($A231="",$B231="",$E231=""),"",IF(AND($B231&lt;&gt;"",COUNTIF('2. Core Log'!$A$5:$A$124,$B231)=0),"Core ID not in Core Log. ","")&amp;IF(AND($A231&lt;&gt;"",COUNTIF('1. Plot &amp; Site Log'!$A$5:$A$64,$A231)=0),"Plot ID not in Plot &amp; Site Log. ","")&amp;IF(AND(ISNUMBER($E231),ISNUMBER($F231),$F231&lt;=$E231),"Bottom depth is not below top depth. ","")&amp;IF($I231="","Say which bulk-density basis the lab reported. ","")&amp;IF(AND(ISNUMBER($J231),OR($J231&lt;QC_BD_MIN,$J231&gt;QC_BD_MAX)),"Bulk density outside "&amp;QC_BD_MIN&amp;"–"&amp;QC_BD_MAX&amp;" g/cm³ for peat. Above the top of that range usually means the mineral contact has been passed. ","")&amp;IF(AND(ISNUMBER($N231),$N231&gt;QC_CARBON_PCT_MAX),"Carbon above "&amp;QC_CARBON_PCT_MAX&amp;"% — check units; this may be organic matter rather than carbon. ","")&amp;IF(AND($L231&lt;&gt;"",$M231&lt;&gt;""),"Both LOI and measured carbon given — the measured value is used. ","")&amp;IF(AND($M231="",$L231&lt;&gt;"",OM_FACTOR_IS_LOCAL&lt;&gt;"Yes"),"Carbon derived from LOI using the default factor of "&amp;CARBON_FRACTION_OM&amp;", which has not been calibrated locally. See R1. Reference. ","")&amp;IF(AND(ISNUMBER($O231),$O231=0,ISNUMBER($E231)),"Section lies entirely below the reference depth — it counts to the full-profile stock only. ",""))</f>
        <v/>
      </c>
      <c r="U231" s="14"/>
    </row>
    <row r="232" spans="1:21" ht="15.75" customHeight="1">
      <c r="A232" s="14"/>
      <c r="B232" s="14"/>
      <c r="C232" s="14"/>
      <c r="D232" s="14"/>
      <c r="E232" s="14"/>
      <c r="F232" s="14"/>
      <c r="G232" s="14" t="str">
        <f t="shared" si="26"/>
        <v/>
      </c>
      <c r="H232" s="14"/>
      <c r="I232" s="14"/>
      <c r="J232" s="24"/>
      <c r="K232" s="24"/>
      <c r="L232" s="24"/>
      <c r="M232" s="24"/>
      <c r="N232" s="16" t="str">
        <f t="shared" si="24"/>
        <v/>
      </c>
      <c r="O232" s="16" t="str">
        <f t="shared" si="27"/>
        <v/>
      </c>
      <c r="P232" s="16" t="str">
        <f t="shared" si="28"/>
        <v/>
      </c>
      <c r="Q232" s="16" t="str">
        <f t="shared" si="29"/>
        <v/>
      </c>
      <c r="R232" s="16">
        <f t="shared" si="25"/>
        <v>0</v>
      </c>
      <c r="S232" s="16" t="str">
        <f>IF(OR($B232="",NOT(ISNUMBER($F232))),"",SUMIFS(community_cores_FS!$P$5:$P$597,community_cores_FS!$B$5:$B$597,$B232,community_cores_FS!$F$5:$F$597,"&lt;="&amp;$F232))</f>
        <v/>
      </c>
      <c r="T232" s="16" t="str">
        <f>IF(AND($A232="",$B232="",$E232=""),"",IF(AND($B232&lt;&gt;"",COUNTIF('2. Core Log'!$A$5:$A$124,$B232)=0),"Core ID not in Core Log. ","")&amp;IF(AND($A232&lt;&gt;"",COUNTIF('1. Plot &amp; Site Log'!$A$5:$A$64,$A232)=0),"Plot ID not in Plot &amp; Site Log. ","")&amp;IF(AND(ISNUMBER($E232),ISNUMBER($F232),$F232&lt;=$E232),"Bottom depth is not below top depth. ","")&amp;IF($I232="","Say which bulk-density basis the lab reported. ","")&amp;IF(AND(ISNUMBER($J232),OR($J232&lt;QC_BD_MIN,$J232&gt;QC_BD_MAX)),"Bulk density outside "&amp;QC_BD_MIN&amp;"–"&amp;QC_BD_MAX&amp;" g/cm³ for peat. Above the top of that range usually means the mineral contact has been passed. ","")&amp;IF(AND(ISNUMBER($N232),$N232&gt;QC_CARBON_PCT_MAX),"Carbon above "&amp;QC_CARBON_PCT_MAX&amp;"% — check units; this may be organic matter rather than carbon. ","")&amp;IF(AND($L232&lt;&gt;"",$M232&lt;&gt;""),"Both LOI and measured carbon given — the measured value is used. ","")&amp;IF(AND($M232="",$L232&lt;&gt;"",OM_FACTOR_IS_LOCAL&lt;&gt;"Yes"),"Carbon derived from LOI using the default factor of "&amp;CARBON_FRACTION_OM&amp;", which has not been calibrated locally. See R1. Reference. ","")&amp;IF(AND(ISNUMBER($O232),$O232=0,ISNUMBER($E232)),"Section lies entirely below the reference depth — it counts to the full-profile stock only. ",""))</f>
        <v/>
      </c>
      <c r="U232" s="14"/>
    </row>
    <row r="233" spans="1:21" ht="15.75" customHeight="1">
      <c r="A233" s="14"/>
      <c r="B233" s="14"/>
      <c r="C233" s="14"/>
      <c r="D233" s="14"/>
      <c r="E233" s="14"/>
      <c r="F233" s="14"/>
      <c r="G233" s="14" t="str">
        <f t="shared" si="26"/>
        <v/>
      </c>
      <c r="H233" s="14"/>
      <c r="I233" s="14"/>
      <c r="J233" s="24"/>
      <c r="K233" s="24"/>
      <c r="L233" s="24"/>
      <c r="M233" s="24"/>
      <c r="N233" s="16" t="str">
        <f t="shared" si="24"/>
        <v/>
      </c>
      <c r="O233" s="16" t="str">
        <f t="shared" si="27"/>
        <v/>
      </c>
      <c r="P233" s="16" t="str">
        <f t="shared" si="28"/>
        <v/>
      </c>
      <c r="Q233" s="16" t="str">
        <f t="shared" si="29"/>
        <v/>
      </c>
      <c r="R233" s="16">
        <f t="shared" si="25"/>
        <v>0</v>
      </c>
      <c r="S233" s="16" t="str">
        <f>IF(OR($B233="",NOT(ISNUMBER($F233))),"",SUMIFS(community_cores_FS!$P$5:$P$597,community_cores_FS!$B$5:$B$597,$B233,community_cores_FS!$F$5:$F$597,"&lt;="&amp;$F233))</f>
        <v/>
      </c>
      <c r="T233" s="16" t="str">
        <f>IF(AND($A233="",$B233="",$E233=""),"",IF(AND($B233&lt;&gt;"",COUNTIF('2. Core Log'!$A$5:$A$124,$B233)=0),"Core ID not in Core Log. ","")&amp;IF(AND($A233&lt;&gt;"",COUNTIF('1. Plot &amp; Site Log'!$A$5:$A$64,$A233)=0),"Plot ID not in Plot &amp; Site Log. ","")&amp;IF(AND(ISNUMBER($E233),ISNUMBER($F233),$F233&lt;=$E233),"Bottom depth is not below top depth. ","")&amp;IF($I233="","Say which bulk-density basis the lab reported. ","")&amp;IF(AND(ISNUMBER($J233),OR($J233&lt;QC_BD_MIN,$J233&gt;QC_BD_MAX)),"Bulk density outside "&amp;QC_BD_MIN&amp;"–"&amp;QC_BD_MAX&amp;" g/cm³ for peat. Above the top of that range usually means the mineral contact has been passed. ","")&amp;IF(AND(ISNUMBER($N233),$N233&gt;QC_CARBON_PCT_MAX),"Carbon above "&amp;QC_CARBON_PCT_MAX&amp;"% — check units; this may be organic matter rather than carbon. ","")&amp;IF(AND($L233&lt;&gt;"",$M233&lt;&gt;""),"Both LOI and measured carbon given — the measured value is used. ","")&amp;IF(AND($M233="",$L233&lt;&gt;"",OM_FACTOR_IS_LOCAL&lt;&gt;"Yes"),"Carbon derived from LOI using the default factor of "&amp;CARBON_FRACTION_OM&amp;", which has not been calibrated locally. See R1. Reference. ","")&amp;IF(AND(ISNUMBER($O233),$O233=0,ISNUMBER($E233)),"Section lies entirely below the reference depth — it counts to the full-profile stock only. ",""))</f>
        <v/>
      </c>
      <c r="U233" s="14"/>
    </row>
    <row r="234" spans="1:21" ht="15.75" customHeight="1">
      <c r="A234" s="14"/>
      <c r="B234" s="14"/>
      <c r="C234" s="14"/>
      <c r="D234" s="14"/>
      <c r="E234" s="14"/>
      <c r="F234" s="14"/>
      <c r="G234" s="14" t="str">
        <f t="shared" si="26"/>
        <v/>
      </c>
      <c r="H234" s="14"/>
      <c r="I234" s="14"/>
      <c r="J234" s="24"/>
      <c r="K234" s="24"/>
      <c r="L234" s="24"/>
      <c r="M234" s="24"/>
      <c r="N234" s="16" t="str">
        <f t="shared" si="24"/>
        <v/>
      </c>
      <c r="O234" s="16" t="str">
        <f t="shared" si="27"/>
        <v/>
      </c>
      <c r="P234" s="16" t="str">
        <f t="shared" si="28"/>
        <v/>
      </c>
      <c r="Q234" s="16" t="str">
        <f t="shared" si="29"/>
        <v/>
      </c>
      <c r="R234" s="16">
        <f t="shared" si="25"/>
        <v>0</v>
      </c>
      <c r="S234" s="16" t="str">
        <f>IF(OR($B234="",NOT(ISNUMBER($F234))),"",SUMIFS(community_cores_FS!$P$5:$P$597,community_cores_FS!$B$5:$B$597,$B234,community_cores_FS!$F$5:$F$597,"&lt;="&amp;$F234))</f>
        <v/>
      </c>
      <c r="T234" s="16" t="str">
        <f>IF(AND($A234="",$B234="",$E234=""),"",IF(AND($B234&lt;&gt;"",COUNTIF('2. Core Log'!$A$5:$A$124,$B234)=0),"Core ID not in Core Log. ","")&amp;IF(AND($A234&lt;&gt;"",COUNTIF('1. Plot &amp; Site Log'!$A$5:$A$64,$A234)=0),"Plot ID not in Plot &amp; Site Log. ","")&amp;IF(AND(ISNUMBER($E234),ISNUMBER($F234),$F234&lt;=$E234),"Bottom depth is not below top depth. ","")&amp;IF($I234="","Say which bulk-density basis the lab reported. ","")&amp;IF(AND(ISNUMBER($J234),OR($J234&lt;QC_BD_MIN,$J234&gt;QC_BD_MAX)),"Bulk density outside "&amp;QC_BD_MIN&amp;"–"&amp;QC_BD_MAX&amp;" g/cm³ for peat. Above the top of that range usually means the mineral contact has been passed. ","")&amp;IF(AND(ISNUMBER($N234),$N234&gt;QC_CARBON_PCT_MAX),"Carbon above "&amp;QC_CARBON_PCT_MAX&amp;"% — check units; this may be organic matter rather than carbon. ","")&amp;IF(AND($L234&lt;&gt;"",$M234&lt;&gt;""),"Both LOI and measured carbon given — the measured value is used. ","")&amp;IF(AND($M234="",$L234&lt;&gt;"",OM_FACTOR_IS_LOCAL&lt;&gt;"Yes"),"Carbon derived from LOI using the default factor of "&amp;CARBON_FRACTION_OM&amp;", which has not been calibrated locally. See R1. Reference. ","")&amp;IF(AND(ISNUMBER($O234),$O234=0,ISNUMBER($E234)),"Section lies entirely below the reference depth — it counts to the full-profile stock only. ",""))</f>
        <v/>
      </c>
      <c r="U234" s="14"/>
    </row>
    <row r="235" spans="1:21" ht="15.75" customHeight="1">
      <c r="A235" s="14"/>
      <c r="B235" s="14"/>
      <c r="C235" s="14"/>
      <c r="D235" s="14"/>
      <c r="E235" s="14"/>
      <c r="F235" s="14"/>
      <c r="G235" s="14" t="str">
        <f t="shared" si="26"/>
        <v/>
      </c>
      <c r="H235" s="14"/>
      <c r="I235" s="14"/>
      <c r="J235" s="24"/>
      <c r="K235" s="24"/>
      <c r="L235" s="24"/>
      <c r="M235" s="24"/>
      <c r="N235" s="16" t="str">
        <f t="shared" si="24"/>
        <v/>
      </c>
      <c r="O235" s="16" t="str">
        <f t="shared" si="27"/>
        <v/>
      </c>
      <c r="P235" s="16" t="str">
        <f t="shared" si="28"/>
        <v/>
      </c>
      <c r="Q235" s="16" t="str">
        <f t="shared" si="29"/>
        <v/>
      </c>
      <c r="R235" s="16">
        <f t="shared" si="25"/>
        <v>0</v>
      </c>
      <c r="S235" s="16" t="str">
        <f>IF(OR($B235="",NOT(ISNUMBER($F235))),"",SUMIFS(community_cores_FS!$P$5:$P$597,community_cores_FS!$B$5:$B$597,$B235,community_cores_FS!$F$5:$F$597,"&lt;="&amp;$F235))</f>
        <v/>
      </c>
      <c r="T235" s="16" t="str">
        <f>IF(AND($A235="",$B235="",$E235=""),"",IF(AND($B235&lt;&gt;"",COUNTIF('2. Core Log'!$A$5:$A$124,$B235)=0),"Core ID not in Core Log. ","")&amp;IF(AND($A235&lt;&gt;"",COUNTIF('1. Plot &amp; Site Log'!$A$5:$A$64,$A235)=0),"Plot ID not in Plot &amp; Site Log. ","")&amp;IF(AND(ISNUMBER($E235),ISNUMBER($F235),$F235&lt;=$E235),"Bottom depth is not below top depth. ","")&amp;IF($I235="","Say which bulk-density basis the lab reported. ","")&amp;IF(AND(ISNUMBER($J235),OR($J235&lt;QC_BD_MIN,$J235&gt;QC_BD_MAX)),"Bulk density outside "&amp;QC_BD_MIN&amp;"–"&amp;QC_BD_MAX&amp;" g/cm³ for peat. Above the top of that range usually means the mineral contact has been passed. ","")&amp;IF(AND(ISNUMBER($N235),$N235&gt;QC_CARBON_PCT_MAX),"Carbon above "&amp;QC_CARBON_PCT_MAX&amp;"% — check units; this may be organic matter rather than carbon. ","")&amp;IF(AND($L235&lt;&gt;"",$M235&lt;&gt;""),"Both LOI and measured carbon given — the measured value is used. ","")&amp;IF(AND($M235="",$L235&lt;&gt;"",OM_FACTOR_IS_LOCAL&lt;&gt;"Yes"),"Carbon derived from LOI using the default factor of "&amp;CARBON_FRACTION_OM&amp;", which has not been calibrated locally. See R1. Reference. ","")&amp;IF(AND(ISNUMBER($O235),$O235=0,ISNUMBER($E235)),"Section lies entirely below the reference depth — it counts to the full-profile stock only. ",""))</f>
        <v/>
      </c>
      <c r="U235" s="14"/>
    </row>
    <row r="236" spans="1:21" ht="15.75" customHeight="1">
      <c r="A236" s="14"/>
      <c r="B236" s="14"/>
      <c r="C236" s="14"/>
      <c r="D236" s="14"/>
      <c r="E236" s="14"/>
      <c r="F236" s="14"/>
      <c r="G236" s="14" t="str">
        <f t="shared" si="26"/>
        <v/>
      </c>
      <c r="H236" s="14"/>
      <c r="I236" s="14"/>
      <c r="J236" s="24"/>
      <c r="K236" s="24"/>
      <c r="L236" s="24"/>
      <c r="M236" s="24"/>
      <c r="N236" s="16" t="str">
        <f t="shared" si="24"/>
        <v/>
      </c>
      <c r="O236" s="16" t="str">
        <f t="shared" si="27"/>
        <v/>
      </c>
      <c r="P236" s="16" t="str">
        <f t="shared" si="28"/>
        <v/>
      </c>
      <c r="Q236" s="16" t="str">
        <f t="shared" si="29"/>
        <v/>
      </c>
      <c r="R236" s="16">
        <f t="shared" si="25"/>
        <v>0</v>
      </c>
      <c r="S236" s="16" t="str">
        <f>IF(OR($B236="",NOT(ISNUMBER($F236))),"",SUMIFS(community_cores_FS!$P$5:$P$597,community_cores_FS!$B$5:$B$597,$B236,community_cores_FS!$F$5:$F$597,"&lt;="&amp;$F236))</f>
        <v/>
      </c>
      <c r="T236" s="16" t="str">
        <f>IF(AND($A236="",$B236="",$E236=""),"",IF(AND($B236&lt;&gt;"",COUNTIF('2. Core Log'!$A$5:$A$124,$B236)=0),"Core ID not in Core Log. ","")&amp;IF(AND($A236&lt;&gt;"",COUNTIF('1. Plot &amp; Site Log'!$A$5:$A$64,$A236)=0),"Plot ID not in Plot &amp; Site Log. ","")&amp;IF(AND(ISNUMBER($E236),ISNUMBER($F236),$F236&lt;=$E236),"Bottom depth is not below top depth. ","")&amp;IF($I236="","Say which bulk-density basis the lab reported. ","")&amp;IF(AND(ISNUMBER($J236),OR($J236&lt;QC_BD_MIN,$J236&gt;QC_BD_MAX)),"Bulk density outside "&amp;QC_BD_MIN&amp;"–"&amp;QC_BD_MAX&amp;" g/cm³ for peat. Above the top of that range usually means the mineral contact has been passed. ","")&amp;IF(AND(ISNUMBER($N236),$N236&gt;QC_CARBON_PCT_MAX),"Carbon above "&amp;QC_CARBON_PCT_MAX&amp;"% — check units; this may be organic matter rather than carbon. ","")&amp;IF(AND($L236&lt;&gt;"",$M236&lt;&gt;""),"Both LOI and measured carbon given — the measured value is used. ","")&amp;IF(AND($M236="",$L236&lt;&gt;"",OM_FACTOR_IS_LOCAL&lt;&gt;"Yes"),"Carbon derived from LOI using the default factor of "&amp;CARBON_FRACTION_OM&amp;", which has not been calibrated locally. See R1. Reference. ","")&amp;IF(AND(ISNUMBER($O236),$O236=0,ISNUMBER($E236)),"Section lies entirely below the reference depth — it counts to the full-profile stock only. ",""))</f>
        <v/>
      </c>
      <c r="U236" s="14"/>
    </row>
    <row r="237" spans="1:21" ht="15.75" customHeight="1">
      <c r="A237" s="14"/>
      <c r="B237" s="14"/>
      <c r="C237" s="14"/>
      <c r="D237" s="14"/>
      <c r="E237" s="14"/>
      <c r="F237" s="14"/>
      <c r="G237" s="14" t="str">
        <f t="shared" si="26"/>
        <v/>
      </c>
      <c r="H237" s="14"/>
      <c r="I237" s="14"/>
      <c r="J237" s="24"/>
      <c r="K237" s="24"/>
      <c r="L237" s="24"/>
      <c r="M237" s="24"/>
      <c r="N237" s="16" t="str">
        <f t="shared" si="24"/>
        <v/>
      </c>
      <c r="O237" s="16" t="str">
        <f t="shared" si="27"/>
        <v/>
      </c>
      <c r="P237" s="16" t="str">
        <f t="shared" si="28"/>
        <v/>
      </c>
      <c r="Q237" s="16" t="str">
        <f t="shared" si="29"/>
        <v/>
      </c>
      <c r="R237" s="16">
        <f t="shared" si="25"/>
        <v>0</v>
      </c>
      <c r="S237" s="16" t="str">
        <f>IF(OR($B237="",NOT(ISNUMBER($F237))),"",SUMIFS(community_cores_FS!$P$5:$P$597,community_cores_FS!$B$5:$B$597,$B237,community_cores_FS!$F$5:$F$597,"&lt;="&amp;$F237))</f>
        <v/>
      </c>
      <c r="T237" s="16" t="str">
        <f>IF(AND($A237="",$B237="",$E237=""),"",IF(AND($B237&lt;&gt;"",COUNTIF('2. Core Log'!$A$5:$A$124,$B237)=0),"Core ID not in Core Log. ","")&amp;IF(AND($A237&lt;&gt;"",COUNTIF('1. Plot &amp; Site Log'!$A$5:$A$64,$A237)=0),"Plot ID not in Plot &amp; Site Log. ","")&amp;IF(AND(ISNUMBER($E237),ISNUMBER($F237),$F237&lt;=$E237),"Bottom depth is not below top depth. ","")&amp;IF($I237="","Say which bulk-density basis the lab reported. ","")&amp;IF(AND(ISNUMBER($J237),OR($J237&lt;QC_BD_MIN,$J237&gt;QC_BD_MAX)),"Bulk density outside "&amp;QC_BD_MIN&amp;"–"&amp;QC_BD_MAX&amp;" g/cm³ for peat. Above the top of that range usually means the mineral contact has been passed. ","")&amp;IF(AND(ISNUMBER($N237),$N237&gt;QC_CARBON_PCT_MAX),"Carbon above "&amp;QC_CARBON_PCT_MAX&amp;"% — check units; this may be organic matter rather than carbon. ","")&amp;IF(AND($L237&lt;&gt;"",$M237&lt;&gt;""),"Both LOI and measured carbon given — the measured value is used. ","")&amp;IF(AND($M237="",$L237&lt;&gt;"",OM_FACTOR_IS_LOCAL&lt;&gt;"Yes"),"Carbon derived from LOI using the default factor of "&amp;CARBON_FRACTION_OM&amp;", which has not been calibrated locally. See R1. Reference. ","")&amp;IF(AND(ISNUMBER($O237),$O237=0,ISNUMBER($E237)),"Section lies entirely below the reference depth — it counts to the full-profile stock only. ",""))</f>
        <v/>
      </c>
      <c r="U237" s="14"/>
    </row>
    <row r="238" spans="1:21" ht="15.75" customHeight="1">
      <c r="A238" s="14"/>
      <c r="B238" s="14"/>
      <c r="C238" s="14"/>
      <c r="D238" s="14"/>
      <c r="E238" s="14"/>
      <c r="F238" s="14"/>
      <c r="G238" s="14" t="str">
        <f t="shared" si="26"/>
        <v/>
      </c>
      <c r="H238" s="14"/>
      <c r="I238" s="14"/>
      <c r="J238" s="24"/>
      <c r="K238" s="24"/>
      <c r="L238" s="24"/>
      <c r="M238" s="24"/>
      <c r="N238" s="16" t="str">
        <f t="shared" si="24"/>
        <v/>
      </c>
      <c r="O238" s="16" t="str">
        <f t="shared" si="27"/>
        <v/>
      </c>
      <c r="P238" s="16" t="str">
        <f t="shared" si="28"/>
        <v/>
      </c>
      <c r="Q238" s="16" t="str">
        <f t="shared" si="29"/>
        <v/>
      </c>
      <c r="R238" s="16">
        <f t="shared" si="25"/>
        <v>0</v>
      </c>
      <c r="S238" s="16" t="str">
        <f>IF(OR($B238="",NOT(ISNUMBER($F238))),"",SUMIFS(community_cores_FS!$P$5:$P$597,community_cores_FS!$B$5:$B$597,$B238,community_cores_FS!$F$5:$F$597,"&lt;="&amp;$F238))</f>
        <v/>
      </c>
      <c r="T238" s="16" t="str">
        <f>IF(AND($A238="",$B238="",$E238=""),"",IF(AND($B238&lt;&gt;"",COUNTIF('2. Core Log'!$A$5:$A$124,$B238)=0),"Core ID not in Core Log. ","")&amp;IF(AND($A238&lt;&gt;"",COUNTIF('1. Plot &amp; Site Log'!$A$5:$A$64,$A238)=0),"Plot ID not in Plot &amp; Site Log. ","")&amp;IF(AND(ISNUMBER($E238),ISNUMBER($F238),$F238&lt;=$E238),"Bottom depth is not below top depth. ","")&amp;IF($I238="","Say which bulk-density basis the lab reported. ","")&amp;IF(AND(ISNUMBER($J238),OR($J238&lt;QC_BD_MIN,$J238&gt;QC_BD_MAX)),"Bulk density outside "&amp;QC_BD_MIN&amp;"–"&amp;QC_BD_MAX&amp;" g/cm³ for peat. Above the top of that range usually means the mineral contact has been passed. ","")&amp;IF(AND(ISNUMBER($N238),$N238&gt;QC_CARBON_PCT_MAX),"Carbon above "&amp;QC_CARBON_PCT_MAX&amp;"% — check units; this may be organic matter rather than carbon. ","")&amp;IF(AND($L238&lt;&gt;"",$M238&lt;&gt;""),"Both LOI and measured carbon given — the measured value is used. ","")&amp;IF(AND($M238="",$L238&lt;&gt;"",OM_FACTOR_IS_LOCAL&lt;&gt;"Yes"),"Carbon derived from LOI using the default factor of "&amp;CARBON_FRACTION_OM&amp;", which has not been calibrated locally. See R1. Reference. ","")&amp;IF(AND(ISNUMBER($O238),$O238=0,ISNUMBER($E238)),"Section lies entirely below the reference depth — it counts to the full-profile stock only. ",""))</f>
        <v/>
      </c>
      <c r="U238" s="14"/>
    </row>
    <row r="239" spans="1:21" ht="15.75" customHeight="1">
      <c r="A239" s="14"/>
      <c r="B239" s="14"/>
      <c r="C239" s="14"/>
      <c r="D239" s="14"/>
      <c r="E239" s="14"/>
      <c r="F239" s="14"/>
      <c r="G239" s="14" t="str">
        <f t="shared" si="26"/>
        <v/>
      </c>
      <c r="H239" s="14"/>
      <c r="I239" s="14"/>
      <c r="J239" s="24"/>
      <c r="K239" s="24"/>
      <c r="L239" s="24"/>
      <c r="M239" s="24"/>
      <c r="N239" s="16" t="str">
        <f t="shared" si="24"/>
        <v/>
      </c>
      <c r="O239" s="16" t="str">
        <f t="shared" si="27"/>
        <v/>
      </c>
      <c r="P239" s="16" t="str">
        <f t="shared" si="28"/>
        <v/>
      </c>
      <c r="Q239" s="16" t="str">
        <f t="shared" si="29"/>
        <v/>
      </c>
      <c r="R239" s="16">
        <f t="shared" si="25"/>
        <v>0</v>
      </c>
      <c r="S239" s="16" t="str">
        <f>IF(OR($B239="",NOT(ISNUMBER($F239))),"",SUMIFS(community_cores_FS!$P$5:$P$597,community_cores_FS!$B$5:$B$597,$B239,community_cores_FS!$F$5:$F$597,"&lt;="&amp;$F239))</f>
        <v/>
      </c>
      <c r="T239" s="16" t="str">
        <f>IF(AND($A239="",$B239="",$E239=""),"",IF(AND($B239&lt;&gt;"",COUNTIF('2. Core Log'!$A$5:$A$124,$B239)=0),"Core ID not in Core Log. ","")&amp;IF(AND($A239&lt;&gt;"",COUNTIF('1. Plot &amp; Site Log'!$A$5:$A$64,$A239)=0),"Plot ID not in Plot &amp; Site Log. ","")&amp;IF(AND(ISNUMBER($E239),ISNUMBER($F239),$F239&lt;=$E239),"Bottom depth is not below top depth. ","")&amp;IF($I239="","Say which bulk-density basis the lab reported. ","")&amp;IF(AND(ISNUMBER($J239),OR($J239&lt;QC_BD_MIN,$J239&gt;QC_BD_MAX)),"Bulk density outside "&amp;QC_BD_MIN&amp;"–"&amp;QC_BD_MAX&amp;" g/cm³ for peat. Above the top of that range usually means the mineral contact has been passed. ","")&amp;IF(AND(ISNUMBER($N239),$N239&gt;QC_CARBON_PCT_MAX),"Carbon above "&amp;QC_CARBON_PCT_MAX&amp;"% — check units; this may be organic matter rather than carbon. ","")&amp;IF(AND($L239&lt;&gt;"",$M239&lt;&gt;""),"Both LOI and measured carbon given — the measured value is used. ","")&amp;IF(AND($M239="",$L239&lt;&gt;"",OM_FACTOR_IS_LOCAL&lt;&gt;"Yes"),"Carbon derived from LOI using the default factor of "&amp;CARBON_FRACTION_OM&amp;", which has not been calibrated locally. See R1. Reference. ","")&amp;IF(AND(ISNUMBER($O239),$O239=0,ISNUMBER($E239)),"Section lies entirely below the reference depth — it counts to the full-profile stock only. ",""))</f>
        <v/>
      </c>
      <c r="U239" s="14"/>
    </row>
    <row r="240" spans="1:21" ht="15.75" customHeight="1">
      <c r="A240" s="14"/>
      <c r="B240" s="14"/>
      <c r="C240" s="14"/>
      <c r="D240" s="14"/>
      <c r="E240" s="14"/>
      <c r="F240" s="14"/>
      <c r="G240" s="14" t="str">
        <f t="shared" si="26"/>
        <v/>
      </c>
      <c r="H240" s="14"/>
      <c r="I240" s="14"/>
      <c r="J240" s="24"/>
      <c r="K240" s="24"/>
      <c r="L240" s="24"/>
      <c r="M240" s="24"/>
      <c r="N240" s="16" t="str">
        <f t="shared" si="24"/>
        <v/>
      </c>
      <c r="O240" s="16" t="str">
        <f t="shared" si="27"/>
        <v/>
      </c>
      <c r="P240" s="16" t="str">
        <f t="shared" si="28"/>
        <v/>
      </c>
      <c r="Q240" s="16" t="str">
        <f t="shared" si="29"/>
        <v/>
      </c>
      <c r="R240" s="16">
        <f t="shared" si="25"/>
        <v>0</v>
      </c>
      <c r="S240" s="16" t="str">
        <f>IF(OR($B240="",NOT(ISNUMBER($F240))),"",SUMIFS(community_cores_FS!$P$5:$P$597,community_cores_FS!$B$5:$B$597,$B240,community_cores_FS!$F$5:$F$597,"&lt;="&amp;$F240))</f>
        <v/>
      </c>
      <c r="T240" s="16" t="str">
        <f>IF(AND($A240="",$B240="",$E240=""),"",IF(AND($B240&lt;&gt;"",COUNTIF('2. Core Log'!$A$5:$A$124,$B240)=0),"Core ID not in Core Log. ","")&amp;IF(AND($A240&lt;&gt;"",COUNTIF('1. Plot &amp; Site Log'!$A$5:$A$64,$A240)=0),"Plot ID not in Plot &amp; Site Log. ","")&amp;IF(AND(ISNUMBER($E240),ISNUMBER($F240),$F240&lt;=$E240),"Bottom depth is not below top depth. ","")&amp;IF($I240="","Say which bulk-density basis the lab reported. ","")&amp;IF(AND(ISNUMBER($J240),OR($J240&lt;QC_BD_MIN,$J240&gt;QC_BD_MAX)),"Bulk density outside "&amp;QC_BD_MIN&amp;"–"&amp;QC_BD_MAX&amp;" g/cm³ for peat. Above the top of that range usually means the mineral contact has been passed. ","")&amp;IF(AND(ISNUMBER($N240),$N240&gt;QC_CARBON_PCT_MAX),"Carbon above "&amp;QC_CARBON_PCT_MAX&amp;"% — check units; this may be organic matter rather than carbon. ","")&amp;IF(AND($L240&lt;&gt;"",$M240&lt;&gt;""),"Both LOI and measured carbon given — the measured value is used. ","")&amp;IF(AND($M240="",$L240&lt;&gt;"",OM_FACTOR_IS_LOCAL&lt;&gt;"Yes"),"Carbon derived from LOI using the default factor of "&amp;CARBON_FRACTION_OM&amp;", which has not been calibrated locally. See R1. Reference. ","")&amp;IF(AND(ISNUMBER($O240),$O240=0,ISNUMBER($E240)),"Section lies entirely below the reference depth — it counts to the full-profile stock only. ",""))</f>
        <v/>
      </c>
      <c r="U240" s="14"/>
    </row>
    <row r="241" spans="1:21" ht="15.75" customHeight="1">
      <c r="A241" s="14"/>
      <c r="B241" s="14"/>
      <c r="C241" s="14"/>
      <c r="D241" s="14"/>
      <c r="E241" s="14"/>
      <c r="F241" s="14"/>
      <c r="G241" s="14" t="str">
        <f t="shared" si="26"/>
        <v/>
      </c>
      <c r="H241" s="14"/>
      <c r="I241" s="14"/>
      <c r="J241" s="24"/>
      <c r="K241" s="24"/>
      <c r="L241" s="24"/>
      <c r="M241" s="24"/>
      <c r="N241" s="16" t="str">
        <f t="shared" si="24"/>
        <v/>
      </c>
      <c r="O241" s="16" t="str">
        <f t="shared" si="27"/>
        <v/>
      </c>
      <c r="P241" s="16" t="str">
        <f t="shared" si="28"/>
        <v/>
      </c>
      <c r="Q241" s="16" t="str">
        <f t="shared" si="29"/>
        <v/>
      </c>
      <c r="R241" s="16">
        <f t="shared" si="25"/>
        <v>0</v>
      </c>
      <c r="S241" s="16" t="str">
        <f>IF(OR($B241="",NOT(ISNUMBER($F241))),"",SUMIFS(community_cores_FS!$P$5:$P$597,community_cores_FS!$B$5:$B$597,$B241,community_cores_FS!$F$5:$F$597,"&lt;="&amp;$F241))</f>
        <v/>
      </c>
      <c r="T241" s="16" t="str">
        <f>IF(AND($A241="",$B241="",$E241=""),"",IF(AND($B241&lt;&gt;"",COUNTIF('2. Core Log'!$A$5:$A$124,$B241)=0),"Core ID not in Core Log. ","")&amp;IF(AND($A241&lt;&gt;"",COUNTIF('1. Plot &amp; Site Log'!$A$5:$A$64,$A241)=0),"Plot ID not in Plot &amp; Site Log. ","")&amp;IF(AND(ISNUMBER($E241),ISNUMBER($F241),$F241&lt;=$E241),"Bottom depth is not below top depth. ","")&amp;IF($I241="","Say which bulk-density basis the lab reported. ","")&amp;IF(AND(ISNUMBER($J241),OR($J241&lt;QC_BD_MIN,$J241&gt;QC_BD_MAX)),"Bulk density outside "&amp;QC_BD_MIN&amp;"–"&amp;QC_BD_MAX&amp;" g/cm³ for peat. Above the top of that range usually means the mineral contact has been passed. ","")&amp;IF(AND(ISNUMBER($N241),$N241&gt;QC_CARBON_PCT_MAX),"Carbon above "&amp;QC_CARBON_PCT_MAX&amp;"% — check units; this may be organic matter rather than carbon. ","")&amp;IF(AND($L241&lt;&gt;"",$M241&lt;&gt;""),"Both LOI and measured carbon given — the measured value is used. ","")&amp;IF(AND($M241="",$L241&lt;&gt;"",OM_FACTOR_IS_LOCAL&lt;&gt;"Yes"),"Carbon derived from LOI using the default factor of "&amp;CARBON_FRACTION_OM&amp;", which has not been calibrated locally. See R1. Reference. ","")&amp;IF(AND(ISNUMBER($O241),$O241=0,ISNUMBER($E241)),"Section lies entirely below the reference depth — it counts to the full-profile stock only. ",""))</f>
        <v/>
      </c>
      <c r="U241" s="14"/>
    </row>
    <row r="242" spans="1:21" ht="15.75" customHeight="1">
      <c r="A242" s="14"/>
      <c r="B242" s="14"/>
      <c r="C242" s="14"/>
      <c r="D242" s="14"/>
      <c r="E242" s="14"/>
      <c r="F242" s="14"/>
      <c r="G242" s="14" t="str">
        <f t="shared" si="26"/>
        <v/>
      </c>
      <c r="H242" s="14"/>
      <c r="I242" s="14"/>
      <c r="J242" s="24"/>
      <c r="K242" s="24"/>
      <c r="L242" s="24"/>
      <c r="M242" s="24"/>
      <c r="N242" s="16" t="str">
        <f t="shared" si="24"/>
        <v/>
      </c>
      <c r="O242" s="16" t="str">
        <f t="shared" si="27"/>
        <v/>
      </c>
      <c r="P242" s="16" t="str">
        <f t="shared" si="28"/>
        <v/>
      </c>
      <c r="Q242" s="16" t="str">
        <f t="shared" si="29"/>
        <v/>
      </c>
      <c r="R242" s="16">
        <f t="shared" si="25"/>
        <v>0</v>
      </c>
      <c r="S242" s="16" t="str">
        <f>IF(OR($B242="",NOT(ISNUMBER($F242))),"",SUMIFS(community_cores_FS!$P$5:$P$597,community_cores_FS!$B$5:$B$597,$B242,community_cores_FS!$F$5:$F$597,"&lt;="&amp;$F242))</f>
        <v/>
      </c>
      <c r="T242" s="16" t="str">
        <f>IF(AND($A242="",$B242="",$E242=""),"",IF(AND($B242&lt;&gt;"",COUNTIF('2. Core Log'!$A$5:$A$124,$B242)=0),"Core ID not in Core Log. ","")&amp;IF(AND($A242&lt;&gt;"",COUNTIF('1. Plot &amp; Site Log'!$A$5:$A$64,$A242)=0),"Plot ID not in Plot &amp; Site Log. ","")&amp;IF(AND(ISNUMBER($E242),ISNUMBER($F242),$F242&lt;=$E242),"Bottom depth is not below top depth. ","")&amp;IF($I242="","Say which bulk-density basis the lab reported. ","")&amp;IF(AND(ISNUMBER($J242),OR($J242&lt;QC_BD_MIN,$J242&gt;QC_BD_MAX)),"Bulk density outside "&amp;QC_BD_MIN&amp;"–"&amp;QC_BD_MAX&amp;" g/cm³ for peat. Above the top of that range usually means the mineral contact has been passed. ","")&amp;IF(AND(ISNUMBER($N242),$N242&gt;QC_CARBON_PCT_MAX),"Carbon above "&amp;QC_CARBON_PCT_MAX&amp;"% — check units; this may be organic matter rather than carbon. ","")&amp;IF(AND($L242&lt;&gt;"",$M242&lt;&gt;""),"Both LOI and measured carbon given — the measured value is used. ","")&amp;IF(AND($M242="",$L242&lt;&gt;"",OM_FACTOR_IS_LOCAL&lt;&gt;"Yes"),"Carbon derived from LOI using the default factor of "&amp;CARBON_FRACTION_OM&amp;", which has not been calibrated locally. See R1. Reference. ","")&amp;IF(AND(ISNUMBER($O242),$O242=0,ISNUMBER($E242)),"Section lies entirely below the reference depth — it counts to the full-profile stock only. ",""))</f>
        <v/>
      </c>
      <c r="U242" s="14"/>
    </row>
    <row r="243" spans="1:21" ht="15.75" customHeight="1">
      <c r="A243" s="14"/>
      <c r="B243" s="14"/>
      <c r="C243" s="14"/>
      <c r="D243" s="14"/>
      <c r="E243" s="14"/>
      <c r="F243" s="14"/>
      <c r="G243" s="14" t="str">
        <f t="shared" si="26"/>
        <v/>
      </c>
      <c r="H243" s="14"/>
      <c r="I243" s="14"/>
      <c r="J243" s="24"/>
      <c r="K243" s="24"/>
      <c r="L243" s="24"/>
      <c r="M243" s="24"/>
      <c r="N243" s="16" t="str">
        <f t="shared" si="24"/>
        <v/>
      </c>
      <c r="O243" s="16" t="str">
        <f t="shared" si="27"/>
        <v/>
      </c>
      <c r="P243" s="16" t="str">
        <f t="shared" si="28"/>
        <v/>
      </c>
      <c r="Q243" s="16" t="str">
        <f t="shared" si="29"/>
        <v/>
      </c>
      <c r="R243" s="16">
        <f t="shared" si="25"/>
        <v>0</v>
      </c>
      <c r="S243" s="16" t="str">
        <f>IF(OR($B243="",NOT(ISNUMBER($F243))),"",SUMIFS(community_cores_FS!$P$5:$P$597,community_cores_FS!$B$5:$B$597,$B243,community_cores_FS!$F$5:$F$597,"&lt;="&amp;$F243))</f>
        <v/>
      </c>
      <c r="T243" s="16" t="str">
        <f>IF(AND($A243="",$B243="",$E243=""),"",IF(AND($B243&lt;&gt;"",COUNTIF('2. Core Log'!$A$5:$A$124,$B243)=0),"Core ID not in Core Log. ","")&amp;IF(AND($A243&lt;&gt;"",COUNTIF('1. Plot &amp; Site Log'!$A$5:$A$64,$A243)=0),"Plot ID not in Plot &amp; Site Log. ","")&amp;IF(AND(ISNUMBER($E243),ISNUMBER($F243),$F243&lt;=$E243),"Bottom depth is not below top depth. ","")&amp;IF($I243="","Say which bulk-density basis the lab reported. ","")&amp;IF(AND(ISNUMBER($J243),OR($J243&lt;QC_BD_MIN,$J243&gt;QC_BD_MAX)),"Bulk density outside "&amp;QC_BD_MIN&amp;"–"&amp;QC_BD_MAX&amp;" g/cm³ for peat. Above the top of that range usually means the mineral contact has been passed. ","")&amp;IF(AND(ISNUMBER($N243),$N243&gt;QC_CARBON_PCT_MAX),"Carbon above "&amp;QC_CARBON_PCT_MAX&amp;"% — check units; this may be organic matter rather than carbon. ","")&amp;IF(AND($L243&lt;&gt;"",$M243&lt;&gt;""),"Both LOI and measured carbon given — the measured value is used. ","")&amp;IF(AND($M243="",$L243&lt;&gt;"",OM_FACTOR_IS_LOCAL&lt;&gt;"Yes"),"Carbon derived from LOI using the default factor of "&amp;CARBON_FRACTION_OM&amp;", which has not been calibrated locally. See R1. Reference. ","")&amp;IF(AND(ISNUMBER($O243),$O243=0,ISNUMBER($E243)),"Section lies entirely below the reference depth — it counts to the full-profile stock only. ",""))</f>
        <v/>
      </c>
      <c r="U243" s="14"/>
    </row>
    <row r="244" spans="1:21" ht="15.75" customHeight="1">
      <c r="A244" s="14"/>
      <c r="B244" s="14"/>
      <c r="C244" s="14"/>
      <c r="D244" s="14"/>
      <c r="E244" s="14"/>
      <c r="F244" s="14"/>
      <c r="G244" s="14" t="str">
        <f t="shared" si="26"/>
        <v/>
      </c>
      <c r="H244" s="14"/>
      <c r="I244" s="14"/>
      <c r="J244" s="24"/>
      <c r="K244" s="24"/>
      <c r="L244" s="24"/>
      <c r="M244" s="24"/>
      <c r="N244" s="16" t="str">
        <f t="shared" si="24"/>
        <v/>
      </c>
      <c r="O244" s="16" t="str">
        <f t="shared" si="27"/>
        <v/>
      </c>
      <c r="P244" s="16" t="str">
        <f t="shared" si="28"/>
        <v/>
      </c>
      <c r="Q244" s="16" t="str">
        <f t="shared" si="29"/>
        <v/>
      </c>
      <c r="R244" s="16">
        <f t="shared" si="25"/>
        <v>0</v>
      </c>
      <c r="S244" s="16" t="str">
        <f>IF(OR($B244="",NOT(ISNUMBER($F244))),"",SUMIFS(community_cores_FS!$P$5:$P$597,community_cores_FS!$B$5:$B$597,$B244,community_cores_FS!$F$5:$F$597,"&lt;="&amp;$F244))</f>
        <v/>
      </c>
      <c r="T244" s="16" t="str">
        <f>IF(AND($A244="",$B244="",$E244=""),"",IF(AND($B244&lt;&gt;"",COUNTIF('2. Core Log'!$A$5:$A$124,$B244)=0),"Core ID not in Core Log. ","")&amp;IF(AND($A244&lt;&gt;"",COUNTIF('1. Plot &amp; Site Log'!$A$5:$A$64,$A244)=0),"Plot ID not in Plot &amp; Site Log. ","")&amp;IF(AND(ISNUMBER($E244),ISNUMBER($F244),$F244&lt;=$E244),"Bottom depth is not below top depth. ","")&amp;IF($I244="","Say which bulk-density basis the lab reported. ","")&amp;IF(AND(ISNUMBER($J244),OR($J244&lt;QC_BD_MIN,$J244&gt;QC_BD_MAX)),"Bulk density outside "&amp;QC_BD_MIN&amp;"–"&amp;QC_BD_MAX&amp;" g/cm³ for peat. Above the top of that range usually means the mineral contact has been passed. ","")&amp;IF(AND(ISNUMBER($N244),$N244&gt;QC_CARBON_PCT_MAX),"Carbon above "&amp;QC_CARBON_PCT_MAX&amp;"% — check units; this may be organic matter rather than carbon. ","")&amp;IF(AND($L244&lt;&gt;"",$M244&lt;&gt;""),"Both LOI and measured carbon given — the measured value is used. ","")&amp;IF(AND($M244="",$L244&lt;&gt;"",OM_FACTOR_IS_LOCAL&lt;&gt;"Yes"),"Carbon derived from LOI using the default factor of "&amp;CARBON_FRACTION_OM&amp;", which has not been calibrated locally. See R1. Reference. ","")&amp;IF(AND(ISNUMBER($O244),$O244=0,ISNUMBER($E244)),"Section lies entirely below the reference depth — it counts to the full-profile stock only. ",""))</f>
        <v/>
      </c>
      <c r="U244" s="14"/>
    </row>
    <row r="245" spans="1:21" ht="15.75" customHeight="1">
      <c r="A245" s="14"/>
      <c r="B245" s="14"/>
      <c r="C245" s="14"/>
      <c r="D245" s="14"/>
      <c r="E245" s="14"/>
      <c r="F245" s="14"/>
      <c r="G245" s="14" t="str">
        <f t="shared" si="26"/>
        <v/>
      </c>
      <c r="H245" s="14"/>
      <c r="I245" s="14"/>
      <c r="J245" s="24"/>
      <c r="K245" s="24"/>
      <c r="L245" s="24"/>
      <c r="M245" s="24"/>
      <c r="N245" s="16" t="str">
        <f t="shared" si="24"/>
        <v/>
      </c>
      <c r="O245" s="16" t="str">
        <f t="shared" si="27"/>
        <v/>
      </c>
      <c r="P245" s="16" t="str">
        <f t="shared" si="28"/>
        <v/>
      </c>
      <c r="Q245" s="16" t="str">
        <f t="shared" si="29"/>
        <v/>
      </c>
      <c r="R245" s="16">
        <f t="shared" si="25"/>
        <v>0</v>
      </c>
      <c r="S245" s="16" t="str">
        <f>IF(OR($B245="",NOT(ISNUMBER($F245))),"",SUMIFS(community_cores_FS!$P$5:$P$597,community_cores_FS!$B$5:$B$597,$B245,community_cores_FS!$F$5:$F$597,"&lt;="&amp;$F245))</f>
        <v/>
      </c>
      <c r="T245" s="16" t="str">
        <f>IF(AND($A245="",$B245="",$E245=""),"",IF(AND($B245&lt;&gt;"",COUNTIF('2. Core Log'!$A$5:$A$124,$B245)=0),"Core ID not in Core Log. ","")&amp;IF(AND($A245&lt;&gt;"",COUNTIF('1. Plot &amp; Site Log'!$A$5:$A$64,$A245)=0),"Plot ID not in Plot &amp; Site Log. ","")&amp;IF(AND(ISNUMBER($E245),ISNUMBER($F245),$F245&lt;=$E245),"Bottom depth is not below top depth. ","")&amp;IF($I245="","Say which bulk-density basis the lab reported. ","")&amp;IF(AND(ISNUMBER($J245),OR($J245&lt;QC_BD_MIN,$J245&gt;QC_BD_MAX)),"Bulk density outside "&amp;QC_BD_MIN&amp;"–"&amp;QC_BD_MAX&amp;" g/cm³ for peat. Above the top of that range usually means the mineral contact has been passed. ","")&amp;IF(AND(ISNUMBER($N245),$N245&gt;QC_CARBON_PCT_MAX),"Carbon above "&amp;QC_CARBON_PCT_MAX&amp;"% — check units; this may be organic matter rather than carbon. ","")&amp;IF(AND($L245&lt;&gt;"",$M245&lt;&gt;""),"Both LOI and measured carbon given — the measured value is used. ","")&amp;IF(AND($M245="",$L245&lt;&gt;"",OM_FACTOR_IS_LOCAL&lt;&gt;"Yes"),"Carbon derived from LOI using the default factor of "&amp;CARBON_FRACTION_OM&amp;", which has not been calibrated locally. See R1. Reference. ","")&amp;IF(AND(ISNUMBER($O245),$O245=0,ISNUMBER($E245)),"Section lies entirely below the reference depth — it counts to the full-profile stock only. ",""))</f>
        <v/>
      </c>
      <c r="U245" s="14"/>
    </row>
    <row r="246" spans="1:21" ht="15.75" customHeight="1">
      <c r="A246" s="14"/>
      <c r="B246" s="14"/>
      <c r="C246" s="14"/>
      <c r="D246" s="14"/>
      <c r="E246" s="14"/>
      <c r="F246" s="14"/>
      <c r="G246" s="14" t="str">
        <f t="shared" si="26"/>
        <v/>
      </c>
      <c r="H246" s="14"/>
      <c r="I246" s="14"/>
      <c r="J246" s="24"/>
      <c r="K246" s="24"/>
      <c r="L246" s="24"/>
      <c r="M246" s="24"/>
      <c r="N246" s="16" t="str">
        <f t="shared" si="24"/>
        <v/>
      </c>
      <c r="O246" s="16" t="str">
        <f t="shared" si="27"/>
        <v/>
      </c>
      <c r="P246" s="16" t="str">
        <f t="shared" si="28"/>
        <v/>
      </c>
      <c r="Q246" s="16" t="str">
        <f t="shared" si="29"/>
        <v/>
      </c>
      <c r="R246" s="16">
        <f t="shared" si="25"/>
        <v>0</v>
      </c>
      <c r="S246" s="16" t="str">
        <f>IF(OR($B246="",NOT(ISNUMBER($F246))),"",SUMIFS(community_cores_FS!$P$5:$P$597,community_cores_FS!$B$5:$B$597,$B246,community_cores_FS!$F$5:$F$597,"&lt;="&amp;$F246))</f>
        <v/>
      </c>
      <c r="T246" s="16" t="str">
        <f>IF(AND($A246="",$B246="",$E246=""),"",IF(AND($B246&lt;&gt;"",COUNTIF('2. Core Log'!$A$5:$A$124,$B246)=0),"Core ID not in Core Log. ","")&amp;IF(AND($A246&lt;&gt;"",COUNTIF('1. Plot &amp; Site Log'!$A$5:$A$64,$A246)=0),"Plot ID not in Plot &amp; Site Log. ","")&amp;IF(AND(ISNUMBER($E246),ISNUMBER($F246),$F246&lt;=$E246),"Bottom depth is not below top depth. ","")&amp;IF($I246="","Say which bulk-density basis the lab reported. ","")&amp;IF(AND(ISNUMBER($J246),OR($J246&lt;QC_BD_MIN,$J246&gt;QC_BD_MAX)),"Bulk density outside "&amp;QC_BD_MIN&amp;"–"&amp;QC_BD_MAX&amp;" g/cm³ for peat. Above the top of that range usually means the mineral contact has been passed. ","")&amp;IF(AND(ISNUMBER($N246),$N246&gt;QC_CARBON_PCT_MAX),"Carbon above "&amp;QC_CARBON_PCT_MAX&amp;"% — check units; this may be organic matter rather than carbon. ","")&amp;IF(AND($L246&lt;&gt;"",$M246&lt;&gt;""),"Both LOI and measured carbon given — the measured value is used. ","")&amp;IF(AND($M246="",$L246&lt;&gt;"",OM_FACTOR_IS_LOCAL&lt;&gt;"Yes"),"Carbon derived from LOI using the default factor of "&amp;CARBON_FRACTION_OM&amp;", which has not been calibrated locally. See R1. Reference. ","")&amp;IF(AND(ISNUMBER($O246),$O246=0,ISNUMBER($E246)),"Section lies entirely below the reference depth — it counts to the full-profile stock only. ",""))</f>
        <v/>
      </c>
      <c r="U246" s="14"/>
    </row>
    <row r="247" spans="1:21" ht="15.75" customHeight="1">
      <c r="A247" s="14"/>
      <c r="B247" s="14"/>
      <c r="C247" s="14"/>
      <c r="D247" s="14"/>
      <c r="E247" s="14"/>
      <c r="F247" s="14"/>
      <c r="G247" s="14" t="str">
        <f t="shared" si="26"/>
        <v/>
      </c>
      <c r="H247" s="14"/>
      <c r="I247" s="14"/>
      <c r="J247" s="24"/>
      <c r="K247" s="24"/>
      <c r="L247" s="24"/>
      <c r="M247" s="24"/>
      <c r="N247" s="16" t="str">
        <f t="shared" si="24"/>
        <v/>
      </c>
      <c r="O247" s="16" t="str">
        <f t="shared" si="27"/>
        <v/>
      </c>
      <c r="P247" s="16" t="str">
        <f t="shared" si="28"/>
        <v/>
      </c>
      <c r="Q247" s="16" t="str">
        <f t="shared" si="29"/>
        <v/>
      </c>
      <c r="R247" s="16">
        <f t="shared" si="25"/>
        <v>0</v>
      </c>
      <c r="S247" s="16" t="str">
        <f>IF(OR($B247="",NOT(ISNUMBER($F247))),"",SUMIFS(community_cores_FS!$P$5:$P$597,community_cores_FS!$B$5:$B$597,$B247,community_cores_FS!$F$5:$F$597,"&lt;="&amp;$F247))</f>
        <v/>
      </c>
      <c r="T247" s="16" t="str">
        <f>IF(AND($A247="",$B247="",$E247=""),"",IF(AND($B247&lt;&gt;"",COUNTIF('2. Core Log'!$A$5:$A$124,$B247)=0),"Core ID not in Core Log. ","")&amp;IF(AND($A247&lt;&gt;"",COUNTIF('1. Plot &amp; Site Log'!$A$5:$A$64,$A247)=0),"Plot ID not in Plot &amp; Site Log. ","")&amp;IF(AND(ISNUMBER($E247),ISNUMBER($F247),$F247&lt;=$E247),"Bottom depth is not below top depth. ","")&amp;IF($I247="","Say which bulk-density basis the lab reported. ","")&amp;IF(AND(ISNUMBER($J247),OR($J247&lt;QC_BD_MIN,$J247&gt;QC_BD_MAX)),"Bulk density outside "&amp;QC_BD_MIN&amp;"–"&amp;QC_BD_MAX&amp;" g/cm³ for peat. Above the top of that range usually means the mineral contact has been passed. ","")&amp;IF(AND(ISNUMBER($N247),$N247&gt;QC_CARBON_PCT_MAX),"Carbon above "&amp;QC_CARBON_PCT_MAX&amp;"% — check units; this may be organic matter rather than carbon. ","")&amp;IF(AND($L247&lt;&gt;"",$M247&lt;&gt;""),"Both LOI and measured carbon given — the measured value is used. ","")&amp;IF(AND($M247="",$L247&lt;&gt;"",OM_FACTOR_IS_LOCAL&lt;&gt;"Yes"),"Carbon derived from LOI using the default factor of "&amp;CARBON_FRACTION_OM&amp;", which has not been calibrated locally. See R1. Reference. ","")&amp;IF(AND(ISNUMBER($O247),$O247=0,ISNUMBER($E247)),"Section lies entirely below the reference depth — it counts to the full-profile stock only. ",""))</f>
        <v/>
      </c>
      <c r="U247" s="14"/>
    </row>
    <row r="248" spans="1:21" ht="15.75" customHeight="1">
      <c r="A248" s="14"/>
      <c r="B248" s="14"/>
      <c r="C248" s="14"/>
      <c r="D248" s="14"/>
      <c r="E248" s="14"/>
      <c r="F248" s="14"/>
      <c r="G248" s="14" t="str">
        <f t="shared" si="26"/>
        <v/>
      </c>
      <c r="H248" s="14"/>
      <c r="I248" s="14"/>
      <c r="J248" s="24"/>
      <c r="K248" s="24"/>
      <c r="L248" s="24"/>
      <c r="M248" s="24"/>
      <c r="N248" s="16" t="str">
        <f t="shared" si="24"/>
        <v/>
      </c>
      <c r="O248" s="16" t="str">
        <f t="shared" si="27"/>
        <v/>
      </c>
      <c r="P248" s="16" t="str">
        <f t="shared" si="28"/>
        <v/>
      </c>
      <c r="Q248" s="16" t="str">
        <f t="shared" si="29"/>
        <v/>
      </c>
      <c r="R248" s="16">
        <f t="shared" si="25"/>
        <v>0</v>
      </c>
      <c r="S248" s="16" t="str">
        <f>IF(OR($B248="",NOT(ISNUMBER($F248))),"",SUMIFS(community_cores_FS!$P$5:$P$597,community_cores_FS!$B$5:$B$597,$B248,community_cores_FS!$F$5:$F$597,"&lt;="&amp;$F248))</f>
        <v/>
      </c>
      <c r="T248" s="16" t="str">
        <f>IF(AND($A248="",$B248="",$E248=""),"",IF(AND($B248&lt;&gt;"",COUNTIF('2. Core Log'!$A$5:$A$124,$B248)=0),"Core ID not in Core Log. ","")&amp;IF(AND($A248&lt;&gt;"",COUNTIF('1. Plot &amp; Site Log'!$A$5:$A$64,$A248)=0),"Plot ID not in Plot &amp; Site Log. ","")&amp;IF(AND(ISNUMBER($E248),ISNUMBER($F248),$F248&lt;=$E248),"Bottom depth is not below top depth. ","")&amp;IF($I248="","Say which bulk-density basis the lab reported. ","")&amp;IF(AND(ISNUMBER($J248),OR($J248&lt;QC_BD_MIN,$J248&gt;QC_BD_MAX)),"Bulk density outside "&amp;QC_BD_MIN&amp;"–"&amp;QC_BD_MAX&amp;" g/cm³ for peat. Above the top of that range usually means the mineral contact has been passed. ","")&amp;IF(AND(ISNUMBER($N248),$N248&gt;QC_CARBON_PCT_MAX),"Carbon above "&amp;QC_CARBON_PCT_MAX&amp;"% — check units; this may be organic matter rather than carbon. ","")&amp;IF(AND($L248&lt;&gt;"",$M248&lt;&gt;""),"Both LOI and measured carbon given — the measured value is used. ","")&amp;IF(AND($M248="",$L248&lt;&gt;"",OM_FACTOR_IS_LOCAL&lt;&gt;"Yes"),"Carbon derived from LOI using the default factor of "&amp;CARBON_FRACTION_OM&amp;", which has not been calibrated locally. See R1. Reference. ","")&amp;IF(AND(ISNUMBER($O248),$O248=0,ISNUMBER($E248)),"Section lies entirely below the reference depth — it counts to the full-profile stock only. ",""))</f>
        <v/>
      </c>
      <c r="U248" s="14"/>
    </row>
    <row r="249" spans="1:21" ht="15.75" customHeight="1">
      <c r="A249" s="14"/>
      <c r="B249" s="14"/>
      <c r="C249" s="14"/>
      <c r="D249" s="14"/>
      <c r="E249" s="14"/>
      <c r="F249" s="14"/>
      <c r="G249" s="14" t="str">
        <f t="shared" si="26"/>
        <v/>
      </c>
      <c r="H249" s="14"/>
      <c r="I249" s="14"/>
      <c r="J249" s="24"/>
      <c r="K249" s="24"/>
      <c r="L249" s="24"/>
      <c r="M249" s="24"/>
      <c r="N249" s="16" t="str">
        <f t="shared" si="24"/>
        <v/>
      </c>
      <c r="O249" s="16" t="str">
        <f t="shared" si="27"/>
        <v/>
      </c>
      <c r="P249" s="16" t="str">
        <f t="shared" si="28"/>
        <v/>
      </c>
      <c r="Q249" s="16" t="str">
        <f t="shared" si="29"/>
        <v/>
      </c>
      <c r="R249" s="16">
        <f t="shared" si="25"/>
        <v>0</v>
      </c>
      <c r="S249" s="16" t="str">
        <f>IF(OR($B249="",NOT(ISNUMBER($F249))),"",SUMIFS(community_cores_FS!$P$5:$P$597,community_cores_FS!$B$5:$B$597,$B249,community_cores_FS!$F$5:$F$597,"&lt;="&amp;$F249))</f>
        <v/>
      </c>
      <c r="T249" s="16" t="str">
        <f>IF(AND($A249="",$B249="",$E249=""),"",IF(AND($B249&lt;&gt;"",COUNTIF('2. Core Log'!$A$5:$A$124,$B249)=0),"Core ID not in Core Log. ","")&amp;IF(AND($A249&lt;&gt;"",COUNTIF('1. Plot &amp; Site Log'!$A$5:$A$64,$A249)=0),"Plot ID not in Plot &amp; Site Log. ","")&amp;IF(AND(ISNUMBER($E249),ISNUMBER($F249),$F249&lt;=$E249),"Bottom depth is not below top depth. ","")&amp;IF($I249="","Say which bulk-density basis the lab reported. ","")&amp;IF(AND(ISNUMBER($J249),OR($J249&lt;QC_BD_MIN,$J249&gt;QC_BD_MAX)),"Bulk density outside "&amp;QC_BD_MIN&amp;"–"&amp;QC_BD_MAX&amp;" g/cm³ for peat. Above the top of that range usually means the mineral contact has been passed. ","")&amp;IF(AND(ISNUMBER($N249),$N249&gt;QC_CARBON_PCT_MAX),"Carbon above "&amp;QC_CARBON_PCT_MAX&amp;"% — check units; this may be organic matter rather than carbon. ","")&amp;IF(AND($L249&lt;&gt;"",$M249&lt;&gt;""),"Both LOI and measured carbon given — the measured value is used. ","")&amp;IF(AND($M249="",$L249&lt;&gt;"",OM_FACTOR_IS_LOCAL&lt;&gt;"Yes"),"Carbon derived from LOI using the default factor of "&amp;CARBON_FRACTION_OM&amp;", which has not been calibrated locally. See R1. Reference. ","")&amp;IF(AND(ISNUMBER($O249),$O249=0,ISNUMBER($E249)),"Section lies entirely below the reference depth — it counts to the full-profile stock only. ",""))</f>
        <v/>
      </c>
      <c r="U249" s="14"/>
    </row>
    <row r="250" spans="1:21" ht="15.75" customHeight="1">
      <c r="A250" s="14"/>
      <c r="B250" s="14"/>
      <c r="C250" s="14"/>
      <c r="D250" s="14"/>
      <c r="E250" s="14"/>
      <c r="F250" s="14"/>
      <c r="G250" s="14" t="str">
        <f t="shared" si="26"/>
        <v/>
      </c>
      <c r="H250" s="14"/>
      <c r="I250" s="14"/>
      <c r="J250" s="24"/>
      <c r="K250" s="24"/>
      <c r="L250" s="24"/>
      <c r="M250" s="24"/>
      <c r="N250" s="16" t="str">
        <f t="shared" si="24"/>
        <v/>
      </c>
      <c r="O250" s="16" t="str">
        <f t="shared" si="27"/>
        <v/>
      </c>
      <c r="P250" s="16" t="str">
        <f t="shared" si="28"/>
        <v/>
      </c>
      <c r="Q250" s="16" t="str">
        <f t="shared" si="29"/>
        <v/>
      </c>
      <c r="R250" s="16">
        <f t="shared" si="25"/>
        <v>0</v>
      </c>
      <c r="S250" s="16" t="str">
        <f>IF(OR($B250="",NOT(ISNUMBER($F250))),"",SUMIFS(community_cores_FS!$P$5:$P$597,community_cores_FS!$B$5:$B$597,$B250,community_cores_FS!$F$5:$F$597,"&lt;="&amp;$F250))</f>
        <v/>
      </c>
      <c r="T250" s="16" t="str">
        <f>IF(AND($A250="",$B250="",$E250=""),"",IF(AND($B250&lt;&gt;"",COUNTIF('2. Core Log'!$A$5:$A$124,$B250)=0),"Core ID not in Core Log. ","")&amp;IF(AND($A250&lt;&gt;"",COUNTIF('1. Plot &amp; Site Log'!$A$5:$A$64,$A250)=0),"Plot ID not in Plot &amp; Site Log. ","")&amp;IF(AND(ISNUMBER($E250),ISNUMBER($F250),$F250&lt;=$E250),"Bottom depth is not below top depth. ","")&amp;IF($I250="","Say which bulk-density basis the lab reported. ","")&amp;IF(AND(ISNUMBER($J250),OR($J250&lt;QC_BD_MIN,$J250&gt;QC_BD_MAX)),"Bulk density outside "&amp;QC_BD_MIN&amp;"–"&amp;QC_BD_MAX&amp;" g/cm³ for peat. Above the top of that range usually means the mineral contact has been passed. ","")&amp;IF(AND(ISNUMBER($N250),$N250&gt;QC_CARBON_PCT_MAX),"Carbon above "&amp;QC_CARBON_PCT_MAX&amp;"% — check units; this may be organic matter rather than carbon. ","")&amp;IF(AND($L250&lt;&gt;"",$M250&lt;&gt;""),"Both LOI and measured carbon given — the measured value is used. ","")&amp;IF(AND($M250="",$L250&lt;&gt;"",OM_FACTOR_IS_LOCAL&lt;&gt;"Yes"),"Carbon derived from LOI using the default factor of "&amp;CARBON_FRACTION_OM&amp;", which has not been calibrated locally. See R1. Reference. ","")&amp;IF(AND(ISNUMBER($O250),$O250=0,ISNUMBER($E250)),"Section lies entirely below the reference depth — it counts to the full-profile stock only. ",""))</f>
        <v/>
      </c>
      <c r="U250" s="14"/>
    </row>
    <row r="251" spans="1:21" ht="15.75" customHeight="1">
      <c r="A251" s="14"/>
      <c r="B251" s="14"/>
      <c r="C251" s="14"/>
      <c r="D251" s="14"/>
      <c r="E251" s="14"/>
      <c r="F251" s="14"/>
      <c r="G251" s="14" t="str">
        <f t="shared" si="26"/>
        <v/>
      </c>
      <c r="H251" s="14"/>
      <c r="I251" s="14"/>
      <c r="J251" s="24"/>
      <c r="K251" s="24"/>
      <c r="L251" s="24"/>
      <c r="M251" s="24"/>
      <c r="N251" s="16" t="str">
        <f t="shared" si="24"/>
        <v/>
      </c>
      <c r="O251" s="16" t="str">
        <f t="shared" si="27"/>
        <v/>
      </c>
      <c r="P251" s="16" t="str">
        <f t="shared" si="28"/>
        <v/>
      </c>
      <c r="Q251" s="16" t="str">
        <f t="shared" si="29"/>
        <v/>
      </c>
      <c r="R251" s="16">
        <f t="shared" si="25"/>
        <v>0</v>
      </c>
      <c r="S251" s="16" t="str">
        <f>IF(OR($B251="",NOT(ISNUMBER($F251))),"",SUMIFS(community_cores_FS!$P$5:$P$597,community_cores_FS!$B$5:$B$597,$B251,community_cores_FS!$F$5:$F$597,"&lt;="&amp;$F251))</f>
        <v/>
      </c>
      <c r="T251" s="16" t="str">
        <f>IF(AND($A251="",$B251="",$E251=""),"",IF(AND($B251&lt;&gt;"",COUNTIF('2. Core Log'!$A$5:$A$124,$B251)=0),"Core ID not in Core Log. ","")&amp;IF(AND($A251&lt;&gt;"",COUNTIF('1. Plot &amp; Site Log'!$A$5:$A$64,$A251)=0),"Plot ID not in Plot &amp; Site Log. ","")&amp;IF(AND(ISNUMBER($E251),ISNUMBER($F251),$F251&lt;=$E251),"Bottom depth is not below top depth. ","")&amp;IF($I251="","Say which bulk-density basis the lab reported. ","")&amp;IF(AND(ISNUMBER($J251),OR($J251&lt;QC_BD_MIN,$J251&gt;QC_BD_MAX)),"Bulk density outside "&amp;QC_BD_MIN&amp;"–"&amp;QC_BD_MAX&amp;" g/cm³ for peat. Above the top of that range usually means the mineral contact has been passed. ","")&amp;IF(AND(ISNUMBER($N251),$N251&gt;QC_CARBON_PCT_MAX),"Carbon above "&amp;QC_CARBON_PCT_MAX&amp;"% — check units; this may be organic matter rather than carbon. ","")&amp;IF(AND($L251&lt;&gt;"",$M251&lt;&gt;""),"Both LOI and measured carbon given — the measured value is used. ","")&amp;IF(AND($M251="",$L251&lt;&gt;"",OM_FACTOR_IS_LOCAL&lt;&gt;"Yes"),"Carbon derived from LOI using the default factor of "&amp;CARBON_FRACTION_OM&amp;", which has not been calibrated locally. See R1. Reference. ","")&amp;IF(AND(ISNUMBER($O251),$O251=0,ISNUMBER($E251)),"Section lies entirely below the reference depth — it counts to the full-profile stock only. ",""))</f>
        <v/>
      </c>
      <c r="U251" s="14"/>
    </row>
    <row r="252" spans="1:21" ht="15.75" customHeight="1">
      <c r="A252" s="14"/>
      <c r="B252" s="14"/>
      <c r="C252" s="14"/>
      <c r="D252" s="14"/>
      <c r="E252" s="14"/>
      <c r="F252" s="14"/>
      <c r="G252" s="14" t="str">
        <f t="shared" si="26"/>
        <v/>
      </c>
      <c r="H252" s="14"/>
      <c r="I252" s="14"/>
      <c r="J252" s="24"/>
      <c r="K252" s="24"/>
      <c r="L252" s="24"/>
      <c r="M252" s="24"/>
      <c r="N252" s="16" t="str">
        <f t="shared" si="24"/>
        <v/>
      </c>
      <c r="O252" s="16" t="str">
        <f t="shared" si="27"/>
        <v/>
      </c>
      <c r="P252" s="16" t="str">
        <f t="shared" si="28"/>
        <v/>
      </c>
      <c r="Q252" s="16" t="str">
        <f t="shared" si="29"/>
        <v/>
      </c>
      <c r="R252" s="16">
        <f t="shared" si="25"/>
        <v>0</v>
      </c>
      <c r="S252" s="16" t="str">
        <f>IF(OR($B252="",NOT(ISNUMBER($F252))),"",SUMIFS(community_cores_FS!$P$5:$P$597,community_cores_FS!$B$5:$B$597,$B252,community_cores_FS!$F$5:$F$597,"&lt;="&amp;$F252))</f>
        <v/>
      </c>
      <c r="T252" s="16" t="str">
        <f>IF(AND($A252="",$B252="",$E252=""),"",IF(AND($B252&lt;&gt;"",COUNTIF('2. Core Log'!$A$5:$A$124,$B252)=0),"Core ID not in Core Log. ","")&amp;IF(AND($A252&lt;&gt;"",COUNTIF('1. Plot &amp; Site Log'!$A$5:$A$64,$A252)=0),"Plot ID not in Plot &amp; Site Log. ","")&amp;IF(AND(ISNUMBER($E252),ISNUMBER($F252),$F252&lt;=$E252),"Bottom depth is not below top depth. ","")&amp;IF($I252="","Say which bulk-density basis the lab reported. ","")&amp;IF(AND(ISNUMBER($J252),OR($J252&lt;QC_BD_MIN,$J252&gt;QC_BD_MAX)),"Bulk density outside "&amp;QC_BD_MIN&amp;"–"&amp;QC_BD_MAX&amp;" g/cm³ for peat. Above the top of that range usually means the mineral contact has been passed. ","")&amp;IF(AND(ISNUMBER($N252),$N252&gt;QC_CARBON_PCT_MAX),"Carbon above "&amp;QC_CARBON_PCT_MAX&amp;"% — check units; this may be organic matter rather than carbon. ","")&amp;IF(AND($L252&lt;&gt;"",$M252&lt;&gt;""),"Both LOI and measured carbon given — the measured value is used. ","")&amp;IF(AND($M252="",$L252&lt;&gt;"",OM_FACTOR_IS_LOCAL&lt;&gt;"Yes"),"Carbon derived from LOI using the default factor of "&amp;CARBON_FRACTION_OM&amp;", which has not been calibrated locally. See R1. Reference. ","")&amp;IF(AND(ISNUMBER($O252),$O252=0,ISNUMBER($E252)),"Section lies entirely below the reference depth — it counts to the full-profile stock only. ",""))</f>
        <v/>
      </c>
      <c r="U252" s="14"/>
    </row>
    <row r="253" spans="1:21" ht="15.75" customHeight="1">
      <c r="A253" s="14"/>
      <c r="B253" s="14"/>
      <c r="C253" s="14"/>
      <c r="D253" s="14"/>
      <c r="E253" s="14"/>
      <c r="F253" s="14"/>
      <c r="G253" s="14" t="str">
        <f t="shared" si="26"/>
        <v/>
      </c>
      <c r="H253" s="14"/>
      <c r="I253" s="14"/>
      <c r="J253" s="24"/>
      <c r="K253" s="24"/>
      <c r="L253" s="24"/>
      <c r="M253" s="24"/>
      <c r="N253" s="16" t="str">
        <f t="shared" si="24"/>
        <v/>
      </c>
      <c r="O253" s="16" t="str">
        <f t="shared" si="27"/>
        <v/>
      </c>
      <c r="P253" s="16" t="str">
        <f t="shared" si="28"/>
        <v/>
      </c>
      <c r="Q253" s="16" t="str">
        <f t="shared" si="29"/>
        <v/>
      </c>
      <c r="R253" s="16">
        <f t="shared" si="25"/>
        <v>0</v>
      </c>
      <c r="S253" s="16" t="str">
        <f>IF(OR($B253="",NOT(ISNUMBER($F253))),"",SUMIFS(community_cores_FS!$P$5:$P$597,community_cores_FS!$B$5:$B$597,$B253,community_cores_FS!$F$5:$F$597,"&lt;="&amp;$F253))</f>
        <v/>
      </c>
      <c r="T253" s="16" t="str">
        <f>IF(AND($A253="",$B253="",$E253=""),"",IF(AND($B253&lt;&gt;"",COUNTIF('2. Core Log'!$A$5:$A$124,$B253)=0),"Core ID not in Core Log. ","")&amp;IF(AND($A253&lt;&gt;"",COUNTIF('1. Plot &amp; Site Log'!$A$5:$A$64,$A253)=0),"Plot ID not in Plot &amp; Site Log. ","")&amp;IF(AND(ISNUMBER($E253),ISNUMBER($F253),$F253&lt;=$E253),"Bottom depth is not below top depth. ","")&amp;IF($I253="","Say which bulk-density basis the lab reported. ","")&amp;IF(AND(ISNUMBER($J253),OR($J253&lt;QC_BD_MIN,$J253&gt;QC_BD_MAX)),"Bulk density outside "&amp;QC_BD_MIN&amp;"–"&amp;QC_BD_MAX&amp;" g/cm³ for peat. Above the top of that range usually means the mineral contact has been passed. ","")&amp;IF(AND(ISNUMBER($N253),$N253&gt;QC_CARBON_PCT_MAX),"Carbon above "&amp;QC_CARBON_PCT_MAX&amp;"% — check units; this may be organic matter rather than carbon. ","")&amp;IF(AND($L253&lt;&gt;"",$M253&lt;&gt;""),"Both LOI and measured carbon given — the measured value is used. ","")&amp;IF(AND($M253="",$L253&lt;&gt;"",OM_FACTOR_IS_LOCAL&lt;&gt;"Yes"),"Carbon derived from LOI using the default factor of "&amp;CARBON_FRACTION_OM&amp;", which has not been calibrated locally. See R1. Reference. ","")&amp;IF(AND(ISNUMBER($O253),$O253=0,ISNUMBER($E253)),"Section lies entirely below the reference depth — it counts to the full-profile stock only. ",""))</f>
        <v/>
      </c>
      <c r="U253" s="14"/>
    </row>
    <row r="254" spans="1:21" ht="15.75" customHeight="1">
      <c r="A254" s="14"/>
      <c r="B254" s="14"/>
      <c r="C254" s="14"/>
      <c r="D254" s="14"/>
      <c r="E254" s="14"/>
      <c r="F254" s="14"/>
      <c r="G254" s="14" t="str">
        <f t="shared" si="26"/>
        <v/>
      </c>
      <c r="H254" s="14"/>
      <c r="I254" s="14"/>
      <c r="J254" s="24"/>
      <c r="K254" s="24"/>
      <c r="L254" s="24"/>
      <c r="M254" s="24"/>
      <c r="N254" s="16" t="str">
        <f t="shared" ref="N254:N317" si="30">IF($M254&lt;&gt;"",$M254,IF($L254&lt;&gt;"",$L254*CARBON_FRACTION_OM,""))</f>
        <v/>
      </c>
      <c r="O254" s="16" t="str">
        <f t="shared" si="27"/>
        <v/>
      </c>
      <c r="P254" s="16" t="str">
        <f t="shared" si="28"/>
        <v/>
      </c>
      <c r="Q254" s="16" t="str">
        <f t="shared" si="29"/>
        <v/>
      </c>
      <c r="R254" s="16">
        <f t="shared" ref="R254:R317" si="31">IF(OR(NOT(ISNUMBER($P254)),NOT(ISNUMBER($G254)),$G254=0),0,$P254/$G254)</f>
        <v>0</v>
      </c>
      <c r="S254" s="16" t="str">
        <f>IF(OR($B254="",NOT(ISNUMBER($F254))),"",SUMIFS(community_cores_FS!$P$5:$P$597,community_cores_FS!$B$5:$B$597,$B254,community_cores_FS!$F$5:$F$597,"&lt;="&amp;$F254))</f>
        <v/>
      </c>
      <c r="T254" s="16" t="str">
        <f>IF(AND($A254="",$B254="",$E254=""),"",IF(AND($B254&lt;&gt;"",COUNTIF('2. Core Log'!$A$5:$A$124,$B254)=0),"Core ID not in Core Log. ","")&amp;IF(AND($A254&lt;&gt;"",COUNTIF('1. Plot &amp; Site Log'!$A$5:$A$64,$A254)=0),"Plot ID not in Plot &amp; Site Log. ","")&amp;IF(AND(ISNUMBER($E254),ISNUMBER($F254),$F254&lt;=$E254),"Bottom depth is not below top depth. ","")&amp;IF($I254="","Say which bulk-density basis the lab reported. ","")&amp;IF(AND(ISNUMBER($J254),OR($J254&lt;QC_BD_MIN,$J254&gt;QC_BD_MAX)),"Bulk density outside "&amp;QC_BD_MIN&amp;"–"&amp;QC_BD_MAX&amp;" g/cm³ for peat. Above the top of that range usually means the mineral contact has been passed. ","")&amp;IF(AND(ISNUMBER($N254),$N254&gt;QC_CARBON_PCT_MAX),"Carbon above "&amp;QC_CARBON_PCT_MAX&amp;"% — check units; this may be organic matter rather than carbon. ","")&amp;IF(AND($L254&lt;&gt;"",$M254&lt;&gt;""),"Both LOI and measured carbon given — the measured value is used. ","")&amp;IF(AND($M254="",$L254&lt;&gt;"",OM_FACTOR_IS_LOCAL&lt;&gt;"Yes"),"Carbon derived from LOI using the default factor of "&amp;CARBON_FRACTION_OM&amp;", which has not been calibrated locally. See R1. Reference. ","")&amp;IF(AND(ISNUMBER($O254),$O254=0,ISNUMBER($E254)),"Section lies entirely below the reference depth — it counts to the full-profile stock only. ",""))</f>
        <v/>
      </c>
      <c r="U254" s="14"/>
    </row>
    <row r="255" spans="1:21" ht="15.75" customHeight="1">
      <c r="A255" s="14"/>
      <c r="B255" s="14"/>
      <c r="C255" s="14"/>
      <c r="D255" s="14"/>
      <c r="E255" s="14"/>
      <c r="F255" s="14"/>
      <c r="G255" s="14" t="str">
        <f t="shared" si="26"/>
        <v/>
      </c>
      <c r="H255" s="14"/>
      <c r="I255" s="14"/>
      <c r="J255" s="24"/>
      <c r="K255" s="24"/>
      <c r="L255" s="24"/>
      <c r="M255" s="24"/>
      <c r="N255" s="16" t="str">
        <f t="shared" si="30"/>
        <v/>
      </c>
      <c r="O255" s="16" t="str">
        <f t="shared" si="27"/>
        <v/>
      </c>
      <c r="P255" s="16" t="str">
        <f t="shared" si="28"/>
        <v/>
      </c>
      <c r="Q255" s="16" t="str">
        <f t="shared" si="29"/>
        <v/>
      </c>
      <c r="R255" s="16">
        <f t="shared" si="31"/>
        <v>0</v>
      </c>
      <c r="S255" s="16" t="str">
        <f>IF(OR($B255="",NOT(ISNUMBER($F255))),"",SUMIFS(community_cores_FS!$P$5:$P$597,community_cores_FS!$B$5:$B$597,$B255,community_cores_FS!$F$5:$F$597,"&lt;="&amp;$F255))</f>
        <v/>
      </c>
      <c r="T255" s="16" t="str">
        <f>IF(AND($A255="",$B255="",$E255=""),"",IF(AND($B255&lt;&gt;"",COUNTIF('2. Core Log'!$A$5:$A$124,$B255)=0),"Core ID not in Core Log. ","")&amp;IF(AND($A255&lt;&gt;"",COUNTIF('1. Plot &amp; Site Log'!$A$5:$A$64,$A255)=0),"Plot ID not in Plot &amp; Site Log. ","")&amp;IF(AND(ISNUMBER($E255),ISNUMBER($F255),$F255&lt;=$E255),"Bottom depth is not below top depth. ","")&amp;IF($I255="","Say which bulk-density basis the lab reported. ","")&amp;IF(AND(ISNUMBER($J255),OR($J255&lt;QC_BD_MIN,$J255&gt;QC_BD_MAX)),"Bulk density outside "&amp;QC_BD_MIN&amp;"–"&amp;QC_BD_MAX&amp;" g/cm³ for peat. Above the top of that range usually means the mineral contact has been passed. ","")&amp;IF(AND(ISNUMBER($N255),$N255&gt;QC_CARBON_PCT_MAX),"Carbon above "&amp;QC_CARBON_PCT_MAX&amp;"% — check units; this may be organic matter rather than carbon. ","")&amp;IF(AND($L255&lt;&gt;"",$M255&lt;&gt;""),"Both LOI and measured carbon given — the measured value is used. ","")&amp;IF(AND($M255="",$L255&lt;&gt;"",OM_FACTOR_IS_LOCAL&lt;&gt;"Yes"),"Carbon derived from LOI using the default factor of "&amp;CARBON_FRACTION_OM&amp;", which has not been calibrated locally. See R1. Reference. ","")&amp;IF(AND(ISNUMBER($O255),$O255=0,ISNUMBER($E255)),"Section lies entirely below the reference depth — it counts to the full-profile stock only. ",""))</f>
        <v/>
      </c>
      <c r="U255" s="14"/>
    </row>
    <row r="256" spans="1:21" ht="15.75" customHeight="1">
      <c r="A256" s="14"/>
      <c r="B256" s="14"/>
      <c r="C256" s="14"/>
      <c r="D256" s="14"/>
      <c r="E256" s="14"/>
      <c r="F256" s="14"/>
      <c r="G256" s="14" t="str">
        <f t="shared" si="26"/>
        <v/>
      </c>
      <c r="H256" s="14"/>
      <c r="I256" s="14"/>
      <c r="J256" s="24"/>
      <c r="K256" s="24"/>
      <c r="L256" s="24"/>
      <c r="M256" s="24"/>
      <c r="N256" s="16" t="str">
        <f t="shared" si="30"/>
        <v/>
      </c>
      <c r="O256" s="16" t="str">
        <f t="shared" si="27"/>
        <v/>
      </c>
      <c r="P256" s="16" t="str">
        <f t="shared" si="28"/>
        <v/>
      </c>
      <c r="Q256" s="16" t="str">
        <f t="shared" si="29"/>
        <v/>
      </c>
      <c r="R256" s="16">
        <f t="shared" si="31"/>
        <v>0</v>
      </c>
      <c r="S256" s="16" t="str">
        <f>IF(OR($B256="",NOT(ISNUMBER($F256))),"",SUMIFS(community_cores_FS!$P$5:$P$597,community_cores_FS!$B$5:$B$597,$B256,community_cores_FS!$F$5:$F$597,"&lt;="&amp;$F256))</f>
        <v/>
      </c>
      <c r="T256" s="16" t="str">
        <f>IF(AND($A256="",$B256="",$E256=""),"",IF(AND($B256&lt;&gt;"",COUNTIF('2. Core Log'!$A$5:$A$124,$B256)=0),"Core ID not in Core Log. ","")&amp;IF(AND($A256&lt;&gt;"",COUNTIF('1. Plot &amp; Site Log'!$A$5:$A$64,$A256)=0),"Plot ID not in Plot &amp; Site Log. ","")&amp;IF(AND(ISNUMBER($E256),ISNUMBER($F256),$F256&lt;=$E256),"Bottom depth is not below top depth. ","")&amp;IF($I256="","Say which bulk-density basis the lab reported. ","")&amp;IF(AND(ISNUMBER($J256),OR($J256&lt;QC_BD_MIN,$J256&gt;QC_BD_MAX)),"Bulk density outside "&amp;QC_BD_MIN&amp;"–"&amp;QC_BD_MAX&amp;" g/cm³ for peat. Above the top of that range usually means the mineral contact has been passed. ","")&amp;IF(AND(ISNUMBER($N256),$N256&gt;QC_CARBON_PCT_MAX),"Carbon above "&amp;QC_CARBON_PCT_MAX&amp;"% — check units; this may be organic matter rather than carbon. ","")&amp;IF(AND($L256&lt;&gt;"",$M256&lt;&gt;""),"Both LOI and measured carbon given — the measured value is used. ","")&amp;IF(AND($M256="",$L256&lt;&gt;"",OM_FACTOR_IS_LOCAL&lt;&gt;"Yes"),"Carbon derived from LOI using the default factor of "&amp;CARBON_FRACTION_OM&amp;", which has not been calibrated locally. See R1. Reference. ","")&amp;IF(AND(ISNUMBER($O256),$O256=0,ISNUMBER($E256)),"Section lies entirely below the reference depth — it counts to the full-profile stock only. ",""))</f>
        <v/>
      </c>
      <c r="U256" s="14"/>
    </row>
    <row r="257" spans="1:21" ht="15.75" customHeight="1">
      <c r="A257" s="14"/>
      <c r="B257" s="14"/>
      <c r="C257" s="14"/>
      <c r="D257" s="14"/>
      <c r="E257" s="14"/>
      <c r="F257" s="14"/>
      <c r="G257" s="14" t="str">
        <f t="shared" si="26"/>
        <v/>
      </c>
      <c r="H257" s="14"/>
      <c r="I257" s="14"/>
      <c r="J257" s="24"/>
      <c r="K257" s="24"/>
      <c r="L257" s="24"/>
      <c r="M257" s="24"/>
      <c r="N257" s="16" t="str">
        <f t="shared" si="30"/>
        <v/>
      </c>
      <c r="O257" s="16" t="str">
        <f t="shared" si="27"/>
        <v/>
      </c>
      <c r="P257" s="16" t="str">
        <f t="shared" si="28"/>
        <v/>
      </c>
      <c r="Q257" s="16" t="str">
        <f t="shared" si="29"/>
        <v/>
      </c>
      <c r="R257" s="16">
        <f t="shared" si="31"/>
        <v>0</v>
      </c>
      <c r="S257" s="16" t="str">
        <f>IF(OR($B257="",NOT(ISNUMBER($F257))),"",SUMIFS(community_cores_FS!$P$5:$P$597,community_cores_FS!$B$5:$B$597,$B257,community_cores_FS!$F$5:$F$597,"&lt;="&amp;$F257))</f>
        <v/>
      </c>
      <c r="T257" s="16" t="str">
        <f>IF(AND($A257="",$B257="",$E257=""),"",IF(AND($B257&lt;&gt;"",COUNTIF('2. Core Log'!$A$5:$A$124,$B257)=0),"Core ID not in Core Log. ","")&amp;IF(AND($A257&lt;&gt;"",COUNTIF('1. Plot &amp; Site Log'!$A$5:$A$64,$A257)=0),"Plot ID not in Plot &amp; Site Log. ","")&amp;IF(AND(ISNUMBER($E257),ISNUMBER($F257),$F257&lt;=$E257),"Bottom depth is not below top depth. ","")&amp;IF($I257="","Say which bulk-density basis the lab reported. ","")&amp;IF(AND(ISNUMBER($J257),OR($J257&lt;QC_BD_MIN,$J257&gt;QC_BD_MAX)),"Bulk density outside "&amp;QC_BD_MIN&amp;"–"&amp;QC_BD_MAX&amp;" g/cm³ for peat. Above the top of that range usually means the mineral contact has been passed. ","")&amp;IF(AND(ISNUMBER($N257),$N257&gt;QC_CARBON_PCT_MAX),"Carbon above "&amp;QC_CARBON_PCT_MAX&amp;"% — check units; this may be organic matter rather than carbon. ","")&amp;IF(AND($L257&lt;&gt;"",$M257&lt;&gt;""),"Both LOI and measured carbon given — the measured value is used. ","")&amp;IF(AND($M257="",$L257&lt;&gt;"",OM_FACTOR_IS_LOCAL&lt;&gt;"Yes"),"Carbon derived from LOI using the default factor of "&amp;CARBON_FRACTION_OM&amp;", which has not been calibrated locally. See R1. Reference. ","")&amp;IF(AND(ISNUMBER($O257),$O257=0,ISNUMBER($E257)),"Section lies entirely below the reference depth — it counts to the full-profile stock only. ",""))</f>
        <v/>
      </c>
      <c r="U257" s="14"/>
    </row>
    <row r="258" spans="1:21" ht="15.75" customHeight="1">
      <c r="A258" s="14"/>
      <c r="B258" s="14"/>
      <c r="C258" s="14"/>
      <c r="D258" s="14"/>
      <c r="E258" s="14"/>
      <c r="F258" s="14"/>
      <c r="G258" s="14" t="str">
        <f t="shared" si="26"/>
        <v/>
      </c>
      <c r="H258" s="14"/>
      <c r="I258" s="14"/>
      <c r="J258" s="24"/>
      <c r="K258" s="24"/>
      <c r="L258" s="24"/>
      <c r="M258" s="24"/>
      <c r="N258" s="16" t="str">
        <f t="shared" si="30"/>
        <v/>
      </c>
      <c r="O258" s="16" t="str">
        <f t="shared" si="27"/>
        <v/>
      </c>
      <c r="P258" s="16" t="str">
        <f t="shared" si="28"/>
        <v/>
      </c>
      <c r="Q258" s="16" t="str">
        <f t="shared" si="29"/>
        <v/>
      </c>
      <c r="R258" s="16">
        <f t="shared" si="31"/>
        <v>0</v>
      </c>
      <c r="S258" s="16" t="str">
        <f>IF(OR($B258="",NOT(ISNUMBER($F258))),"",SUMIFS(community_cores_FS!$P$5:$P$597,community_cores_FS!$B$5:$B$597,$B258,community_cores_FS!$F$5:$F$597,"&lt;="&amp;$F258))</f>
        <v/>
      </c>
      <c r="T258" s="16" t="str">
        <f>IF(AND($A258="",$B258="",$E258=""),"",IF(AND($B258&lt;&gt;"",COUNTIF('2. Core Log'!$A$5:$A$124,$B258)=0),"Core ID not in Core Log. ","")&amp;IF(AND($A258&lt;&gt;"",COUNTIF('1. Plot &amp; Site Log'!$A$5:$A$64,$A258)=0),"Plot ID not in Plot &amp; Site Log. ","")&amp;IF(AND(ISNUMBER($E258),ISNUMBER($F258),$F258&lt;=$E258),"Bottom depth is not below top depth. ","")&amp;IF($I258="","Say which bulk-density basis the lab reported. ","")&amp;IF(AND(ISNUMBER($J258),OR($J258&lt;QC_BD_MIN,$J258&gt;QC_BD_MAX)),"Bulk density outside "&amp;QC_BD_MIN&amp;"–"&amp;QC_BD_MAX&amp;" g/cm³ for peat. Above the top of that range usually means the mineral contact has been passed. ","")&amp;IF(AND(ISNUMBER($N258),$N258&gt;QC_CARBON_PCT_MAX),"Carbon above "&amp;QC_CARBON_PCT_MAX&amp;"% — check units; this may be organic matter rather than carbon. ","")&amp;IF(AND($L258&lt;&gt;"",$M258&lt;&gt;""),"Both LOI and measured carbon given — the measured value is used. ","")&amp;IF(AND($M258="",$L258&lt;&gt;"",OM_FACTOR_IS_LOCAL&lt;&gt;"Yes"),"Carbon derived from LOI using the default factor of "&amp;CARBON_FRACTION_OM&amp;", which has not been calibrated locally. See R1. Reference. ","")&amp;IF(AND(ISNUMBER($O258),$O258=0,ISNUMBER($E258)),"Section lies entirely below the reference depth — it counts to the full-profile stock only. ",""))</f>
        <v/>
      </c>
      <c r="U258" s="14"/>
    </row>
    <row r="259" spans="1:21" ht="15.75" customHeight="1">
      <c r="A259" s="14"/>
      <c r="B259" s="14"/>
      <c r="C259" s="14"/>
      <c r="D259" s="14"/>
      <c r="E259" s="14"/>
      <c r="F259" s="14"/>
      <c r="G259" s="14" t="str">
        <f t="shared" si="26"/>
        <v/>
      </c>
      <c r="H259" s="14"/>
      <c r="I259" s="14"/>
      <c r="J259" s="24"/>
      <c r="K259" s="24"/>
      <c r="L259" s="24"/>
      <c r="M259" s="24"/>
      <c r="N259" s="16" t="str">
        <f t="shared" si="30"/>
        <v/>
      </c>
      <c r="O259" s="16" t="str">
        <f t="shared" si="27"/>
        <v/>
      </c>
      <c r="P259" s="16" t="str">
        <f t="shared" si="28"/>
        <v/>
      </c>
      <c r="Q259" s="16" t="str">
        <f t="shared" si="29"/>
        <v/>
      </c>
      <c r="R259" s="16">
        <f t="shared" si="31"/>
        <v>0</v>
      </c>
      <c r="S259" s="16" t="str">
        <f>IF(OR($B259="",NOT(ISNUMBER($F259))),"",SUMIFS(community_cores_FS!$P$5:$P$597,community_cores_FS!$B$5:$B$597,$B259,community_cores_FS!$F$5:$F$597,"&lt;="&amp;$F259))</f>
        <v/>
      </c>
      <c r="T259" s="16" t="str">
        <f>IF(AND($A259="",$B259="",$E259=""),"",IF(AND($B259&lt;&gt;"",COUNTIF('2. Core Log'!$A$5:$A$124,$B259)=0),"Core ID not in Core Log. ","")&amp;IF(AND($A259&lt;&gt;"",COUNTIF('1. Plot &amp; Site Log'!$A$5:$A$64,$A259)=0),"Plot ID not in Plot &amp; Site Log. ","")&amp;IF(AND(ISNUMBER($E259),ISNUMBER($F259),$F259&lt;=$E259),"Bottom depth is not below top depth. ","")&amp;IF($I259="","Say which bulk-density basis the lab reported. ","")&amp;IF(AND(ISNUMBER($J259),OR($J259&lt;QC_BD_MIN,$J259&gt;QC_BD_MAX)),"Bulk density outside "&amp;QC_BD_MIN&amp;"–"&amp;QC_BD_MAX&amp;" g/cm³ for peat. Above the top of that range usually means the mineral contact has been passed. ","")&amp;IF(AND(ISNUMBER($N259),$N259&gt;QC_CARBON_PCT_MAX),"Carbon above "&amp;QC_CARBON_PCT_MAX&amp;"% — check units; this may be organic matter rather than carbon. ","")&amp;IF(AND($L259&lt;&gt;"",$M259&lt;&gt;""),"Both LOI and measured carbon given — the measured value is used. ","")&amp;IF(AND($M259="",$L259&lt;&gt;"",OM_FACTOR_IS_LOCAL&lt;&gt;"Yes"),"Carbon derived from LOI using the default factor of "&amp;CARBON_FRACTION_OM&amp;", which has not been calibrated locally. See R1. Reference. ","")&amp;IF(AND(ISNUMBER($O259),$O259=0,ISNUMBER($E259)),"Section lies entirely below the reference depth — it counts to the full-profile stock only. ",""))</f>
        <v/>
      </c>
      <c r="U259" s="14"/>
    </row>
    <row r="260" spans="1:21" ht="15.75" customHeight="1">
      <c r="A260" s="14"/>
      <c r="B260" s="14"/>
      <c r="C260" s="14"/>
      <c r="D260" s="14"/>
      <c r="E260" s="14"/>
      <c r="F260" s="14"/>
      <c r="G260" s="14" t="str">
        <f t="shared" si="26"/>
        <v/>
      </c>
      <c r="H260" s="14"/>
      <c r="I260" s="14"/>
      <c r="J260" s="24"/>
      <c r="K260" s="24"/>
      <c r="L260" s="24"/>
      <c r="M260" s="24"/>
      <c r="N260" s="16" t="str">
        <f t="shared" si="30"/>
        <v/>
      </c>
      <c r="O260" s="16" t="str">
        <f t="shared" si="27"/>
        <v/>
      </c>
      <c r="P260" s="16" t="str">
        <f t="shared" si="28"/>
        <v/>
      </c>
      <c r="Q260" s="16" t="str">
        <f t="shared" si="29"/>
        <v/>
      </c>
      <c r="R260" s="16">
        <f t="shared" si="31"/>
        <v>0</v>
      </c>
      <c r="S260" s="16" t="str">
        <f>IF(OR($B260="",NOT(ISNUMBER($F260))),"",SUMIFS(community_cores_FS!$P$5:$P$597,community_cores_FS!$B$5:$B$597,$B260,community_cores_FS!$F$5:$F$597,"&lt;="&amp;$F260))</f>
        <v/>
      </c>
      <c r="T260" s="16" t="str">
        <f>IF(AND($A260="",$B260="",$E260=""),"",IF(AND($B260&lt;&gt;"",COUNTIF('2. Core Log'!$A$5:$A$124,$B260)=0),"Core ID not in Core Log. ","")&amp;IF(AND($A260&lt;&gt;"",COUNTIF('1. Plot &amp; Site Log'!$A$5:$A$64,$A260)=0),"Plot ID not in Plot &amp; Site Log. ","")&amp;IF(AND(ISNUMBER($E260),ISNUMBER($F260),$F260&lt;=$E260),"Bottom depth is not below top depth. ","")&amp;IF($I260="","Say which bulk-density basis the lab reported. ","")&amp;IF(AND(ISNUMBER($J260),OR($J260&lt;QC_BD_MIN,$J260&gt;QC_BD_MAX)),"Bulk density outside "&amp;QC_BD_MIN&amp;"–"&amp;QC_BD_MAX&amp;" g/cm³ for peat. Above the top of that range usually means the mineral contact has been passed. ","")&amp;IF(AND(ISNUMBER($N260),$N260&gt;QC_CARBON_PCT_MAX),"Carbon above "&amp;QC_CARBON_PCT_MAX&amp;"% — check units; this may be organic matter rather than carbon. ","")&amp;IF(AND($L260&lt;&gt;"",$M260&lt;&gt;""),"Both LOI and measured carbon given — the measured value is used. ","")&amp;IF(AND($M260="",$L260&lt;&gt;"",OM_FACTOR_IS_LOCAL&lt;&gt;"Yes"),"Carbon derived from LOI using the default factor of "&amp;CARBON_FRACTION_OM&amp;", which has not been calibrated locally. See R1. Reference. ","")&amp;IF(AND(ISNUMBER($O260),$O260=0,ISNUMBER($E260)),"Section lies entirely below the reference depth — it counts to the full-profile stock only. ",""))</f>
        <v/>
      </c>
      <c r="U260" s="14"/>
    </row>
    <row r="261" spans="1:21" ht="15.75" customHeight="1">
      <c r="A261" s="14"/>
      <c r="B261" s="14"/>
      <c r="C261" s="14"/>
      <c r="D261" s="14"/>
      <c r="E261" s="14"/>
      <c r="F261" s="14"/>
      <c r="G261" s="14" t="str">
        <f t="shared" si="26"/>
        <v/>
      </c>
      <c r="H261" s="14"/>
      <c r="I261" s="14"/>
      <c r="J261" s="24"/>
      <c r="K261" s="24"/>
      <c r="L261" s="24"/>
      <c r="M261" s="24"/>
      <c r="N261" s="16" t="str">
        <f t="shared" si="30"/>
        <v/>
      </c>
      <c r="O261" s="16" t="str">
        <f t="shared" si="27"/>
        <v/>
      </c>
      <c r="P261" s="16" t="str">
        <f t="shared" si="28"/>
        <v/>
      </c>
      <c r="Q261" s="16" t="str">
        <f t="shared" si="29"/>
        <v/>
      </c>
      <c r="R261" s="16">
        <f t="shared" si="31"/>
        <v>0</v>
      </c>
      <c r="S261" s="16" t="str">
        <f>IF(OR($B261="",NOT(ISNUMBER($F261))),"",SUMIFS(community_cores_FS!$P$5:$P$597,community_cores_FS!$B$5:$B$597,$B261,community_cores_FS!$F$5:$F$597,"&lt;="&amp;$F261))</f>
        <v/>
      </c>
      <c r="T261" s="16" t="str">
        <f>IF(AND($A261="",$B261="",$E261=""),"",IF(AND($B261&lt;&gt;"",COUNTIF('2. Core Log'!$A$5:$A$124,$B261)=0),"Core ID not in Core Log. ","")&amp;IF(AND($A261&lt;&gt;"",COUNTIF('1. Plot &amp; Site Log'!$A$5:$A$64,$A261)=0),"Plot ID not in Plot &amp; Site Log. ","")&amp;IF(AND(ISNUMBER($E261),ISNUMBER($F261),$F261&lt;=$E261),"Bottom depth is not below top depth. ","")&amp;IF($I261="","Say which bulk-density basis the lab reported. ","")&amp;IF(AND(ISNUMBER($J261),OR($J261&lt;QC_BD_MIN,$J261&gt;QC_BD_MAX)),"Bulk density outside "&amp;QC_BD_MIN&amp;"–"&amp;QC_BD_MAX&amp;" g/cm³ for peat. Above the top of that range usually means the mineral contact has been passed. ","")&amp;IF(AND(ISNUMBER($N261),$N261&gt;QC_CARBON_PCT_MAX),"Carbon above "&amp;QC_CARBON_PCT_MAX&amp;"% — check units; this may be organic matter rather than carbon. ","")&amp;IF(AND($L261&lt;&gt;"",$M261&lt;&gt;""),"Both LOI and measured carbon given — the measured value is used. ","")&amp;IF(AND($M261="",$L261&lt;&gt;"",OM_FACTOR_IS_LOCAL&lt;&gt;"Yes"),"Carbon derived from LOI using the default factor of "&amp;CARBON_FRACTION_OM&amp;", which has not been calibrated locally. See R1. Reference. ","")&amp;IF(AND(ISNUMBER($O261),$O261=0,ISNUMBER($E261)),"Section lies entirely below the reference depth — it counts to the full-profile stock only. ",""))</f>
        <v/>
      </c>
      <c r="U261" s="14"/>
    </row>
    <row r="262" spans="1:21" ht="15.75" customHeight="1">
      <c r="A262" s="14"/>
      <c r="B262" s="14"/>
      <c r="C262" s="14"/>
      <c r="D262" s="14"/>
      <c r="E262" s="14"/>
      <c r="F262" s="14"/>
      <c r="G262" s="14" t="str">
        <f t="shared" si="26"/>
        <v/>
      </c>
      <c r="H262" s="14"/>
      <c r="I262" s="14"/>
      <c r="J262" s="24"/>
      <c r="K262" s="24"/>
      <c r="L262" s="24"/>
      <c r="M262" s="24"/>
      <c r="N262" s="16" t="str">
        <f t="shared" si="30"/>
        <v/>
      </c>
      <c r="O262" s="16" t="str">
        <f t="shared" si="27"/>
        <v/>
      </c>
      <c r="P262" s="16" t="str">
        <f t="shared" si="28"/>
        <v/>
      </c>
      <c r="Q262" s="16" t="str">
        <f t="shared" si="29"/>
        <v/>
      </c>
      <c r="R262" s="16">
        <f t="shared" si="31"/>
        <v>0</v>
      </c>
      <c r="S262" s="16" t="str">
        <f>IF(OR($B262="",NOT(ISNUMBER($F262))),"",SUMIFS(community_cores_FS!$P$5:$P$597,community_cores_FS!$B$5:$B$597,$B262,community_cores_FS!$F$5:$F$597,"&lt;="&amp;$F262))</f>
        <v/>
      </c>
      <c r="T262" s="16" t="str">
        <f>IF(AND($A262="",$B262="",$E262=""),"",IF(AND($B262&lt;&gt;"",COUNTIF('2. Core Log'!$A$5:$A$124,$B262)=0),"Core ID not in Core Log. ","")&amp;IF(AND($A262&lt;&gt;"",COUNTIF('1. Plot &amp; Site Log'!$A$5:$A$64,$A262)=0),"Plot ID not in Plot &amp; Site Log. ","")&amp;IF(AND(ISNUMBER($E262),ISNUMBER($F262),$F262&lt;=$E262),"Bottom depth is not below top depth. ","")&amp;IF($I262="","Say which bulk-density basis the lab reported. ","")&amp;IF(AND(ISNUMBER($J262),OR($J262&lt;QC_BD_MIN,$J262&gt;QC_BD_MAX)),"Bulk density outside "&amp;QC_BD_MIN&amp;"–"&amp;QC_BD_MAX&amp;" g/cm³ for peat. Above the top of that range usually means the mineral contact has been passed. ","")&amp;IF(AND(ISNUMBER($N262),$N262&gt;QC_CARBON_PCT_MAX),"Carbon above "&amp;QC_CARBON_PCT_MAX&amp;"% — check units; this may be organic matter rather than carbon. ","")&amp;IF(AND($L262&lt;&gt;"",$M262&lt;&gt;""),"Both LOI and measured carbon given — the measured value is used. ","")&amp;IF(AND($M262="",$L262&lt;&gt;"",OM_FACTOR_IS_LOCAL&lt;&gt;"Yes"),"Carbon derived from LOI using the default factor of "&amp;CARBON_FRACTION_OM&amp;", which has not been calibrated locally. See R1. Reference. ","")&amp;IF(AND(ISNUMBER($O262),$O262=0,ISNUMBER($E262)),"Section lies entirely below the reference depth — it counts to the full-profile stock only. ",""))</f>
        <v/>
      </c>
      <c r="U262" s="14"/>
    </row>
    <row r="263" spans="1:21" ht="15.75" customHeight="1">
      <c r="A263" s="14"/>
      <c r="B263" s="14"/>
      <c r="C263" s="14"/>
      <c r="D263" s="14"/>
      <c r="E263" s="14"/>
      <c r="F263" s="14"/>
      <c r="G263" s="14" t="str">
        <f t="shared" si="26"/>
        <v/>
      </c>
      <c r="H263" s="14"/>
      <c r="I263" s="14"/>
      <c r="J263" s="24"/>
      <c r="K263" s="24"/>
      <c r="L263" s="24"/>
      <c r="M263" s="24"/>
      <c r="N263" s="16" t="str">
        <f t="shared" si="30"/>
        <v/>
      </c>
      <c r="O263" s="16" t="str">
        <f t="shared" si="27"/>
        <v/>
      </c>
      <c r="P263" s="16" t="str">
        <f t="shared" si="28"/>
        <v/>
      </c>
      <c r="Q263" s="16" t="str">
        <f t="shared" si="29"/>
        <v/>
      </c>
      <c r="R263" s="16">
        <f t="shared" si="31"/>
        <v>0</v>
      </c>
      <c r="S263" s="16" t="str">
        <f>IF(OR($B263="",NOT(ISNUMBER($F263))),"",SUMIFS(community_cores_FS!$P$5:$P$597,community_cores_FS!$B$5:$B$597,$B263,community_cores_FS!$F$5:$F$597,"&lt;="&amp;$F263))</f>
        <v/>
      </c>
      <c r="T263" s="16" t="str">
        <f>IF(AND($A263="",$B263="",$E263=""),"",IF(AND($B263&lt;&gt;"",COUNTIF('2. Core Log'!$A$5:$A$124,$B263)=0),"Core ID not in Core Log. ","")&amp;IF(AND($A263&lt;&gt;"",COUNTIF('1. Plot &amp; Site Log'!$A$5:$A$64,$A263)=0),"Plot ID not in Plot &amp; Site Log. ","")&amp;IF(AND(ISNUMBER($E263),ISNUMBER($F263),$F263&lt;=$E263),"Bottom depth is not below top depth. ","")&amp;IF($I263="","Say which bulk-density basis the lab reported. ","")&amp;IF(AND(ISNUMBER($J263),OR($J263&lt;QC_BD_MIN,$J263&gt;QC_BD_MAX)),"Bulk density outside "&amp;QC_BD_MIN&amp;"–"&amp;QC_BD_MAX&amp;" g/cm³ for peat. Above the top of that range usually means the mineral contact has been passed. ","")&amp;IF(AND(ISNUMBER($N263),$N263&gt;QC_CARBON_PCT_MAX),"Carbon above "&amp;QC_CARBON_PCT_MAX&amp;"% — check units; this may be organic matter rather than carbon. ","")&amp;IF(AND($L263&lt;&gt;"",$M263&lt;&gt;""),"Both LOI and measured carbon given — the measured value is used. ","")&amp;IF(AND($M263="",$L263&lt;&gt;"",OM_FACTOR_IS_LOCAL&lt;&gt;"Yes"),"Carbon derived from LOI using the default factor of "&amp;CARBON_FRACTION_OM&amp;", which has not been calibrated locally. See R1. Reference. ","")&amp;IF(AND(ISNUMBER($O263),$O263=0,ISNUMBER($E263)),"Section lies entirely below the reference depth — it counts to the full-profile stock only. ",""))</f>
        <v/>
      </c>
      <c r="U263" s="14"/>
    </row>
    <row r="264" spans="1:21" ht="15.75" customHeight="1">
      <c r="A264" s="14"/>
      <c r="B264" s="14"/>
      <c r="C264" s="14"/>
      <c r="D264" s="14"/>
      <c r="E264" s="14"/>
      <c r="F264" s="14"/>
      <c r="G264" s="14" t="str">
        <f t="shared" si="26"/>
        <v/>
      </c>
      <c r="H264" s="14"/>
      <c r="I264" s="14"/>
      <c r="J264" s="24"/>
      <c r="K264" s="24"/>
      <c r="L264" s="24"/>
      <c r="M264" s="24"/>
      <c r="N264" s="16" t="str">
        <f t="shared" si="30"/>
        <v/>
      </c>
      <c r="O264" s="16" t="str">
        <f t="shared" si="27"/>
        <v/>
      </c>
      <c r="P264" s="16" t="str">
        <f t="shared" si="28"/>
        <v/>
      </c>
      <c r="Q264" s="16" t="str">
        <f t="shared" si="29"/>
        <v/>
      </c>
      <c r="R264" s="16">
        <f t="shared" si="31"/>
        <v>0</v>
      </c>
      <c r="S264" s="16" t="str">
        <f>IF(OR($B264="",NOT(ISNUMBER($F264))),"",SUMIFS(community_cores_FS!$P$5:$P$597,community_cores_FS!$B$5:$B$597,$B264,community_cores_FS!$F$5:$F$597,"&lt;="&amp;$F264))</f>
        <v/>
      </c>
      <c r="T264" s="16" t="str">
        <f>IF(AND($A264="",$B264="",$E264=""),"",IF(AND($B264&lt;&gt;"",COUNTIF('2. Core Log'!$A$5:$A$124,$B264)=0),"Core ID not in Core Log. ","")&amp;IF(AND($A264&lt;&gt;"",COUNTIF('1. Plot &amp; Site Log'!$A$5:$A$64,$A264)=0),"Plot ID not in Plot &amp; Site Log. ","")&amp;IF(AND(ISNUMBER($E264),ISNUMBER($F264),$F264&lt;=$E264),"Bottom depth is not below top depth. ","")&amp;IF($I264="","Say which bulk-density basis the lab reported. ","")&amp;IF(AND(ISNUMBER($J264),OR($J264&lt;QC_BD_MIN,$J264&gt;QC_BD_MAX)),"Bulk density outside "&amp;QC_BD_MIN&amp;"–"&amp;QC_BD_MAX&amp;" g/cm³ for peat. Above the top of that range usually means the mineral contact has been passed. ","")&amp;IF(AND(ISNUMBER($N264),$N264&gt;QC_CARBON_PCT_MAX),"Carbon above "&amp;QC_CARBON_PCT_MAX&amp;"% — check units; this may be organic matter rather than carbon. ","")&amp;IF(AND($L264&lt;&gt;"",$M264&lt;&gt;""),"Both LOI and measured carbon given — the measured value is used. ","")&amp;IF(AND($M264="",$L264&lt;&gt;"",OM_FACTOR_IS_LOCAL&lt;&gt;"Yes"),"Carbon derived from LOI using the default factor of "&amp;CARBON_FRACTION_OM&amp;", which has not been calibrated locally. See R1. Reference. ","")&amp;IF(AND(ISNUMBER($O264),$O264=0,ISNUMBER($E264)),"Section lies entirely below the reference depth — it counts to the full-profile stock only. ",""))</f>
        <v/>
      </c>
      <c r="U264" s="14"/>
    </row>
    <row r="265" spans="1:21" ht="15.75" customHeight="1">
      <c r="A265" s="14"/>
      <c r="B265" s="14"/>
      <c r="C265" s="14"/>
      <c r="D265" s="14"/>
      <c r="E265" s="14"/>
      <c r="F265" s="14"/>
      <c r="G265" s="14" t="str">
        <f t="shared" si="26"/>
        <v/>
      </c>
      <c r="H265" s="14"/>
      <c r="I265" s="14"/>
      <c r="J265" s="24"/>
      <c r="K265" s="24"/>
      <c r="L265" s="24"/>
      <c r="M265" s="24"/>
      <c r="N265" s="16" t="str">
        <f t="shared" si="30"/>
        <v/>
      </c>
      <c r="O265" s="16" t="str">
        <f t="shared" si="27"/>
        <v/>
      </c>
      <c r="P265" s="16" t="str">
        <f t="shared" si="28"/>
        <v/>
      </c>
      <c r="Q265" s="16" t="str">
        <f t="shared" si="29"/>
        <v/>
      </c>
      <c r="R265" s="16">
        <f t="shared" si="31"/>
        <v>0</v>
      </c>
      <c r="S265" s="16" t="str">
        <f>IF(OR($B265="",NOT(ISNUMBER($F265))),"",SUMIFS(community_cores_FS!$P$5:$P$597,community_cores_FS!$B$5:$B$597,$B265,community_cores_FS!$F$5:$F$597,"&lt;="&amp;$F265))</f>
        <v/>
      </c>
      <c r="T265" s="16" t="str">
        <f>IF(AND($A265="",$B265="",$E265=""),"",IF(AND($B265&lt;&gt;"",COUNTIF('2. Core Log'!$A$5:$A$124,$B265)=0),"Core ID not in Core Log. ","")&amp;IF(AND($A265&lt;&gt;"",COUNTIF('1. Plot &amp; Site Log'!$A$5:$A$64,$A265)=0),"Plot ID not in Plot &amp; Site Log. ","")&amp;IF(AND(ISNUMBER($E265),ISNUMBER($F265),$F265&lt;=$E265),"Bottom depth is not below top depth. ","")&amp;IF($I265="","Say which bulk-density basis the lab reported. ","")&amp;IF(AND(ISNUMBER($J265),OR($J265&lt;QC_BD_MIN,$J265&gt;QC_BD_MAX)),"Bulk density outside "&amp;QC_BD_MIN&amp;"–"&amp;QC_BD_MAX&amp;" g/cm³ for peat. Above the top of that range usually means the mineral contact has been passed. ","")&amp;IF(AND(ISNUMBER($N265),$N265&gt;QC_CARBON_PCT_MAX),"Carbon above "&amp;QC_CARBON_PCT_MAX&amp;"% — check units; this may be organic matter rather than carbon. ","")&amp;IF(AND($L265&lt;&gt;"",$M265&lt;&gt;""),"Both LOI and measured carbon given — the measured value is used. ","")&amp;IF(AND($M265="",$L265&lt;&gt;"",OM_FACTOR_IS_LOCAL&lt;&gt;"Yes"),"Carbon derived from LOI using the default factor of "&amp;CARBON_FRACTION_OM&amp;", which has not been calibrated locally. See R1. Reference. ","")&amp;IF(AND(ISNUMBER($O265),$O265=0,ISNUMBER($E265)),"Section lies entirely below the reference depth — it counts to the full-profile stock only. ",""))</f>
        <v/>
      </c>
      <c r="U265" s="14"/>
    </row>
    <row r="266" spans="1:21" ht="15.75" customHeight="1">
      <c r="A266" s="14"/>
      <c r="B266" s="14"/>
      <c r="C266" s="14"/>
      <c r="D266" s="14"/>
      <c r="E266" s="14"/>
      <c r="F266" s="14"/>
      <c r="G266" s="14" t="str">
        <f t="shared" si="26"/>
        <v/>
      </c>
      <c r="H266" s="14"/>
      <c r="I266" s="14"/>
      <c r="J266" s="24"/>
      <c r="K266" s="24"/>
      <c r="L266" s="24"/>
      <c r="M266" s="24"/>
      <c r="N266" s="16" t="str">
        <f t="shared" si="30"/>
        <v/>
      </c>
      <c r="O266" s="16" t="str">
        <f t="shared" si="27"/>
        <v/>
      </c>
      <c r="P266" s="16" t="str">
        <f t="shared" si="28"/>
        <v/>
      </c>
      <c r="Q266" s="16" t="str">
        <f t="shared" si="29"/>
        <v/>
      </c>
      <c r="R266" s="16">
        <f t="shared" si="31"/>
        <v>0</v>
      </c>
      <c r="S266" s="16" t="str">
        <f>IF(OR($B266="",NOT(ISNUMBER($F266))),"",SUMIFS(community_cores_FS!$P$5:$P$597,community_cores_FS!$B$5:$B$597,$B266,community_cores_FS!$F$5:$F$597,"&lt;="&amp;$F266))</f>
        <v/>
      </c>
      <c r="T266" s="16" t="str">
        <f>IF(AND($A266="",$B266="",$E266=""),"",IF(AND($B266&lt;&gt;"",COUNTIF('2. Core Log'!$A$5:$A$124,$B266)=0),"Core ID not in Core Log. ","")&amp;IF(AND($A266&lt;&gt;"",COUNTIF('1. Plot &amp; Site Log'!$A$5:$A$64,$A266)=0),"Plot ID not in Plot &amp; Site Log. ","")&amp;IF(AND(ISNUMBER($E266),ISNUMBER($F266),$F266&lt;=$E266),"Bottom depth is not below top depth. ","")&amp;IF($I266="","Say which bulk-density basis the lab reported. ","")&amp;IF(AND(ISNUMBER($J266),OR($J266&lt;QC_BD_MIN,$J266&gt;QC_BD_MAX)),"Bulk density outside "&amp;QC_BD_MIN&amp;"–"&amp;QC_BD_MAX&amp;" g/cm³ for peat. Above the top of that range usually means the mineral contact has been passed. ","")&amp;IF(AND(ISNUMBER($N266),$N266&gt;QC_CARBON_PCT_MAX),"Carbon above "&amp;QC_CARBON_PCT_MAX&amp;"% — check units; this may be organic matter rather than carbon. ","")&amp;IF(AND($L266&lt;&gt;"",$M266&lt;&gt;""),"Both LOI and measured carbon given — the measured value is used. ","")&amp;IF(AND($M266="",$L266&lt;&gt;"",OM_FACTOR_IS_LOCAL&lt;&gt;"Yes"),"Carbon derived from LOI using the default factor of "&amp;CARBON_FRACTION_OM&amp;", which has not been calibrated locally. See R1. Reference. ","")&amp;IF(AND(ISNUMBER($O266),$O266=0,ISNUMBER($E266)),"Section lies entirely below the reference depth — it counts to the full-profile stock only. ",""))</f>
        <v/>
      </c>
      <c r="U266" s="14"/>
    </row>
    <row r="267" spans="1:21" ht="15.75" customHeight="1">
      <c r="A267" s="14"/>
      <c r="B267" s="14"/>
      <c r="C267" s="14"/>
      <c r="D267" s="14"/>
      <c r="E267" s="14"/>
      <c r="F267" s="14"/>
      <c r="G267" s="14" t="str">
        <f t="shared" si="26"/>
        <v/>
      </c>
      <c r="H267" s="14"/>
      <c r="I267" s="14"/>
      <c r="J267" s="24"/>
      <c r="K267" s="24"/>
      <c r="L267" s="24"/>
      <c r="M267" s="24"/>
      <c r="N267" s="16" t="str">
        <f t="shared" si="30"/>
        <v/>
      </c>
      <c r="O267" s="16" t="str">
        <f t="shared" si="27"/>
        <v/>
      </c>
      <c r="P267" s="16" t="str">
        <f t="shared" si="28"/>
        <v/>
      </c>
      <c r="Q267" s="16" t="str">
        <f t="shared" si="29"/>
        <v/>
      </c>
      <c r="R267" s="16">
        <f t="shared" si="31"/>
        <v>0</v>
      </c>
      <c r="S267" s="16" t="str">
        <f>IF(OR($B267="",NOT(ISNUMBER($F267))),"",SUMIFS(community_cores_FS!$P$5:$P$597,community_cores_FS!$B$5:$B$597,$B267,community_cores_FS!$F$5:$F$597,"&lt;="&amp;$F267))</f>
        <v/>
      </c>
      <c r="T267" s="16" t="str">
        <f>IF(AND($A267="",$B267="",$E267=""),"",IF(AND($B267&lt;&gt;"",COUNTIF('2. Core Log'!$A$5:$A$124,$B267)=0),"Core ID not in Core Log. ","")&amp;IF(AND($A267&lt;&gt;"",COUNTIF('1. Plot &amp; Site Log'!$A$5:$A$64,$A267)=0),"Plot ID not in Plot &amp; Site Log. ","")&amp;IF(AND(ISNUMBER($E267),ISNUMBER($F267),$F267&lt;=$E267),"Bottom depth is not below top depth. ","")&amp;IF($I267="","Say which bulk-density basis the lab reported. ","")&amp;IF(AND(ISNUMBER($J267),OR($J267&lt;QC_BD_MIN,$J267&gt;QC_BD_MAX)),"Bulk density outside "&amp;QC_BD_MIN&amp;"–"&amp;QC_BD_MAX&amp;" g/cm³ for peat. Above the top of that range usually means the mineral contact has been passed. ","")&amp;IF(AND(ISNUMBER($N267),$N267&gt;QC_CARBON_PCT_MAX),"Carbon above "&amp;QC_CARBON_PCT_MAX&amp;"% — check units; this may be organic matter rather than carbon. ","")&amp;IF(AND($L267&lt;&gt;"",$M267&lt;&gt;""),"Both LOI and measured carbon given — the measured value is used. ","")&amp;IF(AND($M267="",$L267&lt;&gt;"",OM_FACTOR_IS_LOCAL&lt;&gt;"Yes"),"Carbon derived from LOI using the default factor of "&amp;CARBON_FRACTION_OM&amp;", which has not been calibrated locally. See R1. Reference. ","")&amp;IF(AND(ISNUMBER($O267),$O267=0,ISNUMBER($E267)),"Section lies entirely below the reference depth — it counts to the full-profile stock only. ",""))</f>
        <v/>
      </c>
      <c r="U267" s="14"/>
    </row>
    <row r="268" spans="1:21" ht="15.75" customHeight="1">
      <c r="A268" s="14"/>
      <c r="B268" s="14"/>
      <c r="C268" s="14"/>
      <c r="D268" s="14"/>
      <c r="E268" s="14"/>
      <c r="F268" s="14"/>
      <c r="G268" s="14" t="str">
        <f t="shared" si="26"/>
        <v/>
      </c>
      <c r="H268" s="14"/>
      <c r="I268" s="14"/>
      <c r="J268" s="24"/>
      <c r="K268" s="24"/>
      <c r="L268" s="24"/>
      <c r="M268" s="24"/>
      <c r="N268" s="16" t="str">
        <f t="shared" si="30"/>
        <v/>
      </c>
      <c r="O268" s="16" t="str">
        <f t="shared" si="27"/>
        <v/>
      </c>
      <c r="P268" s="16" t="str">
        <f t="shared" si="28"/>
        <v/>
      </c>
      <c r="Q268" s="16" t="str">
        <f t="shared" si="29"/>
        <v/>
      </c>
      <c r="R268" s="16">
        <f t="shared" si="31"/>
        <v>0</v>
      </c>
      <c r="S268" s="16" t="str">
        <f>IF(OR($B268="",NOT(ISNUMBER($F268))),"",SUMIFS(community_cores_FS!$P$5:$P$597,community_cores_FS!$B$5:$B$597,$B268,community_cores_FS!$F$5:$F$597,"&lt;="&amp;$F268))</f>
        <v/>
      </c>
      <c r="T268" s="16" t="str">
        <f>IF(AND($A268="",$B268="",$E268=""),"",IF(AND($B268&lt;&gt;"",COUNTIF('2. Core Log'!$A$5:$A$124,$B268)=0),"Core ID not in Core Log. ","")&amp;IF(AND($A268&lt;&gt;"",COUNTIF('1. Plot &amp; Site Log'!$A$5:$A$64,$A268)=0),"Plot ID not in Plot &amp; Site Log. ","")&amp;IF(AND(ISNUMBER($E268),ISNUMBER($F268),$F268&lt;=$E268),"Bottom depth is not below top depth. ","")&amp;IF($I268="","Say which bulk-density basis the lab reported. ","")&amp;IF(AND(ISNUMBER($J268),OR($J268&lt;QC_BD_MIN,$J268&gt;QC_BD_MAX)),"Bulk density outside "&amp;QC_BD_MIN&amp;"–"&amp;QC_BD_MAX&amp;" g/cm³ for peat. Above the top of that range usually means the mineral contact has been passed. ","")&amp;IF(AND(ISNUMBER($N268),$N268&gt;QC_CARBON_PCT_MAX),"Carbon above "&amp;QC_CARBON_PCT_MAX&amp;"% — check units; this may be organic matter rather than carbon. ","")&amp;IF(AND($L268&lt;&gt;"",$M268&lt;&gt;""),"Both LOI and measured carbon given — the measured value is used. ","")&amp;IF(AND($M268="",$L268&lt;&gt;"",OM_FACTOR_IS_LOCAL&lt;&gt;"Yes"),"Carbon derived from LOI using the default factor of "&amp;CARBON_FRACTION_OM&amp;", which has not been calibrated locally. See R1. Reference. ","")&amp;IF(AND(ISNUMBER($O268),$O268=0,ISNUMBER($E268)),"Section lies entirely below the reference depth — it counts to the full-profile stock only. ",""))</f>
        <v/>
      </c>
      <c r="U268" s="14"/>
    </row>
    <row r="269" spans="1:21" ht="15.75" customHeight="1">
      <c r="A269" s="14"/>
      <c r="B269" s="14"/>
      <c r="C269" s="14"/>
      <c r="D269" s="14"/>
      <c r="E269" s="14"/>
      <c r="F269" s="14"/>
      <c r="G269" s="14" t="str">
        <f t="shared" si="26"/>
        <v/>
      </c>
      <c r="H269" s="14"/>
      <c r="I269" s="14"/>
      <c r="J269" s="24"/>
      <c r="K269" s="24"/>
      <c r="L269" s="24"/>
      <c r="M269" s="24"/>
      <c r="N269" s="16" t="str">
        <f t="shared" si="30"/>
        <v/>
      </c>
      <c r="O269" s="16" t="str">
        <f t="shared" si="27"/>
        <v/>
      </c>
      <c r="P269" s="16" t="str">
        <f t="shared" si="28"/>
        <v/>
      </c>
      <c r="Q269" s="16" t="str">
        <f t="shared" si="29"/>
        <v/>
      </c>
      <c r="R269" s="16">
        <f t="shared" si="31"/>
        <v>0</v>
      </c>
      <c r="S269" s="16" t="str">
        <f>IF(OR($B269="",NOT(ISNUMBER($F269))),"",SUMIFS(community_cores_FS!$P$5:$P$597,community_cores_FS!$B$5:$B$597,$B269,community_cores_FS!$F$5:$F$597,"&lt;="&amp;$F269))</f>
        <v/>
      </c>
      <c r="T269" s="16" t="str">
        <f>IF(AND($A269="",$B269="",$E269=""),"",IF(AND($B269&lt;&gt;"",COUNTIF('2. Core Log'!$A$5:$A$124,$B269)=0),"Core ID not in Core Log. ","")&amp;IF(AND($A269&lt;&gt;"",COUNTIF('1. Plot &amp; Site Log'!$A$5:$A$64,$A269)=0),"Plot ID not in Plot &amp; Site Log. ","")&amp;IF(AND(ISNUMBER($E269),ISNUMBER($F269),$F269&lt;=$E269),"Bottom depth is not below top depth. ","")&amp;IF($I269="","Say which bulk-density basis the lab reported. ","")&amp;IF(AND(ISNUMBER($J269),OR($J269&lt;QC_BD_MIN,$J269&gt;QC_BD_MAX)),"Bulk density outside "&amp;QC_BD_MIN&amp;"–"&amp;QC_BD_MAX&amp;" g/cm³ for peat. Above the top of that range usually means the mineral contact has been passed. ","")&amp;IF(AND(ISNUMBER($N269),$N269&gt;QC_CARBON_PCT_MAX),"Carbon above "&amp;QC_CARBON_PCT_MAX&amp;"% — check units; this may be organic matter rather than carbon. ","")&amp;IF(AND($L269&lt;&gt;"",$M269&lt;&gt;""),"Both LOI and measured carbon given — the measured value is used. ","")&amp;IF(AND($M269="",$L269&lt;&gt;"",OM_FACTOR_IS_LOCAL&lt;&gt;"Yes"),"Carbon derived from LOI using the default factor of "&amp;CARBON_FRACTION_OM&amp;", which has not been calibrated locally. See R1. Reference. ","")&amp;IF(AND(ISNUMBER($O269),$O269=0,ISNUMBER($E269)),"Section lies entirely below the reference depth — it counts to the full-profile stock only. ",""))</f>
        <v/>
      </c>
      <c r="U269" s="14"/>
    </row>
    <row r="270" spans="1:21" ht="15.75" customHeight="1">
      <c r="A270" s="14"/>
      <c r="B270" s="14"/>
      <c r="C270" s="14"/>
      <c r="D270" s="14"/>
      <c r="E270" s="14"/>
      <c r="F270" s="14"/>
      <c r="G270" s="14" t="str">
        <f t="shared" si="26"/>
        <v/>
      </c>
      <c r="H270" s="14"/>
      <c r="I270" s="14"/>
      <c r="J270" s="24"/>
      <c r="K270" s="24"/>
      <c r="L270" s="24"/>
      <c r="M270" s="24"/>
      <c r="N270" s="16" t="str">
        <f t="shared" si="30"/>
        <v/>
      </c>
      <c r="O270" s="16" t="str">
        <f t="shared" si="27"/>
        <v/>
      </c>
      <c r="P270" s="16" t="str">
        <f t="shared" si="28"/>
        <v/>
      </c>
      <c r="Q270" s="16" t="str">
        <f t="shared" si="29"/>
        <v/>
      </c>
      <c r="R270" s="16">
        <f t="shared" si="31"/>
        <v>0</v>
      </c>
      <c r="S270" s="16" t="str">
        <f>IF(OR($B270="",NOT(ISNUMBER($F270))),"",SUMIFS(community_cores_FS!$P$5:$P$597,community_cores_FS!$B$5:$B$597,$B270,community_cores_FS!$F$5:$F$597,"&lt;="&amp;$F270))</f>
        <v/>
      </c>
      <c r="T270" s="16" t="str">
        <f>IF(AND($A270="",$B270="",$E270=""),"",IF(AND($B270&lt;&gt;"",COUNTIF('2. Core Log'!$A$5:$A$124,$B270)=0),"Core ID not in Core Log. ","")&amp;IF(AND($A270&lt;&gt;"",COUNTIF('1. Plot &amp; Site Log'!$A$5:$A$64,$A270)=0),"Plot ID not in Plot &amp; Site Log. ","")&amp;IF(AND(ISNUMBER($E270),ISNUMBER($F270),$F270&lt;=$E270),"Bottom depth is not below top depth. ","")&amp;IF($I270="","Say which bulk-density basis the lab reported. ","")&amp;IF(AND(ISNUMBER($J270),OR($J270&lt;QC_BD_MIN,$J270&gt;QC_BD_MAX)),"Bulk density outside "&amp;QC_BD_MIN&amp;"–"&amp;QC_BD_MAX&amp;" g/cm³ for peat. Above the top of that range usually means the mineral contact has been passed. ","")&amp;IF(AND(ISNUMBER($N270),$N270&gt;QC_CARBON_PCT_MAX),"Carbon above "&amp;QC_CARBON_PCT_MAX&amp;"% — check units; this may be organic matter rather than carbon. ","")&amp;IF(AND($L270&lt;&gt;"",$M270&lt;&gt;""),"Both LOI and measured carbon given — the measured value is used. ","")&amp;IF(AND($M270="",$L270&lt;&gt;"",OM_FACTOR_IS_LOCAL&lt;&gt;"Yes"),"Carbon derived from LOI using the default factor of "&amp;CARBON_FRACTION_OM&amp;", which has not been calibrated locally. See R1. Reference. ","")&amp;IF(AND(ISNUMBER($O270),$O270=0,ISNUMBER($E270)),"Section lies entirely below the reference depth — it counts to the full-profile stock only. ",""))</f>
        <v/>
      </c>
      <c r="U270" s="14"/>
    </row>
    <row r="271" spans="1:21" ht="15.75" customHeight="1">
      <c r="A271" s="14"/>
      <c r="B271" s="14"/>
      <c r="C271" s="14"/>
      <c r="D271" s="14"/>
      <c r="E271" s="14"/>
      <c r="F271" s="14"/>
      <c r="G271" s="14" t="str">
        <f t="shared" si="26"/>
        <v/>
      </c>
      <c r="H271" s="14"/>
      <c r="I271" s="14"/>
      <c r="J271" s="24"/>
      <c r="K271" s="24"/>
      <c r="L271" s="24"/>
      <c r="M271" s="24"/>
      <c r="N271" s="16" t="str">
        <f t="shared" si="30"/>
        <v/>
      </c>
      <c r="O271" s="16" t="str">
        <f t="shared" si="27"/>
        <v/>
      </c>
      <c r="P271" s="16" t="str">
        <f t="shared" si="28"/>
        <v/>
      </c>
      <c r="Q271" s="16" t="str">
        <f t="shared" si="29"/>
        <v/>
      </c>
      <c r="R271" s="16">
        <f t="shared" si="31"/>
        <v>0</v>
      </c>
      <c r="S271" s="16" t="str">
        <f>IF(OR($B271="",NOT(ISNUMBER($F271))),"",SUMIFS(community_cores_FS!$P$5:$P$597,community_cores_FS!$B$5:$B$597,$B271,community_cores_FS!$F$5:$F$597,"&lt;="&amp;$F271))</f>
        <v/>
      </c>
      <c r="T271" s="16" t="str">
        <f>IF(AND($A271="",$B271="",$E271=""),"",IF(AND($B271&lt;&gt;"",COUNTIF('2. Core Log'!$A$5:$A$124,$B271)=0),"Core ID not in Core Log. ","")&amp;IF(AND($A271&lt;&gt;"",COUNTIF('1. Plot &amp; Site Log'!$A$5:$A$64,$A271)=0),"Plot ID not in Plot &amp; Site Log. ","")&amp;IF(AND(ISNUMBER($E271),ISNUMBER($F271),$F271&lt;=$E271),"Bottom depth is not below top depth. ","")&amp;IF($I271="","Say which bulk-density basis the lab reported. ","")&amp;IF(AND(ISNUMBER($J271),OR($J271&lt;QC_BD_MIN,$J271&gt;QC_BD_MAX)),"Bulk density outside "&amp;QC_BD_MIN&amp;"–"&amp;QC_BD_MAX&amp;" g/cm³ for peat. Above the top of that range usually means the mineral contact has been passed. ","")&amp;IF(AND(ISNUMBER($N271),$N271&gt;QC_CARBON_PCT_MAX),"Carbon above "&amp;QC_CARBON_PCT_MAX&amp;"% — check units; this may be organic matter rather than carbon. ","")&amp;IF(AND($L271&lt;&gt;"",$M271&lt;&gt;""),"Both LOI and measured carbon given — the measured value is used. ","")&amp;IF(AND($M271="",$L271&lt;&gt;"",OM_FACTOR_IS_LOCAL&lt;&gt;"Yes"),"Carbon derived from LOI using the default factor of "&amp;CARBON_FRACTION_OM&amp;", which has not been calibrated locally. See R1. Reference. ","")&amp;IF(AND(ISNUMBER($O271),$O271=0,ISNUMBER($E271)),"Section lies entirely below the reference depth — it counts to the full-profile stock only. ",""))</f>
        <v/>
      </c>
      <c r="U271" s="14"/>
    </row>
    <row r="272" spans="1:21" ht="15.75" customHeight="1">
      <c r="A272" s="14"/>
      <c r="B272" s="14"/>
      <c r="C272" s="14"/>
      <c r="D272" s="14"/>
      <c r="E272" s="14"/>
      <c r="F272" s="14"/>
      <c r="G272" s="14" t="str">
        <f t="shared" si="26"/>
        <v/>
      </c>
      <c r="H272" s="14"/>
      <c r="I272" s="14"/>
      <c r="J272" s="24"/>
      <c r="K272" s="24"/>
      <c r="L272" s="24"/>
      <c r="M272" s="24"/>
      <c r="N272" s="16" t="str">
        <f t="shared" si="30"/>
        <v/>
      </c>
      <c r="O272" s="16" t="str">
        <f t="shared" si="27"/>
        <v/>
      </c>
      <c r="P272" s="16" t="str">
        <f t="shared" si="28"/>
        <v/>
      </c>
      <c r="Q272" s="16" t="str">
        <f t="shared" si="29"/>
        <v/>
      </c>
      <c r="R272" s="16">
        <f t="shared" si="31"/>
        <v>0</v>
      </c>
      <c r="S272" s="16" t="str">
        <f>IF(OR($B272="",NOT(ISNUMBER($F272))),"",SUMIFS(community_cores_FS!$P$5:$P$597,community_cores_FS!$B$5:$B$597,$B272,community_cores_FS!$F$5:$F$597,"&lt;="&amp;$F272))</f>
        <v/>
      </c>
      <c r="T272" s="16" t="str">
        <f>IF(AND($A272="",$B272="",$E272=""),"",IF(AND($B272&lt;&gt;"",COUNTIF('2. Core Log'!$A$5:$A$124,$B272)=0),"Core ID not in Core Log. ","")&amp;IF(AND($A272&lt;&gt;"",COUNTIF('1. Plot &amp; Site Log'!$A$5:$A$64,$A272)=0),"Plot ID not in Plot &amp; Site Log. ","")&amp;IF(AND(ISNUMBER($E272),ISNUMBER($F272),$F272&lt;=$E272),"Bottom depth is not below top depth. ","")&amp;IF($I272="","Say which bulk-density basis the lab reported. ","")&amp;IF(AND(ISNUMBER($J272),OR($J272&lt;QC_BD_MIN,$J272&gt;QC_BD_MAX)),"Bulk density outside "&amp;QC_BD_MIN&amp;"–"&amp;QC_BD_MAX&amp;" g/cm³ for peat. Above the top of that range usually means the mineral contact has been passed. ","")&amp;IF(AND(ISNUMBER($N272),$N272&gt;QC_CARBON_PCT_MAX),"Carbon above "&amp;QC_CARBON_PCT_MAX&amp;"% — check units; this may be organic matter rather than carbon. ","")&amp;IF(AND($L272&lt;&gt;"",$M272&lt;&gt;""),"Both LOI and measured carbon given — the measured value is used. ","")&amp;IF(AND($M272="",$L272&lt;&gt;"",OM_FACTOR_IS_LOCAL&lt;&gt;"Yes"),"Carbon derived from LOI using the default factor of "&amp;CARBON_FRACTION_OM&amp;", which has not been calibrated locally. See R1. Reference. ","")&amp;IF(AND(ISNUMBER($O272),$O272=0,ISNUMBER($E272)),"Section lies entirely below the reference depth — it counts to the full-profile stock only. ",""))</f>
        <v/>
      </c>
      <c r="U272" s="14"/>
    </row>
    <row r="273" spans="1:21" ht="15.75" customHeight="1">
      <c r="A273" s="14"/>
      <c r="B273" s="14"/>
      <c r="C273" s="14"/>
      <c r="D273" s="14"/>
      <c r="E273" s="14"/>
      <c r="F273" s="14"/>
      <c r="G273" s="14" t="str">
        <f t="shared" si="26"/>
        <v/>
      </c>
      <c r="H273" s="14"/>
      <c r="I273" s="14"/>
      <c r="J273" s="24"/>
      <c r="K273" s="24"/>
      <c r="L273" s="24"/>
      <c r="M273" s="24"/>
      <c r="N273" s="16" t="str">
        <f t="shared" si="30"/>
        <v/>
      </c>
      <c r="O273" s="16" t="str">
        <f t="shared" si="27"/>
        <v/>
      </c>
      <c r="P273" s="16" t="str">
        <f t="shared" si="28"/>
        <v/>
      </c>
      <c r="Q273" s="16" t="str">
        <f t="shared" si="29"/>
        <v/>
      </c>
      <c r="R273" s="16">
        <f t="shared" si="31"/>
        <v>0</v>
      </c>
      <c r="S273" s="16" t="str">
        <f>IF(OR($B273="",NOT(ISNUMBER($F273))),"",SUMIFS(community_cores_FS!$P$5:$P$597,community_cores_FS!$B$5:$B$597,$B273,community_cores_FS!$F$5:$F$597,"&lt;="&amp;$F273))</f>
        <v/>
      </c>
      <c r="T273" s="16" t="str">
        <f>IF(AND($A273="",$B273="",$E273=""),"",IF(AND($B273&lt;&gt;"",COUNTIF('2. Core Log'!$A$5:$A$124,$B273)=0),"Core ID not in Core Log. ","")&amp;IF(AND($A273&lt;&gt;"",COUNTIF('1. Plot &amp; Site Log'!$A$5:$A$64,$A273)=0),"Plot ID not in Plot &amp; Site Log. ","")&amp;IF(AND(ISNUMBER($E273),ISNUMBER($F273),$F273&lt;=$E273),"Bottom depth is not below top depth. ","")&amp;IF($I273="","Say which bulk-density basis the lab reported. ","")&amp;IF(AND(ISNUMBER($J273),OR($J273&lt;QC_BD_MIN,$J273&gt;QC_BD_MAX)),"Bulk density outside "&amp;QC_BD_MIN&amp;"–"&amp;QC_BD_MAX&amp;" g/cm³ for peat. Above the top of that range usually means the mineral contact has been passed. ","")&amp;IF(AND(ISNUMBER($N273),$N273&gt;QC_CARBON_PCT_MAX),"Carbon above "&amp;QC_CARBON_PCT_MAX&amp;"% — check units; this may be organic matter rather than carbon. ","")&amp;IF(AND($L273&lt;&gt;"",$M273&lt;&gt;""),"Both LOI and measured carbon given — the measured value is used. ","")&amp;IF(AND($M273="",$L273&lt;&gt;"",OM_FACTOR_IS_LOCAL&lt;&gt;"Yes"),"Carbon derived from LOI using the default factor of "&amp;CARBON_FRACTION_OM&amp;", which has not been calibrated locally. See R1. Reference. ","")&amp;IF(AND(ISNUMBER($O273),$O273=0,ISNUMBER($E273)),"Section lies entirely below the reference depth — it counts to the full-profile stock only. ",""))</f>
        <v/>
      </c>
      <c r="U273" s="14"/>
    </row>
    <row r="274" spans="1:21" ht="15.75" customHeight="1">
      <c r="A274" s="14"/>
      <c r="B274" s="14"/>
      <c r="C274" s="14"/>
      <c r="D274" s="14"/>
      <c r="E274" s="14"/>
      <c r="F274" s="14"/>
      <c r="G274" s="14" t="str">
        <f t="shared" si="26"/>
        <v/>
      </c>
      <c r="H274" s="14"/>
      <c r="I274" s="14"/>
      <c r="J274" s="24"/>
      <c r="K274" s="24"/>
      <c r="L274" s="24"/>
      <c r="M274" s="24"/>
      <c r="N274" s="16" t="str">
        <f t="shared" si="30"/>
        <v/>
      </c>
      <c r="O274" s="16" t="str">
        <f t="shared" si="27"/>
        <v/>
      </c>
      <c r="P274" s="16" t="str">
        <f t="shared" si="28"/>
        <v/>
      </c>
      <c r="Q274" s="16" t="str">
        <f t="shared" si="29"/>
        <v/>
      </c>
      <c r="R274" s="16">
        <f t="shared" si="31"/>
        <v>0</v>
      </c>
      <c r="S274" s="16" t="str">
        <f>IF(OR($B274="",NOT(ISNUMBER($F274))),"",SUMIFS(community_cores_FS!$P$5:$P$597,community_cores_FS!$B$5:$B$597,$B274,community_cores_FS!$F$5:$F$597,"&lt;="&amp;$F274))</f>
        <v/>
      </c>
      <c r="T274" s="16" t="str">
        <f>IF(AND($A274="",$B274="",$E274=""),"",IF(AND($B274&lt;&gt;"",COUNTIF('2. Core Log'!$A$5:$A$124,$B274)=0),"Core ID not in Core Log. ","")&amp;IF(AND($A274&lt;&gt;"",COUNTIF('1. Plot &amp; Site Log'!$A$5:$A$64,$A274)=0),"Plot ID not in Plot &amp; Site Log. ","")&amp;IF(AND(ISNUMBER($E274),ISNUMBER($F274),$F274&lt;=$E274),"Bottom depth is not below top depth. ","")&amp;IF($I274="","Say which bulk-density basis the lab reported. ","")&amp;IF(AND(ISNUMBER($J274),OR($J274&lt;QC_BD_MIN,$J274&gt;QC_BD_MAX)),"Bulk density outside "&amp;QC_BD_MIN&amp;"–"&amp;QC_BD_MAX&amp;" g/cm³ for peat. Above the top of that range usually means the mineral contact has been passed. ","")&amp;IF(AND(ISNUMBER($N274),$N274&gt;QC_CARBON_PCT_MAX),"Carbon above "&amp;QC_CARBON_PCT_MAX&amp;"% — check units; this may be organic matter rather than carbon. ","")&amp;IF(AND($L274&lt;&gt;"",$M274&lt;&gt;""),"Both LOI and measured carbon given — the measured value is used. ","")&amp;IF(AND($M274="",$L274&lt;&gt;"",OM_FACTOR_IS_LOCAL&lt;&gt;"Yes"),"Carbon derived from LOI using the default factor of "&amp;CARBON_FRACTION_OM&amp;", which has not been calibrated locally. See R1. Reference. ","")&amp;IF(AND(ISNUMBER($O274),$O274=0,ISNUMBER($E274)),"Section lies entirely below the reference depth — it counts to the full-profile stock only. ",""))</f>
        <v/>
      </c>
      <c r="U274" s="14"/>
    </row>
    <row r="275" spans="1:21" ht="15.75" customHeight="1">
      <c r="A275" s="14"/>
      <c r="B275" s="14"/>
      <c r="C275" s="14"/>
      <c r="D275" s="14"/>
      <c r="E275" s="14"/>
      <c r="F275" s="14"/>
      <c r="G275" s="14" t="str">
        <f t="shared" si="26"/>
        <v/>
      </c>
      <c r="H275" s="14"/>
      <c r="I275" s="14"/>
      <c r="J275" s="24"/>
      <c r="K275" s="24"/>
      <c r="L275" s="24"/>
      <c r="M275" s="24"/>
      <c r="N275" s="16" t="str">
        <f t="shared" si="30"/>
        <v/>
      </c>
      <c r="O275" s="16" t="str">
        <f t="shared" si="27"/>
        <v/>
      </c>
      <c r="P275" s="16" t="str">
        <f t="shared" si="28"/>
        <v/>
      </c>
      <c r="Q275" s="16" t="str">
        <f t="shared" si="29"/>
        <v/>
      </c>
      <c r="R275" s="16">
        <f t="shared" si="31"/>
        <v>0</v>
      </c>
      <c r="S275" s="16" t="str">
        <f>IF(OR($B275="",NOT(ISNUMBER($F275))),"",SUMIFS(community_cores_FS!$P$5:$P$597,community_cores_FS!$B$5:$B$597,$B275,community_cores_FS!$F$5:$F$597,"&lt;="&amp;$F275))</f>
        <v/>
      </c>
      <c r="T275" s="16" t="str">
        <f>IF(AND($A275="",$B275="",$E275=""),"",IF(AND($B275&lt;&gt;"",COUNTIF('2. Core Log'!$A$5:$A$124,$B275)=0),"Core ID not in Core Log. ","")&amp;IF(AND($A275&lt;&gt;"",COUNTIF('1. Plot &amp; Site Log'!$A$5:$A$64,$A275)=0),"Plot ID not in Plot &amp; Site Log. ","")&amp;IF(AND(ISNUMBER($E275),ISNUMBER($F275),$F275&lt;=$E275),"Bottom depth is not below top depth. ","")&amp;IF($I275="","Say which bulk-density basis the lab reported. ","")&amp;IF(AND(ISNUMBER($J275),OR($J275&lt;QC_BD_MIN,$J275&gt;QC_BD_MAX)),"Bulk density outside "&amp;QC_BD_MIN&amp;"–"&amp;QC_BD_MAX&amp;" g/cm³ for peat. Above the top of that range usually means the mineral contact has been passed. ","")&amp;IF(AND(ISNUMBER($N275),$N275&gt;QC_CARBON_PCT_MAX),"Carbon above "&amp;QC_CARBON_PCT_MAX&amp;"% — check units; this may be organic matter rather than carbon. ","")&amp;IF(AND($L275&lt;&gt;"",$M275&lt;&gt;""),"Both LOI and measured carbon given — the measured value is used. ","")&amp;IF(AND($M275="",$L275&lt;&gt;"",OM_FACTOR_IS_LOCAL&lt;&gt;"Yes"),"Carbon derived from LOI using the default factor of "&amp;CARBON_FRACTION_OM&amp;", which has not been calibrated locally. See R1. Reference. ","")&amp;IF(AND(ISNUMBER($O275),$O275=0,ISNUMBER($E275)),"Section lies entirely below the reference depth — it counts to the full-profile stock only. ",""))</f>
        <v/>
      </c>
      <c r="U275" s="14"/>
    </row>
    <row r="276" spans="1:21" ht="15.75" customHeight="1">
      <c r="A276" s="14"/>
      <c r="B276" s="14"/>
      <c r="C276" s="14"/>
      <c r="D276" s="14"/>
      <c r="E276" s="14"/>
      <c r="F276" s="14"/>
      <c r="G276" s="14" t="str">
        <f t="shared" si="26"/>
        <v/>
      </c>
      <c r="H276" s="14"/>
      <c r="I276" s="14"/>
      <c r="J276" s="24"/>
      <c r="K276" s="24"/>
      <c r="L276" s="24"/>
      <c r="M276" s="24"/>
      <c r="N276" s="16" t="str">
        <f t="shared" si="30"/>
        <v/>
      </c>
      <c r="O276" s="16" t="str">
        <f t="shared" si="27"/>
        <v/>
      </c>
      <c r="P276" s="16" t="str">
        <f t="shared" si="28"/>
        <v/>
      </c>
      <c r="Q276" s="16" t="str">
        <f t="shared" si="29"/>
        <v/>
      </c>
      <c r="R276" s="16">
        <f t="shared" si="31"/>
        <v>0</v>
      </c>
      <c r="S276" s="16" t="str">
        <f>IF(OR($B276="",NOT(ISNUMBER($F276))),"",SUMIFS(community_cores_FS!$P$5:$P$597,community_cores_FS!$B$5:$B$597,$B276,community_cores_FS!$F$5:$F$597,"&lt;="&amp;$F276))</f>
        <v/>
      </c>
      <c r="T276" s="16" t="str">
        <f>IF(AND($A276="",$B276="",$E276=""),"",IF(AND($B276&lt;&gt;"",COUNTIF('2. Core Log'!$A$5:$A$124,$B276)=0),"Core ID not in Core Log. ","")&amp;IF(AND($A276&lt;&gt;"",COUNTIF('1. Plot &amp; Site Log'!$A$5:$A$64,$A276)=0),"Plot ID not in Plot &amp; Site Log. ","")&amp;IF(AND(ISNUMBER($E276),ISNUMBER($F276),$F276&lt;=$E276),"Bottom depth is not below top depth. ","")&amp;IF($I276="","Say which bulk-density basis the lab reported. ","")&amp;IF(AND(ISNUMBER($J276),OR($J276&lt;QC_BD_MIN,$J276&gt;QC_BD_MAX)),"Bulk density outside "&amp;QC_BD_MIN&amp;"–"&amp;QC_BD_MAX&amp;" g/cm³ for peat. Above the top of that range usually means the mineral contact has been passed. ","")&amp;IF(AND(ISNUMBER($N276),$N276&gt;QC_CARBON_PCT_MAX),"Carbon above "&amp;QC_CARBON_PCT_MAX&amp;"% — check units; this may be organic matter rather than carbon. ","")&amp;IF(AND($L276&lt;&gt;"",$M276&lt;&gt;""),"Both LOI and measured carbon given — the measured value is used. ","")&amp;IF(AND($M276="",$L276&lt;&gt;"",OM_FACTOR_IS_LOCAL&lt;&gt;"Yes"),"Carbon derived from LOI using the default factor of "&amp;CARBON_FRACTION_OM&amp;", which has not been calibrated locally. See R1. Reference. ","")&amp;IF(AND(ISNUMBER($O276),$O276=0,ISNUMBER($E276)),"Section lies entirely below the reference depth — it counts to the full-profile stock only. ",""))</f>
        <v/>
      </c>
      <c r="U276" s="14"/>
    </row>
    <row r="277" spans="1:21" ht="15.75" customHeight="1">
      <c r="A277" s="14"/>
      <c r="B277" s="14"/>
      <c r="C277" s="14"/>
      <c r="D277" s="14"/>
      <c r="E277" s="14"/>
      <c r="F277" s="14"/>
      <c r="G277" s="14" t="str">
        <f t="shared" si="26"/>
        <v/>
      </c>
      <c r="H277" s="14"/>
      <c r="I277" s="14"/>
      <c r="J277" s="24"/>
      <c r="K277" s="24"/>
      <c r="L277" s="24"/>
      <c r="M277" s="24"/>
      <c r="N277" s="16" t="str">
        <f t="shared" si="30"/>
        <v/>
      </c>
      <c r="O277" s="16" t="str">
        <f t="shared" si="27"/>
        <v/>
      </c>
      <c r="P277" s="16" t="str">
        <f t="shared" si="28"/>
        <v/>
      </c>
      <c r="Q277" s="16" t="str">
        <f t="shared" si="29"/>
        <v/>
      </c>
      <c r="R277" s="16">
        <f t="shared" si="31"/>
        <v>0</v>
      </c>
      <c r="S277" s="16" t="str">
        <f>IF(OR($B277="",NOT(ISNUMBER($F277))),"",SUMIFS(community_cores_FS!$P$5:$P$597,community_cores_FS!$B$5:$B$597,$B277,community_cores_FS!$F$5:$F$597,"&lt;="&amp;$F277))</f>
        <v/>
      </c>
      <c r="T277" s="16" t="str">
        <f>IF(AND($A277="",$B277="",$E277=""),"",IF(AND($B277&lt;&gt;"",COUNTIF('2. Core Log'!$A$5:$A$124,$B277)=0),"Core ID not in Core Log. ","")&amp;IF(AND($A277&lt;&gt;"",COUNTIF('1. Plot &amp; Site Log'!$A$5:$A$64,$A277)=0),"Plot ID not in Plot &amp; Site Log. ","")&amp;IF(AND(ISNUMBER($E277),ISNUMBER($F277),$F277&lt;=$E277),"Bottom depth is not below top depth. ","")&amp;IF($I277="","Say which bulk-density basis the lab reported. ","")&amp;IF(AND(ISNUMBER($J277),OR($J277&lt;QC_BD_MIN,$J277&gt;QC_BD_MAX)),"Bulk density outside "&amp;QC_BD_MIN&amp;"–"&amp;QC_BD_MAX&amp;" g/cm³ for peat. Above the top of that range usually means the mineral contact has been passed. ","")&amp;IF(AND(ISNUMBER($N277),$N277&gt;QC_CARBON_PCT_MAX),"Carbon above "&amp;QC_CARBON_PCT_MAX&amp;"% — check units; this may be organic matter rather than carbon. ","")&amp;IF(AND($L277&lt;&gt;"",$M277&lt;&gt;""),"Both LOI and measured carbon given — the measured value is used. ","")&amp;IF(AND($M277="",$L277&lt;&gt;"",OM_FACTOR_IS_LOCAL&lt;&gt;"Yes"),"Carbon derived from LOI using the default factor of "&amp;CARBON_FRACTION_OM&amp;", which has not been calibrated locally. See R1. Reference. ","")&amp;IF(AND(ISNUMBER($O277),$O277=0,ISNUMBER($E277)),"Section lies entirely below the reference depth — it counts to the full-profile stock only. ",""))</f>
        <v/>
      </c>
      <c r="U277" s="14"/>
    </row>
    <row r="278" spans="1:21" ht="15.75" customHeight="1">
      <c r="A278" s="14"/>
      <c r="B278" s="14"/>
      <c r="C278" s="14"/>
      <c r="D278" s="14"/>
      <c r="E278" s="14"/>
      <c r="F278" s="14"/>
      <c r="G278" s="14" t="str">
        <f t="shared" si="26"/>
        <v/>
      </c>
      <c r="H278" s="14"/>
      <c r="I278" s="14"/>
      <c r="J278" s="24"/>
      <c r="K278" s="24"/>
      <c r="L278" s="24"/>
      <c r="M278" s="24"/>
      <c r="N278" s="16" t="str">
        <f t="shared" si="30"/>
        <v/>
      </c>
      <c r="O278" s="16" t="str">
        <f t="shared" si="27"/>
        <v/>
      </c>
      <c r="P278" s="16" t="str">
        <f t="shared" si="28"/>
        <v/>
      </c>
      <c r="Q278" s="16" t="str">
        <f t="shared" si="29"/>
        <v/>
      </c>
      <c r="R278" s="16">
        <f t="shared" si="31"/>
        <v>0</v>
      </c>
      <c r="S278" s="16" t="str">
        <f>IF(OR($B278="",NOT(ISNUMBER($F278))),"",SUMIFS(community_cores_FS!$P$5:$P$597,community_cores_FS!$B$5:$B$597,$B278,community_cores_FS!$F$5:$F$597,"&lt;="&amp;$F278))</f>
        <v/>
      </c>
      <c r="T278" s="16" t="str">
        <f>IF(AND($A278="",$B278="",$E278=""),"",IF(AND($B278&lt;&gt;"",COUNTIF('2. Core Log'!$A$5:$A$124,$B278)=0),"Core ID not in Core Log. ","")&amp;IF(AND($A278&lt;&gt;"",COUNTIF('1. Plot &amp; Site Log'!$A$5:$A$64,$A278)=0),"Plot ID not in Plot &amp; Site Log. ","")&amp;IF(AND(ISNUMBER($E278),ISNUMBER($F278),$F278&lt;=$E278),"Bottom depth is not below top depth. ","")&amp;IF($I278="","Say which bulk-density basis the lab reported. ","")&amp;IF(AND(ISNUMBER($J278),OR($J278&lt;QC_BD_MIN,$J278&gt;QC_BD_MAX)),"Bulk density outside "&amp;QC_BD_MIN&amp;"–"&amp;QC_BD_MAX&amp;" g/cm³ for peat. Above the top of that range usually means the mineral contact has been passed. ","")&amp;IF(AND(ISNUMBER($N278),$N278&gt;QC_CARBON_PCT_MAX),"Carbon above "&amp;QC_CARBON_PCT_MAX&amp;"% — check units; this may be organic matter rather than carbon. ","")&amp;IF(AND($L278&lt;&gt;"",$M278&lt;&gt;""),"Both LOI and measured carbon given — the measured value is used. ","")&amp;IF(AND($M278="",$L278&lt;&gt;"",OM_FACTOR_IS_LOCAL&lt;&gt;"Yes"),"Carbon derived from LOI using the default factor of "&amp;CARBON_FRACTION_OM&amp;", which has not been calibrated locally. See R1. Reference. ","")&amp;IF(AND(ISNUMBER($O278),$O278=0,ISNUMBER($E278)),"Section lies entirely below the reference depth — it counts to the full-profile stock only. ",""))</f>
        <v/>
      </c>
      <c r="U278" s="14"/>
    </row>
    <row r="279" spans="1:21" ht="15.75" customHeight="1">
      <c r="A279" s="14"/>
      <c r="B279" s="14"/>
      <c r="C279" s="14"/>
      <c r="D279" s="14"/>
      <c r="E279" s="14"/>
      <c r="F279" s="14"/>
      <c r="G279" s="14" t="str">
        <f t="shared" si="26"/>
        <v/>
      </c>
      <c r="H279" s="14"/>
      <c r="I279" s="14"/>
      <c r="J279" s="24"/>
      <c r="K279" s="24"/>
      <c r="L279" s="24"/>
      <c r="M279" s="24"/>
      <c r="N279" s="16" t="str">
        <f t="shared" si="30"/>
        <v/>
      </c>
      <c r="O279" s="16" t="str">
        <f t="shared" si="27"/>
        <v/>
      </c>
      <c r="P279" s="16" t="str">
        <f t="shared" si="28"/>
        <v/>
      </c>
      <c r="Q279" s="16" t="str">
        <f t="shared" si="29"/>
        <v/>
      </c>
      <c r="R279" s="16">
        <f t="shared" si="31"/>
        <v>0</v>
      </c>
      <c r="S279" s="16" t="str">
        <f>IF(OR($B279="",NOT(ISNUMBER($F279))),"",SUMIFS(community_cores_FS!$P$5:$P$597,community_cores_FS!$B$5:$B$597,$B279,community_cores_FS!$F$5:$F$597,"&lt;="&amp;$F279))</f>
        <v/>
      </c>
      <c r="T279" s="16" t="str">
        <f>IF(AND($A279="",$B279="",$E279=""),"",IF(AND($B279&lt;&gt;"",COUNTIF('2. Core Log'!$A$5:$A$124,$B279)=0),"Core ID not in Core Log. ","")&amp;IF(AND($A279&lt;&gt;"",COUNTIF('1. Plot &amp; Site Log'!$A$5:$A$64,$A279)=0),"Plot ID not in Plot &amp; Site Log. ","")&amp;IF(AND(ISNUMBER($E279),ISNUMBER($F279),$F279&lt;=$E279),"Bottom depth is not below top depth. ","")&amp;IF($I279="","Say which bulk-density basis the lab reported. ","")&amp;IF(AND(ISNUMBER($J279),OR($J279&lt;QC_BD_MIN,$J279&gt;QC_BD_MAX)),"Bulk density outside "&amp;QC_BD_MIN&amp;"–"&amp;QC_BD_MAX&amp;" g/cm³ for peat. Above the top of that range usually means the mineral contact has been passed. ","")&amp;IF(AND(ISNUMBER($N279),$N279&gt;QC_CARBON_PCT_MAX),"Carbon above "&amp;QC_CARBON_PCT_MAX&amp;"% — check units; this may be organic matter rather than carbon. ","")&amp;IF(AND($L279&lt;&gt;"",$M279&lt;&gt;""),"Both LOI and measured carbon given — the measured value is used. ","")&amp;IF(AND($M279="",$L279&lt;&gt;"",OM_FACTOR_IS_LOCAL&lt;&gt;"Yes"),"Carbon derived from LOI using the default factor of "&amp;CARBON_FRACTION_OM&amp;", which has not been calibrated locally. See R1. Reference. ","")&amp;IF(AND(ISNUMBER($O279),$O279=0,ISNUMBER($E279)),"Section lies entirely below the reference depth — it counts to the full-profile stock only. ",""))</f>
        <v/>
      </c>
      <c r="U279" s="14"/>
    </row>
    <row r="280" spans="1:21" ht="15.75" customHeight="1">
      <c r="A280" s="14"/>
      <c r="B280" s="14"/>
      <c r="C280" s="14"/>
      <c r="D280" s="14"/>
      <c r="E280" s="14"/>
      <c r="F280" s="14"/>
      <c r="G280" s="14" t="str">
        <f t="shared" si="26"/>
        <v/>
      </c>
      <c r="H280" s="14"/>
      <c r="I280" s="14"/>
      <c r="J280" s="24"/>
      <c r="K280" s="24"/>
      <c r="L280" s="24"/>
      <c r="M280" s="24"/>
      <c r="N280" s="16" t="str">
        <f t="shared" si="30"/>
        <v/>
      </c>
      <c r="O280" s="16" t="str">
        <f t="shared" si="27"/>
        <v/>
      </c>
      <c r="P280" s="16" t="str">
        <f t="shared" si="28"/>
        <v/>
      </c>
      <c r="Q280" s="16" t="str">
        <f t="shared" si="29"/>
        <v/>
      </c>
      <c r="R280" s="16">
        <f t="shared" si="31"/>
        <v>0</v>
      </c>
      <c r="S280" s="16" t="str">
        <f>IF(OR($B280="",NOT(ISNUMBER($F280))),"",SUMIFS(community_cores_FS!$P$5:$P$597,community_cores_FS!$B$5:$B$597,$B280,community_cores_FS!$F$5:$F$597,"&lt;="&amp;$F280))</f>
        <v/>
      </c>
      <c r="T280" s="16" t="str">
        <f>IF(AND($A280="",$B280="",$E280=""),"",IF(AND($B280&lt;&gt;"",COUNTIF('2. Core Log'!$A$5:$A$124,$B280)=0),"Core ID not in Core Log. ","")&amp;IF(AND($A280&lt;&gt;"",COUNTIF('1. Plot &amp; Site Log'!$A$5:$A$64,$A280)=0),"Plot ID not in Plot &amp; Site Log. ","")&amp;IF(AND(ISNUMBER($E280),ISNUMBER($F280),$F280&lt;=$E280),"Bottom depth is not below top depth. ","")&amp;IF($I280="","Say which bulk-density basis the lab reported. ","")&amp;IF(AND(ISNUMBER($J280),OR($J280&lt;QC_BD_MIN,$J280&gt;QC_BD_MAX)),"Bulk density outside "&amp;QC_BD_MIN&amp;"–"&amp;QC_BD_MAX&amp;" g/cm³ for peat. Above the top of that range usually means the mineral contact has been passed. ","")&amp;IF(AND(ISNUMBER($N280),$N280&gt;QC_CARBON_PCT_MAX),"Carbon above "&amp;QC_CARBON_PCT_MAX&amp;"% — check units; this may be organic matter rather than carbon. ","")&amp;IF(AND($L280&lt;&gt;"",$M280&lt;&gt;""),"Both LOI and measured carbon given — the measured value is used. ","")&amp;IF(AND($M280="",$L280&lt;&gt;"",OM_FACTOR_IS_LOCAL&lt;&gt;"Yes"),"Carbon derived from LOI using the default factor of "&amp;CARBON_FRACTION_OM&amp;", which has not been calibrated locally. See R1. Reference. ","")&amp;IF(AND(ISNUMBER($O280),$O280=0,ISNUMBER($E280)),"Section lies entirely below the reference depth — it counts to the full-profile stock only. ",""))</f>
        <v/>
      </c>
      <c r="U280" s="14"/>
    </row>
    <row r="281" spans="1:21" ht="15.75" customHeight="1">
      <c r="A281" s="14"/>
      <c r="B281" s="14"/>
      <c r="C281" s="14"/>
      <c r="D281" s="14"/>
      <c r="E281" s="14"/>
      <c r="F281" s="14"/>
      <c r="G281" s="14" t="str">
        <f t="shared" si="26"/>
        <v/>
      </c>
      <c r="H281" s="14"/>
      <c r="I281" s="14"/>
      <c r="J281" s="24"/>
      <c r="K281" s="24"/>
      <c r="L281" s="24"/>
      <c r="M281" s="24"/>
      <c r="N281" s="16" t="str">
        <f t="shared" si="30"/>
        <v/>
      </c>
      <c r="O281" s="16" t="str">
        <f t="shared" si="27"/>
        <v/>
      </c>
      <c r="P281" s="16" t="str">
        <f t="shared" si="28"/>
        <v/>
      </c>
      <c r="Q281" s="16" t="str">
        <f t="shared" si="29"/>
        <v/>
      </c>
      <c r="R281" s="16">
        <f t="shared" si="31"/>
        <v>0</v>
      </c>
      <c r="S281" s="16" t="str">
        <f>IF(OR($B281="",NOT(ISNUMBER($F281))),"",SUMIFS(community_cores_FS!$P$5:$P$597,community_cores_FS!$B$5:$B$597,$B281,community_cores_FS!$F$5:$F$597,"&lt;="&amp;$F281))</f>
        <v/>
      </c>
      <c r="T281" s="16" t="str">
        <f>IF(AND($A281="",$B281="",$E281=""),"",IF(AND($B281&lt;&gt;"",COUNTIF('2. Core Log'!$A$5:$A$124,$B281)=0),"Core ID not in Core Log. ","")&amp;IF(AND($A281&lt;&gt;"",COUNTIF('1. Plot &amp; Site Log'!$A$5:$A$64,$A281)=0),"Plot ID not in Plot &amp; Site Log. ","")&amp;IF(AND(ISNUMBER($E281),ISNUMBER($F281),$F281&lt;=$E281),"Bottom depth is not below top depth. ","")&amp;IF($I281="","Say which bulk-density basis the lab reported. ","")&amp;IF(AND(ISNUMBER($J281),OR($J281&lt;QC_BD_MIN,$J281&gt;QC_BD_MAX)),"Bulk density outside "&amp;QC_BD_MIN&amp;"–"&amp;QC_BD_MAX&amp;" g/cm³ for peat. Above the top of that range usually means the mineral contact has been passed. ","")&amp;IF(AND(ISNUMBER($N281),$N281&gt;QC_CARBON_PCT_MAX),"Carbon above "&amp;QC_CARBON_PCT_MAX&amp;"% — check units; this may be organic matter rather than carbon. ","")&amp;IF(AND($L281&lt;&gt;"",$M281&lt;&gt;""),"Both LOI and measured carbon given — the measured value is used. ","")&amp;IF(AND($M281="",$L281&lt;&gt;"",OM_FACTOR_IS_LOCAL&lt;&gt;"Yes"),"Carbon derived from LOI using the default factor of "&amp;CARBON_FRACTION_OM&amp;", which has not been calibrated locally. See R1. Reference. ","")&amp;IF(AND(ISNUMBER($O281),$O281=0,ISNUMBER($E281)),"Section lies entirely below the reference depth — it counts to the full-profile stock only. ",""))</f>
        <v/>
      </c>
      <c r="U281" s="14"/>
    </row>
    <row r="282" spans="1:21" ht="15.75" customHeight="1">
      <c r="A282" s="14"/>
      <c r="B282" s="14"/>
      <c r="C282" s="14"/>
      <c r="D282" s="14"/>
      <c r="E282" s="14"/>
      <c r="F282" s="14"/>
      <c r="G282" s="14" t="str">
        <f t="shared" si="26"/>
        <v/>
      </c>
      <c r="H282" s="14"/>
      <c r="I282" s="14"/>
      <c r="J282" s="24"/>
      <c r="K282" s="24"/>
      <c r="L282" s="24"/>
      <c r="M282" s="24"/>
      <c r="N282" s="16" t="str">
        <f t="shared" si="30"/>
        <v/>
      </c>
      <c r="O282" s="16" t="str">
        <f t="shared" si="27"/>
        <v/>
      </c>
      <c r="P282" s="16" t="str">
        <f t="shared" si="28"/>
        <v/>
      </c>
      <c r="Q282" s="16" t="str">
        <f t="shared" si="29"/>
        <v/>
      </c>
      <c r="R282" s="16">
        <f t="shared" si="31"/>
        <v>0</v>
      </c>
      <c r="S282" s="16" t="str">
        <f>IF(OR($B282="",NOT(ISNUMBER($F282))),"",SUMIFS(community_cores_FS!$P$5:$P$597,community_cores_FS!$B$5:$B$597,$B282,community_cores_FS!$F$5:$F$597,"&lt;="&amp;$F282))</f>
        <v/>
      </c>
      <c r="T282" s="16" t="str">
        <f>IF(AND($A282="",$B282="",$E282=""),"",IF(AND($B282&lt;&gt;"",COUNTIF('2. Core Log'!$A$5:$A$124,$B282)=0),"Core ID not in Core Log. ","")&amp;IF(AND($A282&lt;&gt;"",COUNTIF('1. Plot &amp; Site Log'!$A$5:$A$64,$A282)=0),"Plot ID not in Plot &amp; Site Log. ","")&amp;IF(AND(ISNUMBER($E282),ISNUMBER($F282),$F282&lt;=$E282),"Bottom depth is not below top depth. ","")&amp;IF($I282="","Say which bulk-density basis the lab reported. ","")&amp;IF(AND(ISNUMBER($J282),OR($J282&lt;QC_BD_MIN,$J282&gt;QC_BD_MAX)),"Bulk density outside "&amp;QC_BD_MIN&amp;"–"&amp;QC_BD_MAX&amp;" g/cm³ for peat. Above the top of that range usually means the mineral contact has been passed. ","")&amp;IF(AND(ISNUMBER($N282),$N282&gt;QC_CARBON_PCT_MAX),"Carbon above "&amp;QC_CARBON_PCT_MAX&amp;"% — check units; this may be organic matter rather than carbon. ","")&amp;IF(AND($L282&lt;&gt;"",$M282&lt;&gt;""),"Both LOI and measured carbon given — the measured value is used. ","")&amp;IF(AND($M282="",$L282&lt;&gt;"",OM_FACTOR_IS_LOCAL&lt;&gt;"Yes"),"Carbon derived from LOI using the default factor of "&amp;CARBON_FRACTION_OM&amp;", which has not been calibrated locally. See R1. Reference. ","")&amp;IF(AND(ISNUMBER($O282),$O282=0,ISNUMBER($E282)),"Section lies entirely below the reference depth — it counts to the full-profile stock only. ",""))</f>
        <v/>
      </c>
      <c r="U282" s="14"/>
    </row>
    <row r="283" spans="1:21" ht="15.75" customHeight="1">
      <c r="A283" s="14"/>
      <c r="B283" s="14"/>
      <c r="C283" s="14"/>
      <c r="D283" s="14"/>
      <c r="E283" s="14"/>
      <c r="F283" s="14"/>
      <c r="G283" s="14" t="str">
        <f t="shared" ref="G283:G346" si="32">IF(OR($E283="",$F283=""),"",$F283-$E283)</f>
        <v/>
      </c>
      <c r="H283" s="14"/>
      <c r="I283" s="14"/>
      <c r="J283" s="24"/>
      <c r="K283" s="24"/>
      <c r="L283" s="24"/>
      <c r="M283" s="24"/>
      <c r="N283" s="16" t="str">
        <f t="shared" si="30"/>
        <v/>
      </c>
      <c r="O283" s="16" t="str">
        <f t="shared" ref="O283:O346" si="33">IF(OR($E283="",$F283=""),"",MAX(0,MIN($F283,REFERENCE_DEPTH_CM)-MIN($E283,REFERENCE_DEPTH_CM)))</f>
        <v/>
      </c>
      <c r="P283" s="16" t="str">
        <f t="shared" ref="P283:P346" si="34">IF(OR($J283="",$N283="",$G283=""),"",$J283*($N283/100)*$G283*10)</f>
        <v/>
      </c>
      <c r="Q283" s="16" t="str">
        <f t="shared" ref="Q283:Q346" si="35">IF(OR($J283="",$N283="",$O283=""),"",$J283*($N283/100)*$O283*10)</f>
        <v/>
      </c>
      <c r="R283" s="16">
        <f t="shared" si="31"/>
        <v>0</v>
      </c>
      <c r="S283" s="16" t="str">
        <f>IF(OR($B283="",NOT(ISNUMBER($F283))),"",SUMIFS(community_cores_FS!$P$5:$P$597,community_cores_FS!$B$5:$B$597,$B283,community_cores_FS!$F$5:$F$597,"&lt;="&amp;$F283))</f>
        <v/>
      </c>
      <c r="T283" s="16" t="str">
        <f>IF(AND($A283="",$B283="",$E283=""),"",IF(AND($B283&lt;&gt;"",COUNTIF('2. Core Log'!$A$5:$A$124,$B283)=0),"Core ID not in Core Log. ","")&amp;IF(AND($A283&lt;&gt;"",COUNTIF('1. Plot &amp; Site Log'!$A$5:$A$64,$A283)=0),"Plot ID not in Plot &amp; Site Log. ","")&amp;IF(AND(ISNUMBER($E283),ISNUMBER($F283),$F283&lt;=$E283),"Bottom depth is not below top depth. ","")&amp;IF($I283="","Say which bulk-density basis the lab reported. ","")&amp;IF(AND(ISNUMBER($J283),OR($J283&lt;QC_BD_MIN,$J283&gt;QC_BD_MAX)),"Bulk density outside "&amp;QC_BD_MIN&amp;"–"&amp;QC_BD_MAX&amp;" g/cm³ for peat. Above the top of that range usually means the mineral contact has been passed. ","")&amp;IF(AND(ISNUMBER($N283),$N283&gt;QC_CARBON_PCT_MAX),"Carbon above "&amp;QC_CARBON_PCT_MAX&amp;"% — check units; this may be organic matter rather than carbon. ","")&amp;IF(AND($L283&lt;&gt;"",$M283&lt;&gt;""),"Both LOI and measured carbon given — the measured value is used. ","")&amp;IF(AND($M283="",$L283&lt;&gt;"",OM_FACTOR_IS_LOCAL&lt;&gt;"Yes"),"Carbon derived from LOI using the default factor of "&amp;CARBON_FRACTION_OM&amp;", which has not been calibrated locally. See R1. Reference. ","")&amp;IF(AND(ISNUMBER($O283),$O283=0,ISNUMBER($E283)),"Section lies entirely below the reference depth — it counts to the full-profile stock only. ",""))</f>
        <v/>
      </c>
      <c r="U283" s="14"/>
    </row>
    <row r="284" spans="1:21" ht="15.75" customHeight="1">
      <c r="A284" s="14"/>
      <c r="B284" s="14"/>
      <c r="C284" s="14"/>
      <c r="D284" s="14"/>
      <c r="E284" s="14"/>
      <c r="F284" s="14"/>
      <c r="G284" s="14" t="str">
        <f t="shared" si="32"/>
        <v/>
      </c>
      <c r="H284" s="14"/>
      <c r="I284" s="14"/>
      <c r="J284" s="24"/>
      <c r="K284" s="24"/>
      <c r="L284" s="24"/>
      <c r="M284" s="24"/>
      <c r="N284" s="16" t="str">
        <f t="shared" si="30"/>
        <v/>
      </c>
      <c r="O284" s="16" t="str">
        <f t="shared" si="33"/>
        <v/>
      </c>
      <c r="P284" s="16" t="str">
        <f t="shared" si="34"/>
        <v/>
      </c>
      <c r="Q284" s="16" t="str">
        <f t="shared" si="35"/>
        <v/>
      </c>
      <c r="R284" s="16">
        <f t="shared" si="31"/>
        <v>0</v>
      </c>
      <c r="S284" s="16" t="str">
        <f>IF(OR($B284="",NOT(ISNUMBER($F284))),"",SUMIFS(community_cores_FS!$P$5:$P$597,community_cores_FS!$B$5:$B$597,$B284,community_cores_FS!$F$5:$F$597,"&lt;="&amp;$F284))</f>
        <v/>
      </c>
      <c r="T284" s="16" t="str">
        <f>IF(AND($A284="",$B284="",$E284=""),"",IF(AND($B284&lt;&gt;"",COUNTIF('2. Core Log'!$A$5:$A$124,$B284)=0),"Core ID not in Core Log. ","")&amp;IF(AND($A284&lt;&gt;"",COUNTIF('1. Plot &amp; Site Log'!$A$5:$A$64,$A284)=0),"Plot ID not in Plot &amp; Site Log. ","")&amp;IF(AND(ISNUMBER($E284),ISNUMBER($F284),$F284&lt;=$E284),"Bottom depth is not below top depth. ","")&amp;IF($I284="","Say which bulk-density basis the lab reported. ","")&amp;IF(AND(ISNUMBER($J284),OR($J284&lt;QC_BD_MIN,$J284&gt;QC_BD_MAX)),"Bulk density outside "&amp;QC_BD_MIN&amp;"–"&amp;QC_BD_MAX&amp;" g/cm³ for peat. Above the top of that range usually means the mineral contact has been passed. ","")&amp;IF(AND(ISNUMBER($N284),$N284&gt;QC_CARBON_PCT_MAX),"Carbon above "&amp;QC_CARBON_PCT_MAX&amp;"% — check units; this may be organic matter rather than carbon. ","")&amp;IF(AND($L284&lt;&gt;"",$M284&lt;&gt;""),"Both LOI and measured carbon given — the measured value is used. ","")&amp;IF(AND($M284="",$L284&lt;&gt;"",OM_FACTOR_IS_LOCAL&lt;&gt;"Yes"),"Carbon derived from LOI using the default factor of "&amp;CARBON_FRACTION_OM&amp;", which has not been calibrated locally. See R1. Reference. ","")&amp;IF(AND(ISNUMBER($O284),$O284=0,ISNUMBER($E284)),"Section lies entirely below the reference depth — it counts to the full-profile stock only. ",""))</f>
        <v/>
      </c>
      <c r="U284" s="14"/>
    </row>
    <row r="285" spans="1:21" ht="15.75" customHeight="1">
      <c r="A285" s="14"/>
      <c r="B285" s="14"/>
      <c r="C285" s="14"/>
      <c r="D285" s="14"/>
      <c r="E285" s="14"/>
      <c r="F285" s="14"/>
      <c r="G285" s="14" t="str">
        <f t="shared" si="32"/>
        <v/>
      </c>
      <c r="H285" s="14"/>
      <c r="I285" s="14"/>
      <c r="J285" s="24"/>
      <c r="K285" s="24"/>
      <c r="L285" s="24"/>
      <c r="M285" s="24"/>
      <c r="N285" s="16" t="str">
        <f t="shared" si="30"/>
        <v/>
      </c>
      <c r="O285" s="16" t="str">
        <f t="shared" si="33"/>
        <v/>
      </c>
      <c r="P285" s="16" t="str">
        <f t="shared" si="34"/>
        <v/>
      </c>
      <c r="Q285" s="16" t="str">
        <f t="shared" si="35"/>
        <v/>
      </c>
      <c r="R285" s="16">
        <f t="shared" si="31"/>
        <v>0</v>
      </c>
      <c r="S285" s="16" t="str">
        <f>IF(OR($B285="",NOT(ISNUMBER($F285))),"",SUMIFS(community_cores_FS!$P$5:$P$597,community_cores_FS!$B$5:$B$597,$B285,community_cores_FS!$F$5:$F$597,"&lt;="&amp;$F285))</f>
        <v/>
      </c>
      <c r="T285" s="16" t="str">
        <f>IF(AND($A285="",$B285="",$E285=""),"",IF(AND($B285&lt;&gt;"",COUNTIF('2. Core Log'!$A$5:$A$124,$B285)=0),"Core ID not in Core Log. ","")&amp;IF(AND($A285&lt;&gt;"",COUNTIF('1. Plot &amp; Site Log'!$A$5:$A$64,$A285)=0),"Plot ID not in Plot &amp; Site Log. ","")&amp;IF(AND(ISNUMBER($E285),ISNUMBER($F285),$F285&lt;=$E285),"Bottom depth is not below top depth. ","")&amp;IF($I285="","Say which bulk-density basis the lab reported. ","")&amp;IF(AND(ISNUMBER($J285),OR($J285&lt;QC_BD_MIN,$J285&gt;QC_BD_MAX)),"Bulk density outside "&amp;QC_BD_MIN&amp;"–"&amp;QC_BD_MAX&amp;" g/cm³ for peat. Above the top of that range usually means the mineral contact has been passed. ","")&amp;IF(AND(ISNUMBER($N285),$N285&gt;QC_CARBON_PCT_MAX),"Carbon above "&amp;QC_CARBON_PCT_MAX&amp;"% — check units; this may be organic matter rather than carbon. ","")&amp;IF(AND($L285&lt;&gt;"",$M285&lt;&gt;""),"Both LOI and measured carbon given — the measured value is used. ","")&amp;IF(AND($M285="",$L285&lt;&gt;"",OM_FACTOR_IS_LOCAL&lt;&gt;"Yes"),"Carbon derived from LOI using the default factor of "&amp;CARBON_FRACTION_OM&amp;", which has not been calibrated locally. See R1. Reference. ","")&amp;IF(AND(ISNUMBER($O285),$O285=0,ISNUMBER($E285)),"Section lies entirely below the reference depth — it counts to the full-profile stock only. ",""))</f>
        <v/>
      </c>
      <c r="U285" s="14"/>
    </row>
    <row r="286" spans="1:21" ht="15.75" customHeight="1">
      <c r="A286" s="14"/>
      <c r="B286" s="14"/>
      <c r="C286" s="14"/>
      <c r="D286" s="14"/>
      <c r="E286" s="14"/>
      <c r="F286" s="14"/>
      <c r="G286" s="14" t="str">
        <f t="shared" si="32"/>
        <v/>
      </c>
      <c r="H286" s="14"/>
      <c r="I286" s="14"/>
      <c r="J286" s="24"/>
      <c r="K286" s="24"/>
      <c r="L286" s="24"/>
      <c r="M286" s="24"/>
      <c r="N286" s="16" t="str">
        <f t="shared" si="30"/>
        <v/>
      </c>
      <c r="O286" s="16" t="str">
        <f t="shared" si="33"/>
        <v/>
      </c>
      <c r="P286" s="16" t="str">
        <f t="shared" si="34"/>
        <v/>
      </c>
      <c r="Q286" s="16" t="str">
        <f t="shared" si="35"/>
        <v/>
      </c>
      <c r="R286" s="16">
        <f t="shared" si="31"/>
        <v>0</v>
      </c>
      <c r="S286" s="16" t="str">
        <f>IF(OR($B286="",NOT(ISNUMBER($F286))),"",SUMIFS(community_cores_FS!$P$5:$P$597,community_cores_FS!$B$5:$B$597,$B286,community_cores_FS!$F$5:$F$597,"&lt;="&amp;$F286))</f>
        <v/>
      </c>
      <c r="T286" s="16" t="str">
        <f>IF(AND($A286="",$B286="",$E286=""),"",IF(AND($B286&lt;&gt;"",COUNTIF('2. Core Log'!$A$5:$A$124,$B286)=0),"Core ID not in Core Log. ","")&amp;IF(AND($A286&lt;&gt;"",COUNTIF('1. Plot &amp; Site Log'!$A$5:$A$64,$A286)=0),"Plot ID not in Plot &amp; Site Log. ","")&amp;IF(AND(ISNUMBER($E286),ISNUMBER($F286),$F286&lt;=$E286),"Bottom depth is not below top depth. ","")&amp;IF($I286="","Say which bulk-density basis the lab reported. ","")&amp;IF(AND(ISNUMBER($J286),OR($J286&lt;QC_BD_MIN,$J286&gt;QC_BD_MAX)),"Bulk density outside "&amp;QC_BD_MIN&amp;"–"&amp;QC_BD_MAX&amp;" g/cm³ for peat. Above the top of that range usually means the mineral contact has been passed. ","")&amp;IF(AND(ISNUMBER($N286),$N286&gt;QC_CARBON_PCT_MAX),"Carbon above "&amp;QC_CARBON_PCT_MAX&amp;"% — check units; this may be organic matter rather than carbon. ","")&amp;IF(AND($L286&lt;&gt;"",$M286&lt;&gt;""),"Both LOI and measured carbon given — the measured value is used. ","")&amp;IF(AND($M286="",$L286&lt;&gt;"",OM_FACTOR_IS_LOCAL&lt;&gt;"Yes"),"Carbon derived from LOI using the default factor of "&amp;CARBON_FRACTION_OM&amp;", which has not been calibrated locally. See R1. Reference. ","")&amp;IF(AND(ISNUMBER($O286),$O286=0,ISNUMBER($E286)),"Section lies entirely below the reference depth — it counts to the full-profile stock only. ",""))</f>
        <v/>
      </c>
      <c r="U286" s="14"/>
    </row>
    <row r="287" spans="1:21" ht="15.75" customHeight="1">
      <c r="A287" s="14"/>
      <c r="B287" s="14"/>
      <c r="C287" s="14"/>
      <c r="D287" s="14"/>
      <c r="E287" s="14"/>
      <c r="F287" s="14"/>
      <c r="G287" s="14" t="str">
        <f t="shared" si="32"/>
        <v/>
      </c>
      <c r="H287" s="14"/>
      <c r="I287" s="14"/>
      <c r="J287" s="24"/>
      <c r="K287" s="24"/>
      <c r="L287" s="24"/>
      <c r="M287" s="24"/>
      <c r="N287" s="16" t="str">
        <f t="shared" si="30"/>
        <v/>
      </c>
      <c r="O287" s="16" t="str">
        <f t="shared" si="33"/>
        <v/>
      </c>
      <c r="P287" s="16" t="str">
        <f t="shared" si="34"/>
        <v/>
      </c>
      <c r="Q287" s="16" t="str">
        <f t="shared" si="35"/>
        <v/>
      </c>
      <c r="R287" s="16">
        <f t="shared" si="31"/>
        <v>0</v>
      </c>
      <c r="S287" s="16" t="str">
        <f>IF(OR($B287="",NOT(ISNUMBER($F287))),"",SUMIFS(community_cores_FS!$P$5:$P$597,community_cores_FS!$B$5:$B$597,$B287,community_cores_FS!$F$5:$F$597,"&lt;="&amp;$F287))</f>
        <v/>
      </c>
      <c r="T287" s="16" t="str">
        <f>IF(AND($A287="",$B287="",$E287=""),"",IF(AND($B287&lt;&gt;"",COUNTIF('2. Core Log'!$A$5:$A$124,$B287)=0),"Core ID not in Core Log. ","")&amp;IF(AND($A287&lt;&gt;"",COUNTIF('1. Plot &amp; Site Log'!$A$5:$A$64,$A287)=0),"Plot ID not in Plot &amp; Site Log. ","")&amp;IF(AND(ISNUMBER($E287),ISNUMBER($F287),$F287&lt;=$E287),"Bottom depth is not below top depth. ","")&amp;IF($I287="","Say which bulk-density basis the lab reported. ","")&amp;IF(AND(ISNUMBER($J287),OR($J287&lt;QC_BD_MIN,$J287&gt;QC_BD_MAX)),"Bulk density outside "&amp;QC_BD_MIN&amp;"–"&amp;QC_BD_MAX&amp;" g/cm³ for peat. Above the top of that range usually means the mineral contact has been passed. ","")&amp;IF(AND(ISNUMBER($N287),$N287&gt;QC_CARBON_PCT_MAX),"Carbon above "&amp;QC_CARBON_PCT_MAX&amp;"% — check units; this may be organic matter rather than carbon. ","")&amp;IF(AND($L287&lt;&gt;"",$M287&lt;&gt;""),"Both LOI and measured carbon given — the measured value is used. ","")&amp;IF(AND($M287="",$L287&lt;&gt;"",OM_FACTOR_IS_LOCAL&lt;&gt;"Yes"),"Carbon derived from LOI using the default factor of "&amp;CARBON_FRACTION_OM&amp;", which has not been calibrated locally. See R1. Reference. ","")&amp;IF(AND(ISNUMBER($O287),$O287=0,ISNUMBER($E287)),"Section lies entirely below the reference depth — it counts to the full-profile stock only. ",""))</f>
        <v/>
      </c>
      <c r="U287" s="14"/>
    </row>
    <row r="288" spans="1:21" ht="15.75" customHeight="1">
      <c r="A288" s="14"/>
      <c r="B288" s="14"/>
      <c r="C288" s="14"/>
      <c r="D288" s="14"/>
      <c r="E288" s="14"/>
      <c r="F288" s="14"/>
      <c r="G288" s="14" t="str">
        <f t="shared" si="32"/>
        <v/>
      </c>
      <c r="H288" s="14"/>
      <c r="I288" s="14"/>
      <c r="J288" s="24"/>
      <c r="K288" s="24"/>
      <c r="L288" s="24"/>
      <c r="M288" s="24"/>
      <c r="N288" s="16" t="str">
        <f t="shared" si="30"/>
        <v/>
      </c>
      <c r="O288" s="16" t="str">
        <f t="shared" si="33"/>
        <v/>
      </c>
      <c r="P288" s="16" t="str">
        <f t="shared" si="34"/>
        <v/>
      </c>
      <c r="Q288" s="16" t="str">
        <f t="shared" si="35"/>
        <v/>
      </c>
      <c r="R288" s="16">
        <f t="shared" si="31"/>
        <v>0</v>
      </c>
      <c r="S288" s="16" t="str">
        <f>IF(OR($B288="",NOT(ISNUMBER($F288))),"",SUMIFS(community_cores_FS!$P$5:$P$597,community_cores_FS!$B$5:$B$597,$B288,community_cores_FS!$F$5:$F$597,"&lt;="&amp;$F288))</f>
        <v/>
      </c>
      <c r="T288" s="16" t="str">
        <f>IF(AND($A288="",$B288="",$E288=""),"",IF(AND($B288&lt;&gt;"",COUNTIF('2. Core Log'!$A$5:$A$124,$B288)=0),"Core ID not in Core Log. ","")&amp;IF(AND($A288&lt;&gt;"",COUNTIF('1. Plot &amp; Site Log'!$A$5:$A$64,$A288)=0),"Plot ID not in Plot &amp; Site Log. ","")&amp;IF(AND(ISNUMBER($E288),ISNUMBER($F288),$F288&lt;=$E288),"Bottom depth is not below top depth. ","")&amp;IF($I288="","Say which bulk-density basis the lab reported. ","")&amp;IF(AND(ISNUMBER($J288),OR($J288&lt;QC_BD_MIN,$J288&gt;QC_BD_MAX)),"Bulk density outside "&amp;QC_BD_MIN&amp;"–"&amp;QC_BD_MAX&amp;" g/cm³ for peat. Above the top of that range usually means the mineral contact has been passed. ","")&amp;IF(AND(ISNUMBER($N288),$N288&gt;QC_CARBON_PCT_MAX),"Carbon above "&amp;QC_CARBON_PCT_MAX&amp;"% — check units; this may be organic matter rather than carbon. ","")&amp;IF(AND($L288&lt;&gt;"",$M288&lt;&gt;""),"Both LOI and measured carbon given — the measured value is used. ","")&amp;IF(AND($M288="",$L288&lt;&gt;"",OM_FACTOR_IS_LOCAL&lt;&gt;"Yes"),"Carbon derived from LOI using the default factor of "&amp;CARBON_FRACTION_OM&amp;", which has not been calibrated locally. See R1. Reference. ","")&amp;IF(AND(ISNUMBER($O288),$O288=0,ISNUMBER($E288)),"Section lies entirely below the reference depth — it counts to the full-profile stock only. ",""))</f>
        <v/>
      </c>
      <c r="U288" s="14"/>
    </row>
    <row r="289" spans="1:21" ht="15.75" customHeight="1">
      <c r="A289" s="14"/>
      <c r="B289" s="14"/>
      <c r="C289" s="14"/>
      <c r="D289" s="14"/>
      <c r="E289" s="14"/>
      <c r="F289" s="14"/>
      <c r="G289" s="14" t="str">
        <f t="shared" si="32"/>
        <v/>
      </c>
      <c r="H289" s="14"/>
      <c r="I289" s="14"/>
      <c r="J289" s="24"/>
      <c r="K289" s="24"/>
      <c r="L289" s="24"/>
      <c r="M289" s="24"/>
      <c r="N289" s="16" t="str">
        <f t="shared" si="30"/>
        <v/>
      </c>
      <c r="O289" s="16" t="str">
        <f t="shared" si="33"/>
        <v/>
      </c>
      <c r="P289" s="16" t="str">
        <f t="shared" si="34"/>
        <v/>
      </c>
      <c r="Q289" s="16" t="str">
        <f t="shared" si="35"/>
        <v/>
      </c>
      <c r="R289" s="16">
        <f t="shared" si="31"/>
        <v>0</v>
      </c>
      <c r="S289" s="16" t="str">
        <f>IF(OR($B289="",NOT(ISNUMBER($F289))),"",SUMIFS(community_cores_FS!$P$5:$P$597,community_cores_FS!$B$5:$B$597,$B289,community_cores_FS!$F$5:$F$597,"&lt;="&amp;$F289))</f>
        <v/>
      </c>
      <c r="T289" s="16" t="str">
        <f>IF(AND($A289="",$B289="",$E289=""),"",IF(AND($B289&lt;&gt;"",COUNTIF('2. Core Log'!$A$5:$A$124,$B289)=0),"Core ID not in Core Log. ","")&amp;IF(AND($A289&lt;&gt;"",COUNTIF('1. Plot &amp; Site Log'!$A$5:$A$64,$A289)=0),"Plot ID not in Plot &amp; Site Log. ","")&amp;IF(AND(ISNUMBER($E289),ISNUMBER($F289),$F289&lt;=$E289),"Bottom depth is not below top depth. ","")&amp;IF($I289="","Say which bulk-density basis the lab reported. ","")&amp;IF(AND(ISNUMBER($J289),OR($J289&lt;QC_BD_MIN,$J289&gt;QC_BD_MAX)),"Bulk density outside "&amp;QC_BD_MIN&amp;"–"&amp;QC_BD_MAX&amp;" g/cm³ for peat. Above the top of that range usually means the mineral contact has been passed. ","")&amp;IF(AND(ISNUMBER($N289),$N289&gt;QC_CARBON_PCT_MAX),"Carbon above "&amp;QC_CARBON_PCT_MAX&amp;"% — check units; this may be organic matter rather than carbon. ","")&amp;IF(AND($L289&lt;&gt;"",$M289&lt;&gt;""),"Both LOI and measured carbon given — the measured value is used. ","")&amp;IF(AND($M289="",$L289&lt;&gt;"",OM_FACTOR_IS_LOCAL&lt;&gt;"Yes"),"Carbon derived from LOI using the default factor of "&amp;CARBON_FRACTION_OM&amp;", which has not been calibrated locally. See R1. Reference. ","")&amp;IF(AND(ISNUMBER($O289),$O289=0,ISNUMBER($E289)),"Section lies entirely below the reference depth — it counts to the full-profile stock only. ",""))</f>
        <v/>
      </c>
      <c r="U289" s="14"/>
    </row>
    <row r="290" spans="1:21" ht="15.75" customHeight="1">
      <c r="A290" s="14"/>
      <c r="B290" s="14"/>
      <c r="C290" s="14"/>
      <c r="D290" s="14"/>
      <c r="E290" s="14"/>
      <c r="F290" s="14"/>
      <c r="G290" s="14" t="str">
        <f t="shared" si="32"/>
        <v/>
      </c>
      <c r="H290" s="14"/>
      <c r="I290" s="14"/>
      <c r="J290" s="24"/>
      <c r="K290" s="24"/>
      <c r="L290" s="24"/>
      <c r="M290" s="24"/>
      <c r="N290" s="16" t="str">
        <f t="shared" si="30"/>
        <v/>
      </c>
      <c r="O290" s="16" t="str">
        <f t="shared" si="33"/>
        <v/>
      </c>
      <c r="P290" s="16" t="str">
        <f t="shared" si="34"/>
        <v/>
      </c>
      <c r="Q290" s="16" t="str">
        <f t="shared" si="35"/>
        <v/>
      </c>
      <c r="R290" s="16">
        <f t="shared" si="31"/>
        <v>0</v>
      </c>
      <c r="S290" s="16" t="str">
        <f>IF(OR($B290="",NOT(ISNUMBER($F290))),"",SUMIFS(community_cores_FS!$P$5:$P$597,community_cores_FS!$B$5:$B$597,$B290,community_cores_FS!$F$5:$F$597,"&lt;="&amp;$F290))</f>
        <v/>
      </c>
      <c r="T290" s="16" t="str">
        <f>IF(AND($A290="",$B290="",$E290=""),"",IF(AND($B290&lt;&gt;"",COUNTIF('2. Core Log'!$A$5:$A$124,$B290)=0),"Core ID not in Core Log. ","")&amp;IF(AND($A290&lt;&gt;"",COUNTIF('1. Plot &amp; Site Log'!$A$5:$A$64,$A290)=0),"Plot ID not in Plot &amp; Site Log. ","")&amp;IF(AND(ISNUMBER($E290),ISNUMBER($F290),$F290&lt;=$E290),"Bottom depth is not below top depth. ","")&amp;IF($I290="","Say which bulk-density basis the lab reported. ","")&amp;IF(AND(ISNUMBER($J290),OR($J290&lt;QC_BD_MIN,$J290&gt;QC_BD_MAX)),"Bulk density outside "&amp;QC_BD_MIN&amp;"–"&amp;QC_BD_MAX&amp;" g/cm³ for peat. Above the top of that range usually means the mineral contact has been passed. ","")&amp;IF(AND(ISNUMBER($N290),$N290&gt;QC_CARBON_PCT_MAX),"Carbon above "&amp;QC_CARBON_PCT_MAX&amp;"% — check units; this may be organic matter rather than carbon. ","")&amp;IF(AND($L290&lt;&gt;"",$M290&lt;&gt;""),"Both LOI and measured carbon given — the measured value is used. ","")&amp;IF(AND($M290="",$L290&lt;&gt;"",OM_FACTOR_IS_LOCAL&lt;&gt;"Yes"),"Carbon derived from LOI using the default factor of "&amp;CARBON_FRACTION_OM&amp;", which has not been calibrated locally. See R1. Reference. ","")&amp;IF(AND(ISNUMBER($O290),$O290=0,ISNUMBER($E290)),"Section lies entirely below the reference depth — it counts to the full-profile stock only. ",""))</f>
        <v/>
      </c>
      <c r="U290" s="14"/>
    </row>
    <row r="291" spans="1:21" ht="15.75" customHeight="1">
      <c r="A291" s="14"/>
      <c r="B291" s="14"/>
      <c r="C291" s="14"/>
      <c r="D291" s="14"/>
      <c r="E291" s="14"/>
      <c r="F291" s="14"/>
      <c r="G291" s="14" t="str">
        <f t="shared" si="32"/>
        <v/>
      </c>
      <c r="H291" s="14"/>
      <c r="I291" s="14"/>
      <c r="J291" s="24"/>
      <c r="K291" s="24"/>
      <c r="L291" s="24"/>
      <c r="M291" s="24"/>
      <c r="N291" s="16" t="str">
        <f t="shared" si="30"/>
        <v/>
      </c>
      <c r="O291" s="16" t="str">
        <f t="shared" si="33"/>
        <v/>
      </c>
      <c r="P291" s="16" t="str">
        <f t="shared" si="34"/>
        <v/>
      </c>
      <c r="Q291" s="16" t="str">
        <f t="shared" si="35"/>
        <v/>
      </c>
      <c r="R291" s="16">
        <f t="shared" si="31"/>
        <v>0</v>
      </c>
      <c r="S291" s="16" t="str">
        <f>IF(OR($B291="",NOT(ISNUMBER($F291))),"",SUMIFS(community_cores_FS!$P$5:$P$597,community_cores_FS!$B$5:$B$597,$B291,community_cores_FS!$F$5:$F$597,"&lt;="&amp;$F291))</f>
        <v/>
      </c>
      <c r="T291" s="16" t="str">
        <f>IF(AND($A291="",$B291="",$E291=""),"",IF(AND($B291&lt;&gt;"",COUNTIF('2. Core Log'!$A$5:$A$124,$B291)=0),"Core ID not in Core Log. ","")&amp;IF(AND($A291&lt;&gt;"",COUNTIF('1. Plot &amp; Site Log'!$A$5:$A$64,$A291)=0),"Plot ID not in Plot &amp; Site Log. ","")&amp;IF(AND(ISNUMBER($E291),ISNUMBER($F291),$F291&lt;=$E291),"Bottom depth is not below top depth. ","")&amp;IF($I291="","Say which bulk-density basis the lab reported. ","")&amp;IF(AND(ISNUMBER($J291),OR($J291&lt;QC_BD_MIN,$J291&gt;QC_BD_MAX)),"Bulk density outside "&amp;QC_BD_MIN&amp;"–"&amp;QC_BD_MAX&amp;" g/cm³ for peat. Above the top of that range usually means the mineral contact has been passed. ","")&amp;IF(AND(ISNUMBER($N291),$N291&gt;QC_CARBON_PCT_MAX),"Carbon above "&amp;QC_CARBON_PCT_MAX&amp;"% — check units; this may be organic matter rather than carbon. ","")&amp;IF(AND($L291&lt;&gt;"",$M291&lt;&gt;""),"Both LOI and measured carbon given — the measured value is used. ","")&amp;IF(AND($M291="",$L291&lt;&gt;"",OM_FACTOR_IS_LOCAL&lt;&gt;"Yes"),"Carbon derived from LOI using the default factor of "&amp;CARBON_FRACTION_OM&amp;", which has not been calibrated locally. See R1. Reference. ","")&amp;IF(AND(ISNUMBER($O291),$O291=0,ISNUMBER($E291)),"Section lies entirely below the reference depth — it counts to the full-profile stock only. ",""))</f>
        <v/>
      </c>
      <c r="U291" s="14"/>
    </row>
    <row r="292" spans="1:21" ht="15.75" customHeight="1">
      <c r="A292" s="14"/>
      <c r="B292" s="14"/>
      <c r="C292" s="14"/>
      <c r="D292" s="14"/>
      <c r="E292" s="14"/>
      <c r="F292" s="14"/>
      <c r="G292" s="14" t="str">
        <f t="shared" si="32"/>
        <v/>
      </c>
      <c r="H292" s="14"/>
      <c r="I292" s="14"/>
      <c r="J292" s="24"/>
      <c r="K292" s="24"/>
      <c r="L292" s="24"/>
      <c r="M292" s="24"/>
      <c r="N292" s="16" t="str">
        <f t="shared" si="30"/>
        <v/>
      </c>
      <c r="O292" s="16" t="str">
        <f t="shared" si="33"/>
        <v/>
      </c>
      <c r="P292" s="16" t="str">
        <f t="shared" si="34"/>
        <v/>
      </c>
      <c r="Q292" s="16" t="str">
        <f t="shared" si="35"/>
        <v/>
      </c>
      <c r="R292" s="16">
        <f t="shared" si="31"/>
        <v>0</v>
      </c>
      <c r="S292" s="16" t="str">
        <f>IF(OR($B292="",NOT(ISNUMBER($F292))),"",SUMIFS(community_cores_FS!$P$5:$P$597,community_cores_FS!$B$5:$B$597,$B292,community_cores_FS!$F$5:$F$597,"&lt;="&amp;$F292))</f>
        <v/>
      </c>
      <c r="T292" s="16" t="str">
        <f>IF(AND($A292="",$B292="",$E292=""),"",IF(AND($B292&lt;&gt;"",COUNTIF('2. Core Log'!$A$5:$A$124,$B292)=0),"Core ID not in Core Log. ","")&amp;IF(AND($A292&lt;&gt;"",COUNTIF('1. Plot &amp; Site Log'!$A$5:$A$64,$A292)=0),"Plot ID not in Plot &amp; Site Log. ","")&amp;IF(AND(ISNUMBER($E292),ISNUMBER($F292),$F292&lt;=$E292),"Bottom depth is not below top depth. ","")&amp;IF($I292="","Say which bulk-density basis the lab reported. ","")&amp;IF(AND(ISNUMBER($J292),OR($J292&lt;QC_BD_MIN,$J292&gt;QC_BD_MAX)),"Bulk density outside "&amp;QC_BD_MIN&amp;"–"&amp;QC_BD_MAX&amp;" g/cm³ for peat. Above the top of that range usually means the mineral contact has been passed. ","")&amp;IF(AND(ISNUMBER($N292),$N292&gt;QC_CARBON_PCT_MAX),"Carbon above "&amp;QC_CARBON_PCT_MAX&amp;"% — check units; this may be organic matter rather than carbon. ","")&amp;IF(AND($L292&lt;&gt;"",$M292&lt;&gt;""),"Both LOI and measured carbon given — the measured value is used. ","")&amp;IF(AND($M292="",$L292&lt;&gt;"",OM_FACTOR_IS_LOCAL&lt;&gt;"Yes"),"Carbon derived from LOI using the default factor of "&amp;CARBON_FRACTION_OM&amp;", which has not been calibrated locally. See R1. Reference. ","")&amp;IF(AND(ISNUMBER($O292),$O292=0,ISNUMBER($E292)),"Section lies entirely below the reference depth — it counts to the full-profile stock only. ",""))</f>
        <v/>
      </c>
      <c r="U292" s="14"/>
    </row>
    <row r="293" spans="1:21" ht="15.75" customHeight="1">
      <c r="A293" s="14"/>
      <c r="B293" s="14"/>
      <c r="C293" s="14"/>
      <c r="D293" s="14"/>
      <c r="E293" s="14"/>
      <c r="F293" s="14"/>
      <c r="G293" s="14" t="str">
        <f t="shared" si="32"/>
        <v/>
      </c>
      <c r="H293" s="14"/>
      <c r="I293" s="14"/>
      <c r="J293" s="24"/>
      <c r="K293" s="24"/>
      <c r="L293" s="24"/>
      <c r="M293" s="24"/>
      <c r="N293" s="16" t="str">
        <f t="shared" si="30"/>
        <v/>
      </c>
      <c r="O293" s="16" t="str">
        <f t="shared" si="33"/>
        <v/>
      </c>
      <c r="P293" s="16" t="str">
        <f t="shared" si="34"/>
        <v/>
      </c>
      <c r="Q293" s="16" t="str">
        <f t="shared" si="35"/>
        <v/>
      </c>
      <c r="R293" s="16">
        <f t="shared" si="31"/>
        <v>0</v>
      </c>
      <c r="S293" s="16" t="str">
        <f>IF(OR($B293="",NOT(ISNUMBER($F293))),"",SUMIFS(community_cores_FS!$P$5:$P$597,community_cores_FS!$B$5:$B$597,$B293,community_cores_FS!$F$5:$F$597,"&lt;="&amp;$F293))</f>
        <v/>
      </c>
      <c r="T293" s="16" t="str">
        <f>IF(AND($A293="",$B293="",$E293=""),"",IF(AND($B293&lt;&gt;"",COUNTIF('2. Core Log'!$A$5:$A$124,$B293)=0),"Core ID not in Core Log. ","")&amp;IF(AND($A293&lt;&gt;"",COUNTIF('1. Plot &amp; Site Log'!$A$5:$A$64,$A293)=0),"Plot ID not in Plot &amp; Site Log. ","")&amp;IF(AND(ISNUMBER($E293),ISNUMBER($F293),$F293&lt;=$E293),"Bottom depth is not below top depth. ","")&amp;IF($I293="","Say which bulk-density basis the lab reported. ","")&amp;IF(AND(ISNUMBER($J293),OR($J293&lt;QC_BD_MIN,$J293&gt;QC_BD_MAX)),"Bulk density outside "&amp;QC_BD_MIN&amp;"–"&amp;QC_BD_MAX&amp;" g/cm³ for peat. Above the top of that range usually means the mineral contact has been passed. ","")&amp;IF(AND(ISNUMBER($N293),$N293&gt;QC_CARBON_PCT_MAX),"Carbon above "&amp;QC_CARBON_PCT_MAX&amp;"% — check units; this may be organic matter rather than carbon. ","")&amp;IF(AND($L293&lt;&gt;"",$M293&lt;&gt;""),"Both LOI and measured carbon given — the measured value is used. ","")&amp;IF(AND($M293="",$L293&lt;&gt;"",OM_FACTOR_IS_LOCAL&lt;&gt;"Yes"),"Carbon derived from LOI using the default factor of "&amp;CARBON_FRACTION_OM&amp;", which has not been calibrated locally. See R1. Reference. ","")&amp;IF(AND(ISNUMBER($O293),$O293=0,ISNUMBER($E293)),"Section lies entirely below the reference depth — it counts to the full-profile stock only. ",""))</f>
        <v/>
      </c>
      <c r="U293" s="14"/>
    </row>
    <row r="294" spans="1:21" ht="15.75" customHeight="1">
      <c r="A294" s="14"/>
      <c r="B294" s="14"/>
      <c r="C294" s="14"/>
      <c r="D294" s="14"/>
      <c r="E294" s="14"/>
      <c r="F294" s="14"/>
      <c r="G294" s="14" t="str">
        <f t="shared" si="32"/>
        <v/>
      </c>
      <c r="H294" s="14"/>
      <c r="I294" s="14"/>
      <c r="J294" s="24"/>
      <c r="K294" s="24"/>
      <c r="L294" s="24"/>
      <c r="M294" s="24"/>
      <c r="N294" s="16" t="str">
        <f t="shared" si="30"/>
        <v/>
      </c>
      <c r="O294" s="16" t="str">
        <f t="shared" si="33"/>
        <v/>
      </c>
      <c r="P294" s="16" t="str">
        <f t="shared" si="34"/>
        <v/>
      </c>
      <c r="Q294" s="16" t="str">
        <f t="shared" si="35"/>
        <v/>
      </c>
      <c r="R294" s="16">
        <f t="shared" si="31"/>
        <v>0</v>
      </c>
      <c r="S294" s="16" t="str">
        <f>IF(OR($B294="",NOT(ISNUMBER($F294))),"",SUMIFS(community_cores_FS!$P$5:$P$597,community_cores_FS!$B$5:$B$597,$B294,community_cores_FS!$F$5:$F$597,"&lt;="&amp;$F294))</f>
        <v/>
      </c>
      <c r="T294" s="16" t="str">
        <f>IF(AND($A294="",$B294="",$E294=""),"",IF(AND($B294&lt;&gt;"",COUNTIF('2. Core Log'!$A$5:$A$124,$B294)=0),"Core ID not in Core Log. ","")&amp;IF(AND($A294&lt;&gt;"",COUNTIF('1. Plot &amp; Site Log'!$A$5:$A$64,$A294)=0),"Plot ID not in Plot &amp; Site Log. ","")&amp;IF(AND(ISNUMBER($E294),ISNUMBER($F294),$F294&lt;=$E294),"Bottom depth is not below top depth. ","")&amp;IF($I294="","Say which bulk-density basis the lab reported. ","")&amp;IF(AND(ISNUMBER($J294),OR($J294&lt;QC_BD_MIN,$J294&gt;QC_BD_MAX)),"Bulk density outside "&amp;QC_BD_MIN&amp;"–"&amp;QC_BD_MAX&amp;" g/cm³ for peat. Above the top of that range usually means the mineral contact has been passed. ","")&amp;IF(AND(ISNUMBER($N294),$N294&gt;QC_CARBON_PCT_MAX),"Carbon above "&amp;QC_CARBON_PCT_MAX&amp;"% — check units; this may be organic matter rather than carbon. ","")&amp;IF(AND($L294&lt;&gt;"",$M294&lt;&gt;""),"Both LOI and measured carbon given — the measured value is used. ","")&amp;IF(AND($M294="",$L294&lt;&gt;"",OM_FACTOR_IS_LOCAL&lt;&gt;"Yes"),"Carbon derived from LOI using the default factor of "&amp;CARBON_FRACTION_OM&amp;", which has not been calibrated locally. See R1. Reference. ","")&amp;IF(AND(ISNUMBER($O294),$O294=0,ISNUMBER($E294)),"Section lies entirely below the reference depth — it counts to the full-profile stock only. ",""))</f>
        <v/>
      </c>
      <c r="U294" s="14"/>
    </row>
    <row r="295" spans="1:21" ht="15.75" customHeight="1">
      <c r="A295" s="14"/>
      <c r="B295" s="14"/>
      <c r="C295" s="14"/>
      <c r="D295" s="14"/>
      <c r="E295" s="14"/>
      <c r="F295" s="14"/>
      <c r="G295" s="14" t="str">
        <f t="shared" si="32"/>
        <v/>
      </c>
      <c r="H295" s="14"/>
      <c r="I295" s="14"/>
      <c r="J295" s="24"/>
      <c r="K295" s="24"/>
      <c r="L295" s="24"/>
      <c r="M295" s="24"/>
      <c r="N295" s="16" t="str">
        <f t="shared" si="30"/>
        <v/>
      </c>
      <c r="O295" s="16" t="str">
        <f t="shared" si="33"/>
        <v/>
      </c>
      <c r="P295" s="16" t="str">
        <f t="shared" si="34"/>
        <v/>
      </c>
      <c r="Q295" s="16" t="str">
        <f t="shared" si="35"/>
        <v/>
      </c>
      <c r="R295" s="16">
        <f t="shared" si="31"/>
        <v>0</v>
      </c>
      <c r="S295" s="16" t="str">
        <f>IF(OR($B295="",NOT(ISNUMBER($F295))),"",SUMIFS(community_cores_FS!$P$5:$P$597,community_cores_FS!$B$5:$B$597,$B295,community_cores_FS!$F$5:$F$597,"&lt;="&amp;$F295))</f>
        <v/>
      </c>
      <c r="T295" s="16" t="str">
        <f>IF(AND($A295="",$B295="",$E295=""),"",IF(AND($B295&lt;&gt;"",COUNTIF('2. Core Log'!$A$5:$A$124,$B295)=0),"Core ID not in Core Log. ","")&amp;IF(AND($A295&lt;&gt;"",COUNTIF('1. Plot &amp; Site Log'!$A$5:$A$64,$A295)=0),"Plot ID not in Plot &amp; Site Log. ","")&amp;IF(AND(ISNUMBER($E295),ISNUMBER($F295),$F295&lt;=$E295),"Bottom depth is not below top depth. ","")&amp;IF($I295="","Say which bulk-density basis the lab reported. ","")&amp;IF(AND(ISNUMBER($J295),OR($J295&lt;QC_BD_MIN,$J295&gt;QC_BD_MAX)),"Bulk density outside "&amp;QC_BD_MIN&amp;"–"&amp;QC_BD_MAX&amp;" g/cm³ for peat. Above the top of that range usually means the mineral contact has been passed. ","")&amp;IF(AND(ISNUMBER($N295),$N295&gt;QC_CARBON_PCT_MAX),"Carbon above "&amp;QC_CARBON_PCT_MAX&amp;"% — check units; this may be organic matter rather than carbon. ","")&amp;IF(AND($L295&lt;&gt;"",$M295&lt;&gt;""),"Both LOI and measured carbon given — the measured value is used. ","")&amp;IF(AND($M295="",$L295&lt;&gt;"",OM_FACTOR_IS_LOCAL&lt;&gt;"Yes"),"Carbon derived from LOI using the default factor of "&amp;CARBON_FRACTION_OM&amp;", which has not been calibrated locally. See R1. Reference. ","")&amp;IF(AND(ISNUMBER($O295),$O295=0,ISNUMBER($E295)),"Section lies entirely below the reference depth — it counts to the full-profile stock only. ",""))</f>
        <v/>
      </c>
      <c r="U295" s="14"/>
    </row>
    <row r="296" spans="1:21" ht="15.75" customHeight="1">
      <c r="A296" s="14"/>
      <c r="B296" s="14"/>
      <c r="C296" s="14"/>
      <c r="D296" s="14"/>
      <c r="E296" s="14"/>
      <c r="F296" s="14"/>
      <c r="G296" s="14" t="str">
        <f t="shared" si="32"/>
        <v/>
      </c>
      <c r="H296" s="14"/>
      <c r="I296" s="14"/>
      <c r="J296" s="24"/>
      <c r="K296" s="24"/>
      <c r="L296" s="24"/>
      <c r="M296" s="24"/>
      <c r="N296" s="16" t="str">
        <f t="shared" si="30"/>
        <v/>
      </c>
      <c r="O296" s="16" t="str">
        <f t="shared" si="33"/>
        <v/>
      </c>
      <c r="P296" s="16" t="str">
        <f t="shared" si="34"/>
        <v/>
      </c>
      <c r="Q296" s="16" t="str">
        <f t="shared" si="35"/>
        <v/>
      </c>
      <c r="R296" s="16">
        <f t="shared" si="31"/>
        <v>0</v>
      </c>
      <c r="S296" s="16" t="str">
        <f>IF(OR($B296="",NOT(ISNUMBER($F296))),"",SUMIFS(community_cores_FS!$P$5:$P$597,community_cores_FS!$B$5:$B$597,$B296,community_cores_FS!$F$5:$F$597,"&lt;="&amp;$F296))</f>
        <v/>
      </c>
      <c r="T296" s="16" t="str">
        <f>IF(AND($A296="",$B296="",$E296=""),"",IF(AND($B296&lt;&gt;"",COUNTIF('2. Core Log'!$A$5:$A$124,$B296)=0),"Core ID not in Core Log. ","")&amp;IF(AND($A296&lt;&gt;"",COUNTIF('1. Plot &amp; Site Log'!$A$5:$A$64,$A296)=0),"Plot ID not in Plot &amp; Site Log. ","")&amp;IF(AND(ISNUMBER($E296),ISNUMBER($F296),$F296&lt;=$E296),"Bottom depth is not below top depth. ","")&amp;IF($I296="","Say which bulk-density basis the lab reported. ","")&amp;IF(AND(ISNUMBER($J296),OR($J296&lt;QC_BD_MIN,$J296&gt;QC_BD_MAX)),"Bulk density outside "&amp;QC_BD_MIN&amp;"–"&amp;QC_BD_MAX&amp;" g/cm³ for peat. Above the top of that range usually means the mineral contact has been passed. ","")&amp;IF(AND(ISNUMBER($N296),$N296&gt;QC_CARBON_PCT_MAX),"Carbon above "&amp;QC_CARBON_PCT_MAX&amp;"% — check units; this may be organic matter rather than carbon. ","")&amp;IF(AND($L296&lt;&gt;"",$M296&lt;&gt;""),"Both LOI and measured carbon given — the measured value is used. ","")&amp;IF(AND($M296="",$L296&lt;&gt;"",OM_FACTOR_IS_LOCAL&lt;&gt;"Yes"),"Carbon derived from LOI using the default factor of "&amp;CARBON_FRACTION_OM&amp;", which has not been calibrated locally. See R1. Reference. ","")&amp;IF(AND(ISNUMBER($O296),$O296=0,ISNUMBER($E296)),"Section lies entirely below the reference depth — it counts to the full-profile stock only. ",""))</f>
        <v/>
      </c>
      <c r="U296" s="14"/>
    </row>
    <row r="297" spans="1:21" ht="15.75" customHeight="1">
      <c r="A297" s="14"/>
      <c r="B297" s="14"/>
      <c r="C297" s="14"/>
      <c r="D297" s="14"/>
      <c r="E297" s="14"/>
      <c r="F297" s="14"/>
      <c r="G297" s="14" t="str">
        <f t="shared" si="32"/>
        <v/>
      </c>
      <c r="H297" s="14"/>
      <c r="I297" s="14"/>
      <c r="J297" s="24"/>
      <c r="K297" s="24"/>
      <c r="L297" s="24"/>
      <c r="M297" s="24"/>
      <c r="N297" s="16" t="str">
        <f t="shared" si="30"/>
        <v/>
      </c>
      <c r="O297" s="16" t="str">
        <f t="shared" si="33"/>
        <v/>
      </c>
      <c r="P297" s="16" t="str">
        <f t="shared" si="34"/>
        <v/>
      </c>
      <c r="Q297" s="16" t="str">
        <f t="shared" si="35"/>
        <v/>
      </c>
      <c r="R297" s="16">
        <f t="shared" si="31"/>
        <v>0</v>
      </c>
      <c r="S297" s="16" t="str">
        <f>IF(OR($B297="",NOT(ISNUMBER($F297))),"",SUMIFS(community_cores_FS!$P$5:$P$597,community_cores_FS!$B$5:$B$597,$B297,community_cores_FS!$F$5:$F$597,"&lt;="&amp;$F297))</f>
        <v/>
      </c>
      <c r="T297" s="16" t="str">
        <f>IF(AND($A297="",$B297="",$E297=""),"",IF(AND($B297&lt;&gt;"",COUNTIF('2. Core Log'!$A$5:$A$124,$B297)=0),"Core ID not in Core Log. ","")&amp;IF(AND($A297&lt;&gt;"",COUNTIF('1. Plot &amp; Site Log'!$A$5:$A$64,$A297)=0),"Plot ID not in Plot &amp; Site Log. ","")&amp;IF(AND(ISNUMBER($E297),ISNUMBER($F297),$F297&lt;=$E297),"Bottom depth is not below top depth. ","")&amp;IF($I297="","Say which bulk-density basis the lab reported. ","")&amp;IF(AND(ISNUMBER($J297),OR($J297&lt;QC_BD_MIN,$J297&gt;QC_BD_MAX)),"Bulk density outside "&amp;QC_BD_MIN&amp;"–"&amp;QC_BD_MAX&amp;" g/cm³ for peat. Above the top of that range usually means the mineral contact has been passed. ","")&amp;IF(AND(ISNUMBER($N297),$N297&gt;QC_CARBON_PCT_MAX),"Carbon above "&amp;QC_CARBON_PCT_MAX&amp;"% — check units; this may be organic matter rather than carbon. ","")&amp;IF(AND($L297&lt;&gt;"",$M297&lt;&gt;""),"Both LOI and measured carbon given — the measured value is used. ","")&amp;IF(AND($M297="",$L297&lt;&gt;"",OM_FACTOR_IS_LOCAL&lt;&gt;"Yes"),"Carbon derived from LOI using the default factor of "&amp;CARBON_FRACTION_OM&amp;", which has not been calibrated locally. See R1. Reference. ","")&amp;IF(AND(ISNUMBER($O297),$O297=0,ISNUMBER($E297)),"Section lies entirely below the reference depth — it counts to the full-profile stock only. ",""))</f>
        <v/>
      </c>
      <c r="U297" s="14"/>
    </row>
    <row r="298" spans="1:21" ht="15.75" customHeight="1">
      <c r="A298" s="14"/>
      <c r="B298" s="14"/>
      <c r="C298" s="14"/>
      <c r="D298" s="14"/>
      <c r="E298" s="14"/>
      <c r="F298" s="14"/>
      <c r="G298" s="14" t="str">
        <f t="shared" si="32"/>
        <v/>
      </c>
      <c r="H298" s="14"/>
      <c r="I298" s="14"/>
      <c r="J298" s="24"/>
      <c r="K298" s="24"/>
      <c r="L298" s="24"/>
      <c r="M298" s="24"/>
      <c r="N298" s="16" t="str">
        <f t="shared" si="30"/>
        <v/>
      </c>
      <c r="O298" s="16" t="str">
        <f t="shared" si="33"/>
        <v/>
      </c>
      <c r="P298" s="16" t="str">
        <f t="shared" si="34"/>
        <v/>
      </c>
      <c r="Q298" s="16" t="str">
        <f t="shared" si="35"/>
        <v/>
      </c>
      <c r="R298" s="16">
        <f t="shared" si="31"/>
        <v>0</v>
      </c>
      <c r="S298" s="16" t="str">
        <f>IF(OR($B298="",NOT(ISNUMBER($F298))),"",SUMIFS(community_cores_FS!$P$5:$P$597,community_cores_FS!$B$5:$B$597,$B298,community_cores_FS!$F$5:$F$597,"&lt;="&amp;$F298))</f>
        <v/>
      </c>
      <c r="T298" s="16" t="str">
        <f>IF(AND($A298="",$B298="",$E298=""),"",IF(AND($B298&lt;&gt;"",COUNTIF('2. Core Log'!$A$5:$A$124,$B298)=0),"Core ID not in Core Log. ","")&amp;IF(AND($A298&lt;&gt;"",COUNTIF('1. Plot &amp; Site Log'!$A$5:$A$64,$A298)=0),"Plot ID not in Plot &amp; Site Log. ","")&amp;IF(AND(ISNUMBER($E298),ISNUMBER($F298),$F298&lt;=$E298),"Bottom depth is not below top depth. ","")&amp;IF($I298="","Say which bulk-density basis the lab reported. ","")&amp;IF(AND(ISNUMBER($J298),OR($J298&lt;QC_BD_MIN,$J298&gt;QC_BD_MAX)),"Bulk density outside "&amp;QC_BD_MIN&amp;"–"&amp;QC_BD_MAX&amp;" g/cm³ for peat. Above the top of that range usually means the mineral contact has been passed. ","")&amp;IF(AND(ISNUMBER($N298),$N298&gt;QC_CARBON_PCT_MAX),"Carbon above "&amp;QC_CARBON_PCT_MAX&amp;"% — check units; this may be organic matter rather than carbon. ","")&amp;IF(AND($L298&lt;&gt;"",$M298&lt;&gt;""),"Both LOI and measured carbon given — the measured value is used. ","")&amp;IF(AND($M298="",$L298&lt;&gt;"",OM_FACTOR_IS_LOCAL&lt;&gt;"Yes"),"Carbon derived from LOI using the default factor of "&amp;CARBON_FRACTION_OM&amp;", which has not been calibrated locally. See R1. Reference. ","")&amp;IF(AND(ISNUMBER($O298),$O298=0,ISNUMBER($E298)),"Section lies entirely below the reference depth — it counts to the full-profile stock only. ",""))</f>
        <v/>
      </c>
      <c r="U298" s="14"/>
    </row>
    <row r="299" spans="1:21" ht="15.75" customHeight="1">
      <c r="A299" s="14"/>
      <c r="B299" s="14"/>
      <c r="C299" s="14"/>
      <c r="D299" s="14"/>
      <c r="E299" s="14"/>
      <c r="F299" s="14"/>
      <c r="G299" s="14" t="str">
        <f t="shared" si="32"/>
        <v/>
      </c>
      <c r="H299" s="14"/>
      <c r="I299" s="14"/>
      <c r="J299" s="24"/>
      <c r="K299" s="24"/>
      <c r="L299" s="24"/>
      <c r="M299" s="24"/>
      <c r="N299" s="16" t="str">
        <f t="shared" si="30"/>
        <v/>
      </c>
      <c r="O299" s="16" t="str">
        <f t="shared" si="33"/>
        <v/>
      </c>
      <c r="P299" s="16" t="str">
        <f t="shared" si="34"/>
        <v/>
      </c>
      <c r="Q299" s="16" t="str">
        <f t="shared" si="35"/>
        <v/>
      </c>
      <c r="R299" s="16">
        <f t="shared" si="31"/>
        <v>0</v>
      </c>
      <c r="S299" s="16" t="str">
        <f>IF(OR($B299="",NOT(ISNUMBER($F299))),"",SUMIFS(community_cores_FS!$P$5:$P$597,community_cores_FS!$B$5:$B$597,$B299,community_cores_FS!$F$5:$F$597,"&lt;="&amp;$F299))</f>
        <v/>
      </c>
      <c r="T299" s="16" t="str">
        <f>IF(AND($A299="",$B299="",$E299=""),"",IF(AND($B299&lt;&gt;"",COUNTIF('2. Core Log'!$A$5:$A$124,$B299)=0),"Core ID not in Core Log. ","")&amp;IF(AND($A299&lt;&gt;"",COUNTIF('1. Plot &amp; Site Log'!$A$5:$A$64,$A299)=0),"Plot ID not in Plot &amp; Site Log. ","")&amp;IF(AND(ISNUMBER($E299),ISNUMBER($F299),$F299&lt;=$E299),"Bottom depth is not below top depth. ","")&amp;IF($I299="","Say which bulk-density basis the lab reported. ","")&amp;IF(AND(ISNUMBER($J299),OR($J299&lt;QC_BD_MIN,$J299&gt;QC_BD_MAX)),"Bulk density outside "&amp;QC_BD_MIN&amp;"–"&amp;QC_BD_MAX&amp;" g/cm³ for peat. Above the top of that range usually means the mineral contact has been passed. ","")&amp;IF(AND(ISNUMBER($N299),$N299&gt;QC_CARBON_PCT_MAX),"Carbon above "&amp;QC_CARBON_PCT_MAX&amp;"% — check units; this may be organic matter rather than carbon. ","")&amp;IF(AND($L299&lt;&gt;"",$M299&lt;&gt;""),"Both LOI and measured carbon given — the measured value is used. ","")&amp;IF(AND($M299="",$L299&lt;&gt;"",OM_FACTOR_IS_LOCAL&lt;&gt;"Yes"),"Carbon derived from LOI using the default factor of "&amp;CARBON_FRACTION_OM&amp;", which has not been calibrated locally. See R1. Reference. ","")&amp;IF(AND(ISNUMBER($O299),$O299=0,ISNUMBER($E299)),"Section lies entirely below the reference depth — it counts to the full-profile stock only. ",""))</f>
        <v/>
      </c>
      <c r="U299" s="14"/>
    </row>
    <row r="300" spans="1:21" ht="15.75" customHeight="1">
      <c r="A300" s="14"/>
      <c r="B300" s="14"/>
      <c r="C300" s="14"/>
      <c r="D300" s="14"/>
      <c r="E300" s="14"/>
      <c r="F300" s="14"/>
      <c r="G300" s="14" t="str">
        <f t="shared" si="32"/>
        <v/>
      </c>
      <c r="H300" s="14"/>
      <c r="I300" s="14"/>
      <c r="J300" s="24"/>
      <c r="K300" s="24"/>
      <c r="L300" s="24"/>
      <c r="M300" s="24"/>
      <c r="N300" s="16" t="str">
        <f t="shared" si="30"/>
        <v/>
      </c>
      <c r="O300" s="16" t="str">
        <f t="shared" si="33"/>
        <v/>
      </c>
      <c r="P300" s="16" t="str">
        <f t="shared" si="34"/>
        <v/>
      </c>
      <c r="Q300" s="16" t="str">
        <f t="shared" si="35"/>
        <v/>
      </c>
      <c r="R300" s="16">
        <f t="shared" si="31"/>
        <v>0</v>
      </c>
      <c r="S300" s="16" t="str">
        <f>IF(OR($B300="",NOT(ISNUMBER($F300))),"",SUMIFS(community_cores_FS!$P$5:$P$597,community_cores_FS!$B$5:$B$597,$B300,community_cores_FS!$F$5:$F$597,"&lt;="&amp;$F300))</f>
        <v/>
      </c>
      <c r="T300" s="16" t="str">
        <f>IF(AND($A300="",$B300="",$E300=""),"",IF(AND($B300&lt;&gt;"",COUNTIF('2. Core Log'!$A$5:$A$124,$B300)=0),"Core ID not in Core Log. ","")&amp;IF(AND($A300&lt;&gt;"",COUNTIF('1. Plot &amp; Site Log'!$A$5:$A$64,$A300)=0),"Plot ID not in Plot &amp; Site Log. ","")&amp;IF(AND(ISNUMBER($E300),ISNUMBER($F300),$F300&lt;=$E300),"Bottom depth is not below top depth. ","")&amp;IF($I300="","Say which bulk-density basis the lab reported. ","")&amp;IF(AND(ISNUMBER($J300),OR($J300&lt;QC_BD_MIN,$J300&gt;QC_BD_MAX)),"Bulk density outside "&amp;QC_BD_MIN&amp;"–"&amp;QC_BD_MAX&amp;" g/cm³ for peat. Above the top of that range usually means the mineral contact has been passed. ","")&amp;IF(AND(ISNUMBER($N300),$N300&gt;QC_CARBON_PCT_MAX),"Carbon above "&amp;QC_CARBON_PCT_MAX&amp;"% — check units; this may be organic matter rather than carbon. ","")&amp;IF(AND($L300&lt;&gt;"",$M300&lt;&gt;""),"Both LOI and measured carbon given — the measured value is used. ","")&amp;IF(AND($M300="",$L300&lt;&gt;"",OM_FACTOR_IS_LOCAL&lt;&gt;"Yes"),"Carbon derived from LOI using the default factor of "&amp;CARBON_FRACTION_OM&amp;", which has not been calibrated locally. See R1. Reference. ","")&amp;IF(AND(ISNUMBER($O300),$O300=0,ISNUMBER($E300)),"Section lies entirely below the reference depth — it counts to the full-profile stock only. ",""))</f>
        <v/>
      </c>
      <c r="U300" s="14"/>
    </row>
    <row r="301" spans="1:21" ht="15.75" customHeight="1">
      <c r="A301" s="14"/>
      <c r="B301" s="14"/>
      <c r="C301" s="14"/>
      <c r="D301" s="14"/>
      <c r="E301" s="14"/>
      <c r="F301" s="14"/>
      <c r="G301" s="14" t="str">
        <f t="shared" si="32"/>
        <v/>
      </c>
      <c r="H301" s="14"/>
      <c r="I301" s="14"/>
      <c r="J301" s="24"/>
      <c r="K301" s="24"/>
      <c r="L301" s="24"/>
      <c r="M301" s="24"/>
      <c r="N301" s="16" t="str">
        <f t="shared" si="30"/>
        <v/>
      </c>
      <c r="O301" s="16" t="str">
        <f t="shared" si="33"/>
        <v/>
      </c>
      <c r="P301" s="16" t="str">
        <f t="shared" si="34"/>
        <v/>
      </c>
      <c r="Q301" s="16" t="str">
        <f t="shared" si="35"/>
        <v/>
      </c>
      <c r="R301" s="16">
        <f t="shared" si="31"/>
        <v>0</v>
      </c>
      <c r="S301" s="16" t="str">
        <f>IF(OR($B301="",NOT(ISNUMBER($F301))),"",SUMIFS(community_cores_FS!$P$5:$P$597,community_cores_FS!$B$5:$B$597,$B301,community_cores_FS!$F$5:$F$597,"&lt;="&amp;$F301))</f>
        <v/>
      </c>
      <c r="T301" s="16" t="str">
        <f>IF(AND($A301="",$B301="",$E301=""),"",IF(AND($B301&lt;&gt;"",COUNTIF('2. Core Log'!$A$5:$A$124,$B301)=0),"Core ID not in Core Log. ","")&amp;IF(AND($A301&lt;&gt;"",COUNTIF('1. Plot &amp; Site Log'!$A$5:$A$64,$A301)=0),"Plot ID not in Plot &amp; Site Log. ","")&amp;IF(AND(ISNUMBER($E301),ISNUMBER($F301),$F301&lt;=$E301),"Bottom depth is not below top depth. ","")&amp;IF($I301="","Say which bulk-density basis the lab reported. ","")&amp;IF(AND(ISNUMBER($J301),OR($J301&lt;QC_BD_MIN,$J301&gt;QC_BD_MAX)),"Bulk density outside "&amp;QC_BD_MIN&amp;"–"&amp;QC_BD_MAX&amp;" g/cm³ for peat. Above the top of that range usually means the mineral contact has been passed. ","")&amp;IF(AND(ISNUMBER($N301),$N301&gt;QC_CARBON_PCT_MAX),"Carbon above "&amp;QC_CARBON_PCT_MAX&amp;"% — check units; this may be organic matter rather than carbon. ","")&amp;IF(AND($L301&lt;&gt;"",$M301&lt;&gt;""),"Both LOI and measured carbon given — the measured value is used. ","")&amp;IF(AND($M301="",$L301&lt;&gt;"",OM_FACTOR_IS_LOCAL&lt;&gt;"Yes"),"Carbon derived from LOI using the default factor of "&amp;CARBON_FRACTION_OM&amp;", which has not been calibrated locally. See R1. Reference. ","")&amp;IF(AND(ISNUMBER($O301),$O301=0,ISNUMBER($E301)),"Section lies entirely below the reference depth — it counts to the full-profile stock only. ",""))</f>
        <v/>
      </c>
      <c r="U301" s="14"/>
    </row>
    <row r="302" spans="1:21" ht="15.75" customHeight="1">
      <c r="A302" s="14"/>
      <c r="B302" s="14"/>
      <c r="C302" s="14"/>
      <c r="D302" s="14"/>
      <c r="E302" s="14"/>
      <c r="F302" s="14"/>
      <c r="G302" s="14" t="str">
        <f t="shared" si="32"/>
        <v/>
      </c>
      <c r="H302" s="14"/>
      <c r="I302" s="14"/>
      <c r="J302" s="24"/>
      <c r="K302" s="24"/>
      <c r="L302" s="24"/>
      <c r="M302" s="24"/>
      <c r="N302" s="16" t="str">
        <f t="shared" si="30"/>
        <v/>
      </c>
      <c r="O302" s="16" t="str">
        <f t="shared" si="33"/>
        <v/>
      </c>
      <c r="P302" s="16" t="str">
        <f t="shared" si="34"/>
        <v/>
      </c>
      <c r="Q302" s="16" t="str">
        <f t="shared" si="35"/>
        <v/>
      </c>
      <c r="R302" s="16">
        <f t="shared" si="31"/>
        <v>0</v>
      </c>
      <c r="S302" s="16" t="str">
        <f>IF(OR($B302="",NOT(ISNUMBER($F302))),"",SUMIFS(community_cores_FS!$P$5:$P$597,community_cores_FS!$B$5:$B$597,$B302,community_cores_FS!$F$5:$F$597,"&lt;="&amp;$F302))</f>
        <v/>
      </c>
      <c r="T302" s="16" t="str">
        <f>IF(AND($A302="",$B302="",$E302=""),"",IF(AND($B302&lt;&gt;"",COUNTIF('2. Core Log'!$A$5:$A$124,$B302)=0),"Core ID not in Core Log. ","")&amp;IF(AND($A302&lt;&gt;"",COUNTIF('1. Plot &amp; Site Log'!$A$5:$A$64,$A302)=0),"Plot ID not in Plot &amp; Site Log. ","")&amp;IF(AND(ISNUMBER($E302),ISNUMBER($F302),$F302&lt;=$E302),"Bottom depth is not below top depth. ","")&amp;IF($I302="","Say which bulk-density basis the lab reported. ","")&amp;IF(AND(ISNUMBER($J302),OR($J302&lt;QC_BD_MIN,$J302&gt;QC_BD_MAX)),"Bulk density outside "&amp;QC_BD_MIN&amp;"–"&amp;QC_BD_MAX&amp;" g/cm³ for peat. Above the top of that range usually means the mineral contact has been passed. ","")&amp;IF(AND(ISNUMBER($N302),$N302&gt;QC_CARBON_PCT_MAX),"Carbon above "&amp;QC_CARBON_PCT_MAX&amp;"% — check units; this may be organic matter rather than carbon. ","")&amp;IF(AND($L302&lt;&gt;"",$M302&lt;&gt;""),"Both LOI and measured carbon given — the measured value is used. ","")&amp;IF(AND($M302="",$L302&lt;&gt;"",OM_FACTOR_IS_LOCAL&lt;&gt;"Yes"),"Carbon derived from LOI using the default factor of "&amp;CARBON_FRACTION_OM&amp;", which has not been calibrated locally. See R1. Reference. ","")&amp;IF(AND(ISNUMBER($O302),$O302=0,ISNUMBER($E302)),"Section lies entirely below the reference depth — it counts to the full-profile stock only. ",""))</f>
        <v/>
      </c>
      <c r="U302" s="14"/>
    </row>
    <row r="303" spans="1:21" ht="15.75" customHeight="1">
      <c r="A303" s="14"/>
      <c r="B303" s="14"/>
      <c r="C303" s="14"/>
      <c r="D303" s="14"/>
      <c r="E303" s="14"/>
      <c r="F303" s="14"/>
      <c r="G303" s="14" t="str">
        <f t="shared" si="32"/>
        <v/>
      </c>
      <c r="H303" s="14"/>
      <c r="I303" s="14"/>
      <c r="J303" s="24"/>
      <c r="K303" s="24"/>
      <c r="L303" s="24"/>
      <c r="M303" s="24"/>
      <c r="N303" s="16" t="str">
        <f t="shared" si="30"/>
        <v/>
      </c>
      <c r="O303" s="16" t="str">
        <f t="shared" si="33"/>
        <v/>
      </c>
      <c r="P303" s="16" t="str">
        <f t="shared" si="34"/>
        <v/>
      </c>
      <c r="Q303" s="16" t="str">
        <f t="shared" si="35"/>
        <v/>
      </c>
      <c r="R303" s="16">
        <f t="shared" si="31"/>
        <v>0</v>
      </c>
      <c r="S303" s="16" t="str">
        <f>IF(OR($B303="",NOT(ISNUMBER($F303))),"",SUMIFS(community_cores_FS!$P$5:$P$597,community_cores_FS!$B$5:$B$597,$B303,community_cores_FS!$F$5:$F$597,"&lt;="&amp;$F303))</f>
        <v/>
      </c>
      <c r="T303" s="16" t="str">
        <f>IF(AND($A303="",$B303="",$E303=""),"",IF(AND($B303&lt;&gt;"",COUNTIF('2. Core Log'!$A$5:$A$124,$B303)=0),"Core ID not in Core Log. ","")&amp;IF(AND($A303&lt;&gt;"",COUNTIF('1. Plot &amp; Site Log'!$A$5:$A$64,$A303)=0),"Plot ID not in Plot &amp; Site Log. ","")&amp;IF(AND(ISNUMBER($E303),ISNUMBER($F303),$F303&lt;=$E303),"Bottom depth is not below top depth. ","")&amp;IF($I303="","Say which bulk-density basis the lab reported. ","")&amp;IF(AND(ISNUMBER($J303),OR($J303&lt;QC_BD_MIN,$J303&gt;QC_BD_MAX)),"Bulk density outside "&amp;QC_BD_MIN&amp;"–"&amp;QC_BD_MAX&amp;" g/cm³ for peat. Above the top of that range usually means the mineral contact has been passed. ","")&amp;IF(AND(ISNUMBER($N303),$N303&gt;QC_CARBON_PCT_MAX),"Carbon above "&amp;QC_CARBON_PCT_MAX&amp;"% — check units; this may be organic matter rather than carbon. ","")&amp;IF(AND($L303&lt;&gt;"",$M303&lt;&gt;""),"Both LOI and measured carbon given — the measured value is used. ","")&amp;IF(AND($M303="",$L303&lt;&gt;"",OM_FACTOR_IS_LOCAL&lt;&gt;"Yes"),"Carbon derived from LOI using the default factor of "&amp;CARBON_FRACTION_OM&amp;", which has not been calibrated locally. See R1. Reference. ","")&amp;IF(AND(ISNUMBER($O303),$O303=0,ISNUMBER($E303)),"Section lies entirely below the reference depth — it counts to the full-profile stock only. ",""))</f>
        <v/>
      </c>
      <c r="U303" s="14"/>
    </row>
    <row r="304" spans="1:21" ht="15.75" customHeight="1">
      <c r="A304" s="14"/>
      <c r="B304" s="14"/>
      <c r="C304" s="14"/>
      <c r="D304" s="14"/>
      <c r="E304" s="14"/>
      <c r="F304" s="14"/>
      <c r="G304" s="14" t="str">
        <f t="shared" si="32"/>
        <v/>
      </c>
      <c r="H304" s="14"/>
      <c r="I304" s="14"/>
      <c r="J304" s="24"/>
      <c r="K304" s="24"/>
      <c r="L304" s="24"/>
      <c r="M304" s="24"/>
      <c r="N304" s="16" t="str">
        <f t="shared" si="30"/>
        <v/>
      </c>
      <c r="O304" s="16" t="str">
        <f t="shared" si="33"/>
        <v/>
      </c>
      <c r="P304" s="16" t="str">
        <f t="shared" si="34"/>
        <v/>
      </c>
      <c r="Q304" s="16" t="str">
        <f t="shared" si="35"/>
        <v/>
      </c>
      <c r="R304" s="16">
        <f t="shared" si="31"/>
        <v>0</v>
      </c>
      <c r="S304" s="16" t="str">
        <f>IF(OR($B304="",NOT(ISNUMBER($F304))),"",SUMIFS(community_cores_FS!$P$5:$P$597,community_cores_FS!$B$5:$B$597,$B304,community_cores_FS!$F$5:$F$597,"&lt;="&amp;$F304))</f>
        <v/>
      </c>
      <c r="T304" s="16" t="str">
        <f>IF(AND($A304="",$B304="",$E304=""),"",IF(AND($B304&lt;&gt;"",COUNTIF('2. Core Log'!$A$5:$A$124,$B304)=0),"Core ID not in Core Log. ","")&amp;IF(AND($A304&lt;&gt;"",COUNTIF('1. Plot &amp; Site Log'!$A$5:$A$64,$A304)=0),"Plot ID not in Plot &amp; Site Log. ","")&amp;IF(AND(ISNUMBER($E304),ISNUMBER($F304),$F304&lt;=$E304),"Bottom depth is not below top depth. ","")&amp;IF($I304="","Say which bulk-density basis the lab reported. ","")&amp;IF(AND(ISNUMBER($J304),OR($J304&lt;QC_BD_MIN,$J304&gt;QC_BD_MAX)),"Bulk density outside "&amp;QC_BD_MIN&amp;"–"&amp;QC_BD_MAX&amp;" g/cm³ for peat. Above the top of that range usually means the mineral contact has been passed. ","")&amp;IF(AND(ISNUMBER($N304),$N304&gt;QC_CARBON_PCT_MAX),"Carbon above "&amp;QC_CARBON_PCT_MAX&amp;"% — check units; this may be organic matter rather than carbon. ","")&amp;IF(AND($L304&lt;&gt;"",$M304&lt;&gt;""),"Both LOI and measured carbon given — the measured value is used. ","")&amp;IF(AND($M304="",$L304&lt;&gt;"",OM_FACTOR_IS_LOCAL&lt;&gt;"Yes"),"Carbon derived from LOI using the default factor of "&amp;CARBON_FRACTION_OM&amp;", which has not been calibrated locally. See R1. Reference. ","")&amp;IF(AND(ISNUMBER($O304),$O304=0,ISNUMBER($E304)),"Section lies entirely below the reference depth — it counts to the full-profile stock only. ",""))</f>
        <v/>
      </c>
      <c r="U304" s="14"/>
    </row>
    <row r="305" spans="1:21" ht="15.75" customHeight="1">
      <c r="A305" s="14"/>
      <c r="B305" s="14"/>
      <c r="C305" s="14"/>
      <c r="D305" s="14"/>
      <c r="E305" s="14"/>
      <c r="F305" s="14"/>
      <c r="G305" s="14" t="str">
        <f t="shared" si="32"/>
        <v/>
      </c>
      <c r="H305" s="14"/>
      <c r="I305" s="14"/>
      <c r="J305" s="24"/>
      <c r="K305" s="24"/>
      <c r="L305" s="24"/>
      <c r="M305" s="24"/>
      <c r="N305" s="16" t="str">
        <f t="shared" si="30"/>
        <v/>
      </c>
      <c r="O305" s="16" t="str">
        <f t="shared" si="33"/>
        <v/>
      </c>
      <c r="P305" s="16" t="str">
        <f t="shared" si="34"/>
        <v/>
      </c>
      <c r="Q305" s="16" t="str">
        <f t="shared" si="35"/>
        <v/>
      </c>
      <c r="R305" s="16">
        <f t="shared" si="31"/>
        <v>0</v>
      </c>
      <c r="S305" s="16" t="str">
        <f>IF(OR($B305="",NOT(ISNUMBER($F305))),"",SUMIFS(community_cores_FS!$P$5:$P$597,community_cores_FS!$B$5:$B$597,$B305,community_cores_FS!$F$5:$F$597,"&lt;="&amp;$F305))</f>
        <v/>
      </c>
      <c r="T305" s="16" t="str">
        <f>IF(AND($A305="",$B305="",$E305=""),"",IF(AND($B305&lt;&gt;"",COUNTIF('2. Core Log'!$A$5:$A$124,$B305)=0),"Core ID not in Core Log. ","")&amp;IF(AND($A305&lt;&gt;"",COUNTIF('1. Plot &amp; Site Log'!$A$5:$A$64,$A305)=0),"Plot ID not in Plot &amp; Site Log. ","")&amp;IF(AND(ISNUMBER($E305),ISNUMBER($F305),$F305&lt;=$E305),"Bottom depth is not below top depth. ","")&amp;IF($I305="","Say which bulk-density basis the lab reported. ","")&amp;IF(AND(ISNUMBER($J305),OR($J305&lt;QC_BD_MIN,$J305&gt;QC_BD_MAX)),"Bulk density outside "&amp;QC_BD_MIN&amp;"–"&amp;QC_BD_MAX&amp;" g/cm³ for peat. Above the top of that range usually means the mineral contact has been passed. ","")&amp;IF(AND(ISNUMBER($N305),$N305&gt;QC_CARBON_PCT_MAX),"Carbon above "&amp;QC_CARBON_PCT_MAX&amp;"% — check units; this may be organic matter rather than carbon. ","")&amp;IF(AND($L305&lt;&gt;"",$M305&lt;&gt;""),"Both LOI and measured carbon given — the measured value is used. ","")&amp;IF(AND($M305="",$L305&lt;&gt;"",OM_FACTOR_IS_LOCAL&lt;&gt;"Yes"),"Carbon derived from LOI using the default factor of "&amp;CARBON_FRACTION_OM&amp;", which has not been calibrated locally. See R1. Reference. ","")&amp;IF(AND(ISNUMBER($O305),$O305=0,ISNUMBER($E305)),"Section lies entirely below the reference depth — it counts to the full-profile stock only. ",""))</f>
        <v/>
      </c>
      <c r="U305" s="14"/>
    </row>
    <row r="306" spans="1:21" ht="15.75" customHeight="1">
      <c r="A306" s="14"/>
      <c r="B306" s="14"/>
      <c r="C306" s="14"/>
      <c r="D306" s="14"/>
      <c r="E306" s="14"/>
      <c r="F306" s="14"/>
      <c r="G306" s="14" t="str">
        <f t="shared" si="32"/>
        <v/>
      </c>
      <c r="H306" s="14"/>
      <c r="I306" s="14"/>
      <c r="J306" s="24"/>
      <c r="K306" s="24"/>
      <c r="L306" s="24"/>
      <c r="M306" s="24"/>
      <c r="N306" s="16" t="str">
        <f t="shared" si="30"/>
        <v/>
      </c>
      <c r="O306" s="16" t="str">
        <f t="shared" si="33"/>
        <v/>
      </c>
      <c r="P306" s="16" t="str">
        <f t="shared" si="34"/>
        <v/>
      </c>
      <c r="Q306" s="16" t="str">
        <f t="shared" si="35"/>
        <v/>
      </c>
      <c r="R306" s="16">
        <f t="shared" si="31"/>
        <v>0</v>
      </c>
      <c r="S306" s="16" t="str">
        <f>IF(OR($B306="",NOT(ISNUMBER($F306))),"",SUMIFS(community_cores_FS!$P$5:$P$597,community_cores_FS!$B$5:$B$597,$B306,community_cores_FS!$F$5:$F$597,"&lt;="&amp;$F306))</f>
        <v/>
      </c>
      <c r="T306" s="16" t="str">
        <f>IF(AND($A306="",$B306="",$E306=""),"",IF(AND($B306&lt;&gt;"",COUNTIF('2. Core Log'!$A$5:$A$124,$B306)=0),"Core ID not in Core Log. ","")&amp;IF(AND($A306&lt;&gt;"",COUNTIF('1. Plot &amp; Site Log'!$A$5:$A$64,$A306)=0),"Plot ID not in Plot &amp; Site Log. ","")&amp;IF(AND(ISNUMBER($E306),ISNUMBER($F306),$F306&lt;=$E306),"Bottom depth is not below top depth. ","")&amp;IF($I306="","Say which bulk-density basis the lab reported. ","")&amp;IF(AND(ISNUMBER($J306),OR($J306&lt;QC_BD_MIN,$J306&gt;QC_BD_MAX)),"Bulk density outside "&amp;QC_BD_MIN&amp;"–"&amp;QC_BD_MAX&amp;" g/cm³ for peat. Above the top of that range usually means the mineral contact has been passed. ","")&amp;IF(AND(ISNUMBER($N306),$N306&gt;QC_CARBON_PCT_MAX),"Carbon above "&amp;QC_CARBON_PCT_MAX&amp;"% — check units; this may be organic matter rather than carbon. ","")&amp;IF(AND($L306&lt;&gt;"",$M306&lt;&gt;""),"Both LOI and measured carbon given — the measured value is used. ","")&amp;IF(AND($M306="",$L306&lt;&gt;"",OM_FACTOR_IS_LOCAL&lt;&gt;"Yes"),"Carbon derived from LOI using the default factor of "&amp;CARBON_FRACTION_OM&amp;", which has not been calibrated locally. See R1. Reference. ","")&amp;IF(AND(ISNUMBER($O306),$O306=0,ISNUMBER($E306)),"Section lies entirely below the reference depth — it counts to the full-profile stock only. ",""))</f>
        <v/>
      </c>
      <c r="U306" s="14"/>
    </row>
    <row r="307" spans="1:21" ht="15.75" customHeight="1">
      <c r="A307" s="14"/>
      <c r="B307" s="14"/>
      <c r="C307" s="14"/>
      <c r="D307" s="14"/>
      <c r="E307" s="14"/>
      <c r="F307" s="14"/>
      <c r="G307" s="14" t="str">
        <f t="shared" si="32"/>
        <v/>
      </c>
      <c r="H307" s="14"/>
      <c r="I307" s="14"/>
      <c r="J307" s="24"/>
      <c r="K307" s="24"/>
      <c r="L307" s="24"/>
      <c r="M307" s="24"/>
      <c r="N307" s="16" t="str">
        <f t="shared" si="30"/>
        <v/>
      </c>
      <c r="O307" s="16" t="str">
        <f t="shared" si="33"/>
        <v/>
      </c>
      <c r="P307" s="16" t="str">
        <f t="shared" si="34"/>
        <v/>
      </c>
      <c r="Q307" s="16" t="str">
        <f t="shared" si="35"/>
        <v/>
      </c>
      <c r="R307" s="16">
        <f t="shared" si="31"/>
        <v>0</v>
      </c>
      <c r="S307" s="16" t="str">
        <f>IF(OR($B307="",NOT(ISNUMBER($F307))),"",SUMIFS(community_cores_FS!$P$5:$P$597,community_cores_FS!$B$5:$B$597,$B307,community_cores_FS!$F$5:$F$597,"&lt;="&amp;$F307))</f>
        <v/>
      </c>
      <c r="T307" s="16" t="str">
        <f>IF(AND($A307="",$B307="",$E307=""),"",IF(AND($B307&lt;&gt;"",COUNTIF('2. Core Log'!$A$5:$A$124,$B307)=0),"Core ID not in Core Log. ","")&amp;IF(AND($A307&lt;&gt;"",COUNTIF('1. Plot &amp; Site Log'!$A$5:$A$64,$A307)=0),"Plot ID not in Plot &amp; Site Log. ","")&amp;IF(AND(ISNUMBER($E307),ISNUMBER($F307),$F307&lt;=$E307),"Bottom depth is not below top depth. ","")&amp;IF($I307="","Say which bulk-density basis the lab reported. ","")&amp;IF(AND(ISNUMBER($J307),OR($J307&lt;QC_BD_MIN,$J307&gt;QC_BD_MAX)),"Bulk density outside "&amp;QC_BD_MIN&amp;"–"&amp;QC_BD_MAX&amp;" g/cm³ for peat. Above the top of that range usually means the mineral contact has been passed. ","")&amp;IF(AND(ISNUMBER($N307),$N307&gt;QC_CARBON_PCT_MAX),"Carbon above "&amp;QC_CARBON_PCT_MAX&amp;"% — check units; this may be organic matter rather than carbon. ","")&amp;IF(AND($L307&lt;&gt;"",$M307&lt;&gt;""),"Both LOI and measured carbon given — the measured value is used. ","")&amp;IF(AND($M307="",$L307&lt;&gt;"",OM_FACTOR_IS_LOCAL&lt;&gt;"Yes"),"Carbon derived from LOI using the default factor of "&amp;CARBON_FRACTION_OM&amp;", which has not been calibrated locally. See R1. Reference. ","")&amp;IF(AND(ISNUMBER($O307),$O307=0,ISNUMBER($E307)),"Section lies entirely below the reference depth — it counts to the full-profile stock only. ",""))</f>
        <v/>
      </c>
      <c r="U307" s="14"/>
    </row>
    <row r="308" spans="1:21" ht="15.75" customHeight="1">
      <c r="A308" s="14"/>
      <c r="B308" s="14"/>
      <c r="C308" s="14"/>
      <c r="D308" s="14"/>
      <c r="E308" s="14"/>
      <c r="F308" s="14"/>
      <c r="G308" s="14" t="str">
        <f t="shared" si="32"/>
        <v/>
      </c>
      <c r="H308" s="14"/>
      <c r="I308" s="14"/>
      <c r="J308" s="24"/>
      <c r="K308" s="24"/>
      <c r="L308" s="24"/>
      <c r="M308" s="24"/>
      <c r="N308" s="16" t="str">
        <f t="shared" si="30"/>
        <v/>
      </c>
      <c r="O308" s="16" t="str">
        <f t="shared" si="33"/>
        <v/>
      </c>
      <c r="P308" s="16" t="str">
        <f t="shared" si="34"/>
        <v/>
      </c>
      <c r="Q308" s="16" t="str">
        <f t="shared" si="35"/>
        <v/>
      </c>
      <c r="R308" s="16">
        <f t="shared" si="31"/>
        <v>0</v>
      </c>
      <c r="S308" s="16" t="str">
        <f>IF(OR($B308="",NOT(ISNUMBER($F308))),"",SUMIFS(community_cores_FS!$P$5:$P$597,community_cores_FS!$B$5:$B$597,$B308,community_cores_FS!$F$5:$F$597,"&lt;="&amp;$F308))</f>
        <v/>
      </c>
      <c r="T308" s="16" t="str">
        <f>IF(AND($A308="",$B308="",$E308=""),"",IF(AND($B308&lt;&gt;"",COUNTIF('2. Core Log'!$A$5:$A$124,$B308)=0),"Core ID not in Core Log. ","")&amp;IF(AND($A308&lt;&gt;"",COUNTIF('1. Plot &amp; Site Log'!$A$5:$A$64,$A308)=0),"Plot ID not in Plot &amp; Site Log. ","")&amp;IF(AND(ISNUMBER($E308),ISNUMBER($F308),$F308&lt;=$E308),"Bottom depth is not below top depth. ","")&amp;IF($I308="","Say which bulk-density basis the lab reported. ","")&amp;IF(AND(ISNUMBER($J308),OR($J308&lt;QC_BD_MIN,$J308&gt;QC_BD_MAX)),"Bulk density outside "&amp;QC_BD_MIN&amp;"–"&amp;QC_BD_MAX&amp;" g/cm³ for peat. Above the top of that range usually means the mineral contact has been passed. ","")&amp;IF(AND(ISNUMBER($N308),$N308&gt;QC_CARBON_PCT_MAX),"Carbon above "&amp;QC_CARBON_PCT_MAX&amp;"% — check units; this may be organic matter rather than carbon. ","")&amp;IF(AND($L308&lt;&gt;"",$M308&lt;&gt;""),"Both LOI and measured carbon given — the measured value is used. ","")&amp;IF(AND($M308="",$L308&lt;&gt;"",OM_FACTOR_IS_LOCAL&lt;&gt;"Yes"),"Carbon derived from LOI using the default factor of "&amp;CARBON_FRACTION_OM&amp;", which has not been calibrated locally. See R1. Reference. ","")&amp;IF(AND(ISNUMBER($O308),$O308=0,ISNUMBER($E308)),"Section lies entirely below the reference depth — it counts to the full-profile stock only. ",""))</f>
        <v/>
      </c>
      <c r="U308" s="14"/>
    </row>
    <row r="309" spans="1:21" ht="15.75" customHeight="1">
      <c r="A309" s="14"/>
      <c r="B309" s="14"/>
      <c r="C309" s="14"/>
      <c r="D309" s="14"/>
      <c r="E309" s="14"/>
      <c r="F309" s="14"/>
      <c r="G309" s="14" t="str">
        <f t="shared" si="32"/>
        <v/>
      </c>
      <c r="H309" s="14"/>
      <c r="I309" s="14"/>
      <c r="J309" s="24"/>
      <c r="K309" s="24"/>
      <c r="L309" s="24"/>
      <c r="M309" s="24"/>
      <c r="N309" s="16" t="str">
        <f t="shared" si="30"/>
        <v/>
      </c>
      <c r="O309" s="16" t="str">
        <f t="shared" si="33"/>
        <v/>
      </c>
      <c r="P309" s="16" t="str">
        <f t="shared" si="34"/>
        <v/>
      </c>
      <c r="Q309" s="16" t="str">
        <f t="shared" si="35"/>
        <v/>
      </c>
      <c r="R309" s="16">
        <f t="shared" si="31"/>
        <v>0</v>
      </c>
      <c r="S309" s="16" t="str">
        <f>IF(OR($B309="",NOT(ISNUMBER($F309))),"",SUMIFS(community_cores_FS!$P$5:$P$597,community_cores_FS!$B$5:$B$597,$B309,community_cores_FS!$F$5:$F$597,"&lt;="&amp;$F309))</f>
        <v/>
      </c>
      <c r="T309" s="16" t="str">
        <f>IF(AND($A309="",$B309="",$E309=""),"",IF(AND($B309&lt;&gt;"",COUNTIF('2. Core Log'!$A$5:$A$124,$B309)=0),"Core ID not in Core Log. ","")&amp;IF(AND($A309&lt;&gt;"",COUNTIF('1. Plot &amp; Site Log'!$A$5:$A$64,$A309)=0),"Plot ID not in Plot &amp; Site Log. ","")&amp;IF(AND(ISNUMBER($E309),ISNUMBER($F309),$F309&lt;=$E309),"Bottom depth is not below top depth. ","")&amp;IF($I309="","Say which bulk-density basis the lab reported. ","")&amp;IF(AND(ISNUMBER($J309),OR($J309&lt;QC_BD_MIN,$J309&gt;QC_BD_MAX)),"Bulk density outside "&amp;QC_BD_MIN&amp;"–"&amp;QC_BD_MAX&amp;" g/cm³ for peat. Above the top of that range usually means the mineral contact has been passed. ","")&amp;IF(AND(ISNUMBER($N309),$N309&gt;QC_CARBON_PCT_MAX),"Carbon above "&amp;QC_CARBON_PCT_MAX&amp;"% — check units; this may be organic matter rather than carbon. ","")&amp;IF(AND($L309&lt;&gt;"",$M309&lt;&gt;""),"Both LOI and measured carbon given — the measured value is used. ","")&amp;IF(AND($M309="",$L309&lt;&gt;"",OM_FACTOR_IS_LOCAL&lt;&gt;"Yes"),"Carbon derived from LOI using the default factor of "&amp;CARBON_FRACTION_OM&amp;", which has not been calibrated locally. See R1. Reference. ","")&amp;IF(AND(ISNUMBER($O309),$O309=0,ISNUMBER($E309)),"Section lies entirely below the reference depth — it counts to the full-profile stock only. ",""))</f>
        <v/>
      </c>
      <c r="U309" s="14"/>
    </row>
    <row r="310" spans="1:21" ht="15.75" customHeight="1">
      <c r="A310" s="14"/>
      <c r="B310" s="14"/>
      <c r="C310" s="14"/>
      <c r="D310" s="14"/>
      <c r="E310" s="14"/>
      <c r="F310" s="14"/>
      <c r="G310" s="14" t="str">
        <f t="shared" si="32"/>
        <v/>
      </c>
      <c r="H310" s="14"/>
      <c r="I310" s="14"/>
      <c r="J310" s="24"/>
      <c r="K310" s="24"/>
      <c r="L310" s="24"/>
      <c r="M310" s="24"/>
      <c r="N310" s="16" t="str">
        <f t="shared" si="30"/>
        <v/>
      </c>
      <c r="O310" s="16" t="str">
        <f t="shared" si="33"/>
        <v/>
      </c>
      <c r="P310" s="16" t="str">
        <f t="shared" si="34"/>
        <v/>
      </c>
      <c r="Q310" s="16" t="str">
        <f t="shared" si="35"/>
        <v/>
      </c>
      <c r="R310" s="16">
        <f t="shared" si="31"/>
        <v>0</v>
      </c>
      <c r="S310" s="16" t="str">
        <f>IF(OR($B310="",NOT(ISNUMBER($F310))),"",SUMIFS(community_cores_FS!$P$5:$P$597,community_cores_FS!$B$5:$B$597,$B310,community_cores_FS!$F$5:$F$597,"&lt;="&amp;$F310))</f>
        <v/>
      </c>
      <c r="T310" s="16" t="str">
        <f>IF(AND($A310="",$B310="",$E310=""),"",IF(AND($B310&lt;&gt;"",COUNTIF('2. Core Log'!$A$5:$A$124,$B310)=0),"Core ID not in Core Log. ","")&amp;IF(AND($A310&lt;&gt;"",COUNTIF('1. Plot &amp; Site Log'!$A$5:$A$64,$A310)=0),"Plot ID not in Plot &amp; Site Log. ","")&amp;IF(AND(ISNUMBER($E310),ISNUMBER($F310),$F310&lt;=$E310),"Bottom depth is not below top depth. ","")&amp;IF($I310="","Say which bulk-density basis the lab reported. ","")&amp;IF(AND(ISNUMBER($J310),OR($J310&lt;QC_BD_MIN,$J310&gt;QC_BD_MAX)),"Bulk density outside "&amp;QC_BD_MIN&amp;"–"&amp;QC_BD_MAX&amp;" g/cm³ for peat. Above the top of that range usually means the mineral contact has been passed. ","")&amp;IF(AND(ISNUMBER($N310),$N310&gt;QC_CARBON_PCT_MAX),"Carbon above "&amp;QC_CARBON_PCT_MAX&amp;"% — check units; this may be organic matter rather than carbon. ","")&amp;IF(AND($L310&lt;&gt;"",$M310&lt;&gt;""),"Both LOI and measured carbon given — the measured value is used. ","")&amp;IF(AND($M310="",$L310&lt;&gt;"",OM_FACTOR_IS_LOCAL&lt;&gt;"Yes"),"Carbon derived from LOI using the default factor of "&amp;CARBON_FRACTION_OM&amp;", which has not been calibrated locally. See R1. Reference. ","")&amp;IF(AND(ISNUMBER($O310),$O310=0,ISNUMBER($E310)),"Section lies entirely below the reference depth — it counts to the full-profile stock only. ",""))</f>
        <v/>
      </c>
      <c r="U310" s="14"/>
    </row>
    <row r="311" spans="1:21" ht="15.75" customHeight="1">
      <c r="A311" s="14"/>
      <c r="B311" s="14"/>
      <c r="C311" s="14"/>
      <c r="D311" s="14"/>
      <c r="E311" s="14"/>
      <c r="F311" s="14"/>
      <c r="G311" s="14" t="str">
        <f t="shared" si="32"/>
        <v/>
      </c>
      <c r="H311" s="14"/>
      <c r="I311" s="14"/>
      <c r="J311" s="24"/>
      <c r="K311" s="24"/>
      <c r="L311" s="24"/>
      <c r="M311" s="24"/>
      <c r="N311" s="16" t="str">
        <f t="shared" si="30"/>
        <v/>
      </c>
      <c r="O311" s="16" t="str">
        <f t="shared" si="33"/>
        <v/>
      </c>
      <c r="P311" s="16" t="str">
        <f t="shared" si="34"/>
        <v/>
      </c>
      <c r="Q311" s="16" t="str">
        <f t="shared" si="35"/>
        <v/>
      </c>
      <c r="R311" s="16">
        <f t="shared" si="31"/>
        <v>0</v>
      </c>
      <c r="S311" s="16" t="str">
        <f>IF(OR($B311="",NOT(ISNUMBER($F311))),"",SUMIFS(community_cores_FS!$P$5:$P$597,community_cores_FS!$B$5:$B$597,$B311,community_cores_FS!$F$5:$F$597,"&lt;="&amp;$F311))</f>
        <v/>
      </c>
      <c r="T311" s="16" t="str">
        <f>IF(AND($A311="",$B311="",$E311=""),"",IF(AND($B311&lt;&gt;"",COUNTIF('2. Core Log'!$A$5:$A$124,$B311)=0),"Core ID not in Core Log. ","")&amp;IF(AND($A311&lt;&gt;"",COUNTIF('1. Plot &amp; Site Log'!$A$5:$A$64,$A311)=0),"Plot ID not in Plot &amp; Site Log. ","")&amp;IF(AND(ISNUMBER($E311),ISNUMBER($F311),$F311&lt;=$E311),"Bottom depth is not below top depth. ","")&amp;IF($I311="","Say which bulk-density basis the lab reported. ","")&amp;IF(AND(ISNUMBER($J311),OR($J311&lt;QC_BD_MIN,$J311&gt;QC_BD_MAX)),"Bulk density outside "&amp;QC_BD_MIN&amp;"–"&amp;QC_BD_MAX&amp;" g/cm³ for peat. Above the top of that range usually means the mineral contact has been passed. ","")&amp;IF(AND(ISNUMBER($N311),$N311&gt;QC_CARBON_PCT_MAX),"Carbon above "&amp;QC_CARBON_PCT_MAX&amp;"% — check units; this may be organic matter rather than carbon. ","")&amp;IF(AND($L311&lt;&gt;"",$M311&lt;&gt;""),"Both LOI and measured carbon given — the measured value is used. ","")&amp;IF(AND($M311="",$L311&lt;&gt;"",OM_FACTOR_IS_LOCAL&lt;&gt;"Yes"),"Carbon derived from LOI using the default factor of "&amp;CARBON_FRACTION_OM&amp;", which has not been calibrated locally. See R1. Reference. ","")&amp;IF(AND(ISNUMBER($O311),$O311=0,ISNUMBER($E311)),"Section lies entirely below the reference depth — it counts to the full-profile stock only. ",""))</f>
        <v/>
      </c>
      <c r="U311" s="14"/>
    </row>
    <row r="312" spans="1:21" ht="15.75" customHeight="1">
      <c r="A312" s="14"/>
      <c r="B312" s="14"/>
      <c r="C312" s="14"/>
      <c r="D312" s="14"/>
      <c r="E312" s="14"/>
      <c r="F312" s="14"/>
      <c r="G312" s="14" t="str">
        <f t="shared" si="32"/>
        <v/>
      </c>
      <c r="H312" s="14"/>
      <c r="I312" s="14"/>
      <c r="J312" s="24"/>
      <c r="K312" s="24"/>
      <c r="L312" s="24"/>
      <c r="M312" s="24"/>
      <c r="N312" s="16" t="str">
        <f t="shared" si="30"/>
        <v/>
      </c>
      <c r="O312" s="16" t="str">
        <f t="shared" si="33"/>
        <v/>
      </c>
      <c r="P312" s="16" t="str">
        <f t="shared" si="34"/>
        <v/>
      </c>
      <c r="Q312" s="16" t="str">
        <f t="shared" si="35"/>
        <v/>
      </c>
      <c r="R312" s="16">
        <f t="shared" si="31"/>
        <v>0</v>
      </c>
      <c r="S312" s="16" t="str">
        <f>IF(OR($B312="",NOT(ISNUMBER($F312))),"",SUMIFS(community_cores_FS!$P$5:$P$597,community_cores_FS!$B$5:$B$597,$B312,community_cores_FS!$F$5:$F$597,"&lt;="&amp;$F312))</f>
        <v/>
      </c>
      <c r="T312" s="16" t="str">
        <f>IF(AND($A312="",$B312="",$E312=""),"",IF(AND($B312&lt;&gt;"",COUNTIF('2. Core Log'!$A$5:$A$124,$B312)=0),"Core ID not in Core Log. ","")&amp;IF(AND($A312&lt;&gt;"",COUNTIF('1. Plot &amp; Site Log'!$A$5:$A$64,$A312)=0),"Plot ID not in Plot &amp; Site Log. ","")&amp;IF(AND(ISNUMBER($E312),ISNUMBER($F312),$F312&lt;=$E312),"Bottom depth is not below top depth. ","")&amp;IF($I312="","Say which bulk-density basis the lab reported. ","")&amp;IF(AND(ISNUMBER($J312),OR($J312&lt;QC_BD_MIN,$J312&gt;QC_BD_MAX)),"Bulk density outside "&amp;QC_BD_MIN&amp;"–"&amp;QC_BD_MAX&amp;" g/cm³ for peat. Above the top of that range usually means the mineral contact has been passed. ","")&amp;IF(AND(ISNUMBER($N312),$N312&gt;QC_CARBON_PCT_MAX),"Carbon above "&amp;QC_CARBON_PCT_MAX&amp;"% — check units; this may be organic matter rather than carbon. ","")&amp;IF(AND($L312&lt;&gt;"",$M312&lt;&gt;""),"Both LOI and measured carbon given — the measured value is used. ","")&amp;IF(AND($M312="",$L312&lt;&gt;"",OM_FACTOR_IS_LOCAL&lt;&gt;"Yes"),"Carbon derived from LOI using the default factor of "&amp;CARBON_FRACTION_OM&amp;", which has not been calibrated locally. See R1. Reference. ","")&amp;IF(AND(ISNUMBER($O312),$O312=0,ISNUMBER($E312)),"Section lies entirely below the reference depth — it counts to the full-profile stock only. ",""))</f>
        <v/>
      </c>
      <c r="U312" s="14"/>
    </row>
    <row r="313" spans="1:21" ht="15.75" customHeight="1">
      <c r="A313" s="14"/>
      <c r="B313" s="14"/>
      <c r="C313" s="14"/>
      <c r="D313" s="14"/>
      <c r="E313" s="14"/>
      <c r="F313" s="14"/>
      <c r="G313" s="14" t="str">
        <f t="shared" si="32"/>
        <v/>
      </c>
      <c r="H313" s="14"/>
      <c r="I313" s="14"/>
      <c r="J313" s="24"/>
      <c r="K313" s="24"/>
      <c r="L313" s="24"/>
      <c r="M313" s="24"/>
      <c r="N313" s="16" t="str">
        <f t="shared" si="30"/>
        <v/>
      </c>
      <c r="O313" s="16" t="str">
        <f t="shared" si="33"/>
        <v/>
      </c>
      <c r="P313" s="16" t="str">
        <f t="shared" si="34"/>
        <v/>
      </c>
      <c r="Q313" s="16" t="str">
        <f t="shared" si="35"/>
        <v/>
      </c>
      <c r="R313" s="16">
        <f t="shared" si="31"/>
        <v>0</v>
      </c>
      <c r="S313" s="16" t="str">
        <f>IF(OR($B313="",NOT(ISNUMBER($F313))),"",SUMIFS(community_cores_FS!$P$5:$P$597,community_cores_FS!$B$5:$B$597,$B313,community_cores_FS!$F$5:$F$597,"&lt;="&amp;$F313))</f>
        <v/>
      </c>
      <c r="T313" s="16" t="str">
        <f>IF(AND($A313="",$B313="",$E313=""),"",IF(AND($B313&lt;&gt;"",COUNTIF('2. Core Log'!$A$5:$A$124,$B313)=0),"Core ID not in Core Log. ","")&amp;IF(AND($A313&lt;&gt;"",COUNTIF('1. Plot &amp; Site Log'!$A$5:$A$64,$A313)=0),"Plot ID not in Plot &amp; Site Log. ","")&amp;IF(AND(ISNUMBER($E313),ISNUMBER($F313),$F313&lt;=$E313),"Bottom depth is not below top depth. ","")&amp;IF($I313="","Say which bulk-density basis the lab reported. ","")&amp;IF(AND(ISNUMBER($J313),OR($J313&lt;QC_BD_MIN,$J313&gt;QC_BD_MAX)),"Bulk density outside "&amp;QC_BD_MIN&amp;"–"&amp;QC_BD_MAX&amp;" g/cm³ for peat. Above the top of that range usually means the mineral contact has been passed. ","")&amp;IF(AND(ISNUMBER($N313),$N313&gt;QC_CARBON_PCT_MAX),"Carbon above "&amp;QC_CARBON_PCT_MAX&amp;"% — check units; this may be organic matter rather than carbon. ","")&amp;IF(AND($L313&lt;&gt;"",$M313&lt;&gt;""),"Both LOI and measured carbon given — the measured value is used. ","")&amp;IF(AND($M313="",$L313&lt;&gt;"",OM_FACTOR_IS_LOCAL&lt;&gt;"Yes"),"Carbon derived from LOI using the default factor of "&amp;CARBON_FRACTION_OM&amp;", which has not been calibrated locally. See R1. Reference. ","")&amp;IF(AND(ISNUMBER($O313),$O313=0,ISNUMBER($E313)),"Section lies entirely below the reference depth — it counts to the full-profile stock only. ",""))</f>
        <v/>
      </c>
      <c r="U313" s="14"/>
    </row>
    <row r="314" spans="1:21" ht="15.75" customHeight="1">
      <c r="A314" s="14"/>
      <c r="B314" s="14"/>
      <c r="C314" s="14"/>
      <c r="D314" s="14"/>
      <c r="E314" s="14"/>
      <c r="F314" s="14"/>
      <c r="G314" s="14" t="str">
        <f t="shared" si="32"/>
        <v/>
      </c>
      <c r="H314" s="14"/>
      <c r="I314" s="14"/>
      <c r="J314" s="24"/>
      <c r="K314" s="24"/>
      <c r="L314" s="24"/>
      <c r="M314" s="24"/>
      <c r="N314" s="16" t="str">
        <f t="shared" si="30"/>
        <v/>
      </c>
      <c r="O314" s="16" t="str">
        <f t="shared" si="33"/>
        <v/>
      </c>
      <c r="P314" s="16" t="str">
        <f t="shared" si="34"/>
        <v/>
      </c>
      <c r="Q314" s="16" t="str">
        <f t="shared" si="35"/>
        <v/>
      </c>
      <c r="R314" s="16">
        <f t="shared" si="31"/>
        <v>0</v>
      </c>
      <c r="S314" s="16" t="str">
        <f>IF(OR($B314="",NOT(ISNUMBER($F314))),"",SUMIFS(community_cores_FS!$P$5:$P$597,community_cores_FS!$B$5:$B$597,$B314,community_cores_FS!$F$5:$F$597,"&lt;="&amp;$F314))</f>
        <v/>
      </c>
      <c r="T314" s="16" t="str">
        <f>IF(AND($A314="",$B314="",$E314=""),"",IF(AND($B314&lt;&gt;"",COUNTIF('2. Core Log'!$A$5:$A$124,$B314)=0),"Core ID not in Core Log. ","")&amp;IF(AND($A314&lt;&gt;"",COUNTIF('1. Plot &amp; Site Log'!$A$5:$A$64,$A314)=0),"Plot ID not in Plot &amp; Site Log. ","")&amp;IF(AND(ISNUMBER($E314),ISNUMBER($F314),$F314&lt;=$E314),"Bottom depth is not below top depth. ","")&amp;IF($I314="","Say which bulk-density basis the lab reported. ","")&amp;IF(AND(ISNUMBER($J314),OR($J314&lt;QC_BD_MIN,$J314&gt;QC_BD_MAX)),"Bulk density outside "&amp;QC_BD_MIN&amp;"–"&amp;QC_BD_MAX&amp;" g/cm³ for peat. Above the top of that range usually means the mineral contact has been passed. ","")&amp;IF(AND(ISNUMBER($N314),$N314&gt;QC_CARBON_PCT_MAX),"Carbon above "&amp;QC_CARBON_PCT_MAX&amp;"% — check units; this may be organic matter rather than carbon. ","")&amp;IF(AND($L314&lt;&gt;"",$M314&lt;&gt;""),"Both LOI and measured carbon given — the measured value is used. ","")&amp;IF(AND($M314="",$L314&lt;&gt;"",OM_FACTOR_IS_LOCAL&lt;&gt;"Yes"),"Carbon derived from LOI using the default factor of "&amp;CARBON_FRACTION_OM&amp;", which has not been calibrated locally. See R1. Reference. ","")&amp;IF(AND(ISNUMBER($O314),$O314=0,ISNUMBER($E314)),"Section lies entirely below the reference depth — it counts to the full-profile stock only. ",""))</f>
        <v/>
      </c>
      <c r="U314" s="14"/>
    </row>
    <row r="315" spans="1:21" ht="15.75" customHeight="1">
      <c r="A315" s="14"/>
      <c r="B315" s="14"/>
      <c r="C315" s="14"/>
      <c r="D315" s="14"/>
      <c r="E315" s="14"/>
      <c r="F315" s="14"/>
      <c r="G315" s="14" t="str">
        <f t="shared" si="32"/>
        <v/>
      </c>
      <c r="H315" s="14"/>
      <c r="I315" s="14"/>
      <c r="J315" s="24"/>
      <c r="K315" s="24"/>
      <c r="L315" s="24"/>
      <c r="M315" s="24"/>
      <c r="N315" s="16" t="str">
        <f t="shared" si="30"/>
        <v/>
      </c>
      <c r="O315" s="16" t="str">
        <f t="shared" si="33"/>
        <v/>
      </c>
      <c r="P315" s="16" t="str">
        <f t="shared" si="34"/>
        <v/>
      </c>
      <c r="Q315" s="16" t="str">
        <f t="shared" si="35"/>
        <v/>
      </c>
      <c r="R315" s="16">
        <f t="shared" si="31"/>
        <v>0</v>
      </c>
      <c r="S315" s="16" t="str">
        <f>IF(OR($B315="",NOT(ISNUMBER($F315))),"",SUMIFS(community_cores_FS!$P$5:$P$597,community_cores_FS!$B$5:$B$597,$B315,community_cores_FS!$F$5:$F$597,"&lt;="&amp;$F315))</f>
        <v/>
      </c>
      <c r="T315" s="16" t="str">
        <f>IF(AND($A315="",$B315="",$E315=""),"",IF(AND($B315&lt;&gt;"",COUNTIF('2. Core Log'!$A$5:$A$124,$B315)=0),"Core ID not in Core Log. ","")&amp;IF(AND($A315&lt;&gt;"",COUNTIF('1. Plot &amp; Site Log'!$A$5:$A$64,$A315)=0),"Plot ID not in Plot &amp; Site Log. ","")&amp;IF(AND(ISNUMBER($E315),ISNUMBER($F315),$F315&lt;=$E315),"Bottom depth is not below top depth. ","")&amp;IF($I315="","Say which bulk-density basis the lab reported. ","")&amp;IF(AND(ISNUMBER($J315),OR($J315&lt;QC_BD_MIN,$J315&gt;QC_BD_MAX)),"Bulk density outside "&amp;QC_BD_MIN&amp;"–"&amp;QC_BD_MAX&amp;" g/cm³ for peat. Above the top of that range usually means the mineral contact has been passed. ","")&amp;IF(AND(ISNUMBER($N315),$N315&gt;QC_CARBON_PCT_MAX),"Carbon above "&amp;QC_CARBON_PCT_MAX&amp;"% — check units; this may be organic matter rather than carbon. ","")&amp;IF(AND($L315&lt;&gt;"",$M315&lt;&gt;""),"Both LOI and measured carbon given — the measured value is used. ","")&amp;IF(AND($M315="",$L315&lt;&gt;"",OM_FACTOR_IS_LOCAL&lt;&gt;"Yes"),"Carbon derived from LOI using the default factor of "&amp;CARBON_FRACTION_OM&amp;", which has not been calibrated locally. See R1. Reference. ","")&amp;IF(AND(ISNUMBER($O315),$O315=0,ISNUMBER($E315)),"Section lies entirely below the reference depth — it counts to the full-profile stock only. ",""))</f>
        <v/>
      </c>
      <c r="U315" s="14"/>
    </row>
    <row r="316" spans="1:21" ht="15.75" customHeight="1">
      <c r="A316" s="14"/>
      <c r="B316" s="14"/>
      <c r="C316" s="14"/>
      <c r="D316" s="14"/>
      <c r="E316" s="14"/>
      <c r="F316" s="14"/>
      <c r="G316" s="14" t="str">
        <f t="shared" si="32"/>
        <v/>
      </c>
      <c r="H316" s="14"/>
      <c r="I316" s="14"/>
      <c r="J316" s="24"/>
      <c r="K316" s="24"/>
      <c r="L316" s="24"/>
      <c r="M316" s="24"/>
      <c r="N316" s="16" t="str">
        <f t="shared" si="30"/>
        <v/>
      </c>
      <c r="O316" s="16" t="str">
        <f t="shared" si="33"/>
        <v/>
      </c>
      <c r="P316" s="16" t="str">
        <f t="shared" si="34"/>
        <v/>
      </c>
      <c r="Q316" s="16" t="str">
        <f t="shared" si="35"/>
        <v/>
      </c>
      <c r="R316" s="16">
        <f t="shared" si="31"/>
        <v>0</v>
      </c>
      <c r="S316" s="16" t="str">
        <f>IF(OR($B316="",NOT(ISNUMBER($F316))),"",SUMIFS(community_cores_FS!$P$5:$P$597,community_cores_FS!$B$5:$B$597,$B316,community_cores_FS!$F$5:$F$597,"&lt;="&amp;$F316))</f>
        <v/>
      </c>
      <c r="T316" s="16" t="str">
        <f>IF(AND($A316="",$B316="",$E316=""),"",IF(AND($B316&lt;&gt;"",COUNTIF('2. Core Log'!$A$5:$A$124,$B316)=0),"Core ID not in Core Log. ","")&amp;IF(AND($A316&lt;&gt;"",COUNTIF('1. Plot &amp; Site Log'!$A$5:$A$64,$A316)=0),"Plot ID not in Plot &amp; Site Log. ","")&amp;IF(AND(ISNUMBER($E316),ISNUMBER($F316),$F316&lt;=$E316),"Bottom depth is not below top depth. ","")&amp;IF($I316="","Say which bulk-density basis the lab reported. ","")&amp;IF(AND(ISNUMBER($J316),OR($J316&lt;QC_BD_MIN,$J316&gt;QC_BD_MAX)),"Bulk density outside "&amp;QC_BD_MIN&amp;"–"&amp;QC_BD_MAX&amp;" g/cm³ for peat. Above the top of that range usually means the mineral contact has been passed. ","")&amp;IF(AND(ISNUMBER($N316),$N316&gt;QC_CARBON_PCT_MAX),"Carbon above "&amp;QC_CARBON_PCT_MAX&amp;"% — check units; this may be organic matter rather than carbon. ","")&amp;IF(AND($L316&lt;&gt;"",$M316&lt;&gt;""),"Both LOI and measured carbon given — the measured value is used. ","")&amp;IF(AND($M316="",$L316&lt;&gt;"",OM_FACTOR_IS_LOCAL&lt;&gt;"Yes"),"Carbon derived from LOI using the default factor of "&amp;CARBON_FRACTION_OM&amp;", which has not been calibrated locally. See R1. Reference. ","")&amp;IF(AND(ISNUMBER($O316),$O316=0,ISNUMBER($E316)),"Section lies entirely below the reference depth — it counts to the full-profile stock only. ",""))</f>
        <v/>
      </c>
      <c r="U316" s="14"/>
    </row>
    <row r="317" spans="1:21" ht="15.75" customHeight="1">
      <c r="A317" s="14"/>
      <c r="B317" s="14"/>
      <c r="C317" s="14"/>
      <c r="D317" s="14"/>
      <c r="E317" s="14"/>
      <c r="F317" s="14"/>
      <c r="G317" s="14" t="str">
        <f t="shared" si="32"/>
        <v/>
      </c>
      <c r="H317" s="14"/>
      <c r="I317" s="14"/>
      <c r="J317" s="24"/>
      <c r="K317" s="24"/>
      <c r="L317" s="24"/>
      <c r="M317" s="24"/>
      <c r="N317" s="16" t="str">
        <f t="shared" si="30"/>
        <v/>
      </c>
      <c r="O317" s="16" t="str">
        <f t="shared" si="33"/>
        <v/>
      </c>
      <c r="P317" s="16" t="str">
        <f t="shared" si="34"/>
        <v/>
      </c>
      <c r="Q317" s="16" t="str">
        <f t="shared" si="35"/>
        <v/>
      </c>
      <c r="R317" s="16">
        <f t="shared" si="31"/>
        <v>0</v>
      </c>
      <c r="S317" s="16" t="str">
        <f>IF(OR($B317="",NOT(ISNUMBER($F317))),"",SUMIFS(community_cores_FS!$P$5:$P$597,community_cores_FS!$B$5:$B$597,$B317,community_cores_FS!$F$5:$F$597,"&lt;="&amp;$F317))</f>
        <v/>
      </c>
      <c r="T317" s="16" t="str">
        <f>IF(AND($A317="",$B317="",$E317=""),"",IF(AND($B317&lt;&gt;"",COUNTIF('2. Core Log'!$A$5:$A$124,$B317)=0),"Core ID not in Core Log. ","")&amp;IF(AND($A317&lt;&gt;"",COUNTIF('1. Plot &amp; Site Log'!$A$5:$A$64,$A317)=0),"Plot ID not in Plot &amp; Site Log. ","")&amp;IF(AND(ISNUMBER($E317),ISNUMBER($F317),$F317&lt;=$E317),"Bottom depth is not below top depth. ","")&amp;IF($I317="","Say which bulk-density basis the lab reported. ","")&amp;IF(AND(ISNUMBER($J317),OR($J317&lt;QC_BD_MIN,$J317&gt;QC_BD_MAX)),"Bulk density outside "&amp;QC_BD_MIN&amp;"–"&amp;QC_BD_MAX&amp;" g/cm³ for peat. Above the top of that range usually means the mineral contact has been passed. ","")&amp;IF(AND(ISNUMBER($N317),$N317&gt;QC_CARBON_PCT_MAX),"Carbon above "&amp;QC_CARBON_PCT_MAX&amp;"% — check units; this may be organic matter rather than carbon. ","")&amp;IF(AND($L317&lt;&gt;"",$M317&lt;&gt;""),"Both LOI and measured carbon given — the measured value is used. ","")&amp;IF(AND($M317="",$L317&lt;&gt;"",OM_FACTOR_IS_LOCAL&lt;&gt;"Yes"),"Carbon derived from LOI using the default factor of "&amp;CARBON_FRACTION_OM&amp;", which has not been calibrated locally. See R1. Reference. ","")&amp;IF(AND(ISNUMBER($O317),$O317=0,ISNUMBER($E317)),"Section lies entirely below the reference depth — it counts to the full-profile stock only. ",""))</f>
        <v/>
      </c>
      <c r="U317" s="14"/>
    </row>
    <row r="318" spans="1:21" ht="15.75" customHeight="1">
      <c r="A318" s="14"/>
      <c r="B318" s="14"/>
      <c r="C318" s="14"/>
      <c r="D318" s="14"/>
      <c r="E318" s="14"/>
      <c r="F318" s="14"/>
      <c r="G318" s="14" t="str">
        <f t="shared" si="32"/>
        <v/>
      </c>
      <c r="H318" s="14"/>
      <c r="I318" s="14"/>
      <c r="J318" s="24"/>
      <c r="K318" s="24"/>
      <c r="L318" s="24"/>
      <c r="M318" s="24"/>
      <c r="N318" s="16" t="str">
        <f t="shared" ref="N318:N381" si="36">IF($M318&lt;&gt;"",$M318,IF($L318&lt;&gt;"",$L318*CARBON_FRACTION_OM,""))</f>
        <v/>
      </c>
      <c r="O318" s="16" t="str">
        <f t="shared" si="33"/>
        <v/>
      </c>
      <c r="P318" s="16" t="str">
        <f t="shared" si="34"/>
        <v/>
      </c>
      <c r="Q318" s="16" t="str">
        <f t="shared" si="35"/>
        <v/>
      </c>
      <c r="R318" s="16">
        <f t="shared" ref="R318:R381" si="37">IF(OR(NOT(ISNUMBER($P318)),NOT(ISNUMBER($G318)),$G318=0),0,$P318/$G318)</f>
        <v>0</v>
      </c>
      <c r="S318" s="16" t="str">
        <f>IF(OR($B318="",NOT(ISNUMBER($F318))),"",SUMIFS(community_cores_FS!$P$5:$P$597,community_cores_FS!$B$5:$B$597,$B318,community_cores_FS!$F$5:$F$597,"&lt;="&amp;$F318))</f>
        <v/>
      </c>
      <c r="T318" s="16" t="str">
        <f>IF(AND($A318="",$B318="",$E318=""),"",IF(AND($B318&lt;&gt;"",COUNTIF('2. Core Log'!$A$5:$A$124,$B318)=0),"Core ID not in Core Log. ","")&amp;IF(AND($A318&lt;&gt;"",COUNTIF('1. Plot &amp; Site Log'!$A$5:$A$64,$A318)=0),"Plot ID not in Plot &amp; Site Log. ","")&amp;IF(AND(ISNUMBER($E318),ISNUMBER($F318),$F318&lt;=$E318),"Bottom depth is not below top depth. ","")&amp;IF($I318="","Say which bulk-density basis the lab reported. ","")&amp;IF(AND(ISNUMBER($J318),OR($J318&lt;QC_BD_MIN,$J318&gt;QC_BD_MAX)),"Bulk density outside "&amp;QC_BD_MIN&amp;"–"&amp;QC_BD_MAX&amp;" g/cm³ for peat. Above the top of that range usually means the mineral contact has been passed. ","")&amp;IF(AND(ISNUMBER($N318),$N318&gt;QC_CARBON_PCT_MAX),"Carbon above "&amp;QC_CARBON_PCT_MAX&amp;"% — check units; this may be organic matter rather than carbon. ","")&amp;IF(AND($L318&lt;&gt;"",$M318&lt;&gt;""),"Both LOI and measured carbon given — the measured value is used. ","")&amp;IF(AND($M318="",$L318&lt;&gt;"",OM_FACTOR_IS_LOCAL&lt;&gt;"Yes"),"Carbon derived from LOI using the default factor of "&amp;CARBON_FRACTION_OM&amp;", which has not been calibrated locally. See R1. Reference. ","")&amp;IF(AND(ISNUMBER($O318),$O318=0,ISNUMBER($E318)),"Section lies entirely below the reference depth — it counts to the full-profile stock only. ",""))</f>
        <v/>
      </c>
      <c r="U318" s="14"/>
    </row>
    <row r="319" spans="1:21" ht="15.75" customHeight="1">
      <c r="A319" s="14"/>
      <c r="B319" s="14"/>
      <c r="C319" s="14"/>
      <c r="D319" s="14"/>
      <c r="E319" s="14"/>
      <c r="F319" s="14"/>
      <c r="G319" s="14" t="str">
        <f t="shared" si="32"/>
        <v/>
      </c>
      <c r="H319" s="14"/>
      <c r="I319" s="14"/>
      <c r="J319" s="24"/>
      <c r="K319" s="24"/>
      <c r="L319" s="24"/>
      <c r="M319" s="24"/>
      <c r="N319" s="16" t="str">
        <f t="shared" si="36"/>
        <v/>
      </c>
      <c r="O319" s="16" t="str">
        <f t="shared" si="33"/>
        <v/>
      </c>
      <c r="P319" s="16" t="str">
        <f t="shared" si="34"/>
        <v/>
      </c>
      <c r="Q319" s="16" t="str">
        <f t="shared" si="35"/>
        <v/>
      </c>
      <c r="R319" s="16">
        <f t="shared" si="37"/>
        <v>0</v>
      </c>
      <c r="S319" s="16" t="str">
        <f>IF(OR($B319="",NOT(ISNUMBER($F319))),"",SUMIFS(community_cores_FS!$P$5:$P$597,community_cores_FS!$B$5:$B$597,$B319,community_cores_FS!$F$5:$F$597,"&lt;="&amp;$F319))</f>
        <v/>
      </c>
      <c r="T319" s="16" t="str">
        <f>IF(AND($A319="",$B319="",$E319=""),"",IF(AND($B319&lt;&gt;"",COUNTIF('2. Core Log'!$A$5:$A$124,$B319)=0),"Core ID not in Core Log. ","")&amp;IF(AND($A319&lt;&gt;"",COUNTIF('1. Plot &amp; Site Log'!$A$5:$A$64,$A319)=0),"Plot ID not in Plot &amp; Site Log. ","")&amp;IF(AND(ISNUMBER($E319),ISNUMBER($F319),$F319&lt;=$E319),"Bottom depth is not below top depth. ","")&amp;IF($I319="","Say which bulk-density basis the lab reported. ","")&amp;IF(AND(ISNUMBER($J319),OR($J319&lt;QC_BD_MIN,$J319&gt;QC_BD_MAX)),"Bulk density outside "&amp;QC_BD_MIN&amp;"–"&amp;QC_BD_MAX&amp;" g/cm³ for peat. Above the top of that range usually means the mineral contact has been passed. ","")&amp;IF(AND(ISNUMBER($N319),$N319&gt;QC_CARBON_PCT_MAX),"Carbon above "&amp;QC_CARBON_PCT_MAX&amp;"% — check units; this may be organic matter rather than carbon. ","")&amp;IF(AND($L319&lt;&gt;"",$M319&lt;&gt;""),"Both LOI and measured carbon given — the measured value is used. ","")&amp;IF(AND($M319="",$L319&lt;&gt;"",OM_FACTOR_IS_LOCAL&lt;&gt;"Yes"),"Carbon derived from LOI using the default factor of "&amp;CARBON_FRACTION_OM&amp;", which has not been calibrated locally. See R1. Reference. ","")&amp;IF(AND(ISNUMBER($O319),$O319=0,ISNUMBER($E319)),"Section lies entirely below the reference depth — it counts to the full-profile stock only. ",""))</f>
        <v/>
      </c>
      <c r="U319" s="14"/>
    </row>
    <row r="320" spans="1:21" ht="15.75" customHeight="1">
      <c r="A320" s="14"/>
      <c r="B320" s="14"/>
      <c r="C320" s="14"/>
      <c r="D320" s="14"/>
      <c r="E320" s="14"/>
      <c r="F320" s="14"/>
      <c r="G320" s="14" t="str">
        <f t="shared" si="32"/>
        <v/>
      </c>
      <c r="H320" s="14"/>
      <c r="I320" s="14"/>
      <c r="J320" s="24"/>
      <c r="K320" s="24"/>
      <c r="L320" s="24"/>
      <c r="M320" s="24"/>
      <c r="N320" s="16" t="str">
        <f t="shared" si="36"/>
        <v/>
      </c>
      <c r="O320" s="16" t="str">
        <f t="shared" si="33"/>
        <v/>
      </c>
      <c r="P320" s="16" t="str">
        <f t="shared" si="34"/>
        <v/>
      </c>
      <c r="Q320" s="16" t="str">
        <f t="shared" si="35"/>
        <v/>
      </c>
      <c r="R320" s="16">
        <f t="shared" si="37"/>
        <v>0</v>
      </c>
      <c r="S320" s="16" t="str">
        <f>IF(OR($B320="",NOT(ISNUMBER($F320))),"",SUMIFS(community_cores_FS!$P$5:$P$597,community_cores_FS!$B$5:$B$597,$B320,community_cores_FS!$F$5:$F$597,"&lt;="&amp;$F320))</f>
        <v/>
      </c>
      <c r="T320" s="16" t="str">
        <f>IF(AND($A320="",$B320="",$E320=""),"",IF(AND($B320&lt;&gt;"",COUNTIF('2. Core Log'!$A$5:$A$124,$B320)=0),"Core ID not in Core Log. ","")&amp;IF(AND($A320&lt;&gt;"",COUNTIF('1. Plot &amp; Site Log'!$A$5:$A$64,$A320)=0),"Plot ID not in Plot &amp; Site Log. ","")&amp;IF(AND(ISNUMBER($E320),ISNUMBER($F320),$F320&lt;=$E320),"Bottom depth is not below top depth. ","")&amp;IF($I320="","Say which bulk-density basis the lab reported. ","")&amp;IF(AND(ISNUMBER($J320),OR($J320&lt;QC_BD_MIN,$J320&gt;QC_BD_MAX)),"Bulk density outside "&amp;QC_BD_MIN&amp;"–"&amp;QC_BD_MAX&amp;" g/cm³ for peat. Above the top of that range usually means the mineral contact has been passed. ","")&amp;IF(AND(ISNUMBER($N320),$N320&gt;QC_CARBON_PCT_MAX),"Carbon above "&amp;QC_CARBON_PCT_MAX&amp;"% — check units; this may be organic matter rather than carbon. ","")&amp;IF(AND($L320&lt;&gt;"",$M320&lt;&gt;""),"Both LOI and measured carbon given — the measured value is used. ","")&amp;IF(AND($M320="",$L320&lt;&gt;"",OM_FACTOR_IS_LOCAL&lt;&gt;"Yes"),"Carbon derived from LOI using the default factor of "&amp;CARBON_FRACTION_OM&amp;", which has not been calibrated locally. See R1. Reference. ","")&amp;IF(AND(ISNUMBER($O320),$O320=0,ISNUMBER($E320)),"Section lies entirely below the reference depth — it counts to the full-profile stock only. ",""))</f>
        <v/>
      </c>
      <c r="U320" s="14"/>
    </row>
    <row r="321" spans="1:21" ht="15.75" customHeight="1">
      <c r="A321" s="14"/>
      <c r="B321" s="14"/>
      <c r="C321" s="14"/>
      <c r="D321" s="14"/>
      <c r="E321" s="14"/>
      <c r="F321" s="14"/>
      <c r="G321" s="14" t="str">
        <f t="shared" si="32"/>
        <v/>
      </c>
      <c r="H321" s="14"/>
      <c r="I321" s="14"/>
      <c r="J321" s="24"/>
      <c r="K321" s="24"/>
      <c r="L321" s="24"/>
      <c r="M321" s="24"/>
      <c r="N321" s="16" t="str">
        <f t="shared" si="36"/>
        <v/>
      </c>
      <c r="O321" s="16" t="str">
        <f t="shared" si="33"/>
        <v/>
      </c>
      <c r="P321" s="16" t="str">
        <f t="shared" si="34"/>
        <v/>
      </c>
      <c r="Q321" s="16" t="str">
        <f t="shared" si="35"/>
        <v/>
      </c>
      <c r="R321" s="16">
        <f t="shared" si="37"/>
        <v>0</v>
      </c>
      <c r="S321" s="16" t="str">
        <f>IF(OR($B321="",NOT(ISNUMBER($F321))),"",SUMIFS(community_cores_FS!$P$5:$P$597,community_cores_FS!$B$5:$B$597,$B321,community_cores_FS!$F$5:$F$597,"&lt;="&amp;$F321))</f>
        <v/>
      </c>
      <c r="T321" s="16" t="str">
        <f>IF(AND($A321="",$B321="",$E321=""),"",IF(AND($B321&lt;&gt;"",COUNTIF('2. Core Log'!$A$5:$A$124,$B321)=0),"Core ID not in Core Log. ","")&amp;IF(AND($A321&lt;&gt;"",COUNTIF('1. Plot &amp; Site Log'!$A$5:$A$64,$A321)=0),"Plot ID not in Plot &amp; Site Log. ","")&amp;IF(AND(ISNUMBER($E321),ISNUMBER($F321),$F321&lt;=$E321),"Bottom depth is not below top depth. ","")&amp;IF($I321="","Say which bulk-density basis the lab reported. ","")&amp;IF(AND(ISNUMBER($J321),OR($J321&lt;QC_BD_MIN,$J321&gt;QC_BD_MAX)),"Bulk density outside "&amp;QC_BD_MIN&amp;"–"&amp;QC_BD_MAX&amp;" g/cm³ for peat. Above the top of that range usually means the mineral contact has been passed. ","")&amp;IF(AND(ISNUMBER($N321),$N321&gt;QC_CARBON_PCT_MAX),"Carbon above "&amp;QC_CARBON_PCT_MAX&amp;"% — check units; this may be organic matter rather than carbon. ","")&amp;IF(AND($L321&lt;&gt;"",$M321&lt;&gt;""),"Both LOI and measured carbon given — the measured value is used. ","")&amp;IF(AND($M321="",$L321&lt;&gt;"",OM_FACTOR_IS_LOCAL&lt;&gt;"Yes"),"Carbon derived from LOI using the default factor of "&amp;CARBON_FRACTION_OM&amp;", which has not been calibrated locally. See R1. Reference. ","")&amp;IF(AND(ISNUMBER($O321),$O321=0,ISNUMBER($E321)),"Section lies entirely below the reference depth — it counts to the full-profile stock only. ",""))</f>
        <v/>
      </c>
      <c r="U321" s="14"/>
    </row>
    <row r="322" spans="1:21" ht="15.75" customHeight="1">
      <c r="A322" s="14"/>
      <c r="B322" s="14"/>
      <c r="C322" s="14"/>
      <c r="D322" s="14"/>
      <c r="E322" s="14"/>
      <c r="F322" s="14"/>
      <c r="G322" s="14" t="str">
        <f t="shared" si="32"/>
        <v/>
      </c>
      <c r="H322" s="14"/>
      <c r="I322" s="14"/>
      <c r="J322" s="24"/>
      <c r="K322" s="24"/>
      <c r="L322" s="24"/>
      <c r="M322" s="24"/>
      <c r="N322" s="16" t="str">
        <f t="shared" si="36"/>
        <v/>
      </c>
      <c r="O322" s="16" t="str">
        <f t="shared" si="33"/>
        <v/>
      </c>
      <c r="P322" s="16" t="str">
        <f t="shared" si="34"/>
        <v/>
      </c>
      <c r="Q322" s="16" t="str">
        <f t="shared" si="35"/>
        <v/>
      </c>
      <c r="R322" s="16">
        <f t="shared" si="37"/>
        <v>0</v>
      </c>
      <c r="S322" s="16" t="str">
        <f>IF(OR($B322="",NOT(ISNUMBER($F322))),"",SUMIFS(community_cores_FS!$P$5:$P$597,community_cores_FS!$B$5:$B$597,$B322,community_cores_FS!$F$5:$F$597,"&lt;="&amp;$F322))</f>
        <v/>
      </c>
      <c r="T322" s="16" t="str">
        <f>IF(AND($A322="",$B322="",$E322=""),"",IF(AND($B322&lt;&gt;"",COUNTIF('2. Core Log'!$A$5:$A$124,$B322)=0),"Core ID not in Core Log. ","")&amp;IF(AND($A322&lt;&gt;"",COUNTIF('1. Plot &amp; Site Log'!$A$5:$A$64,$A322)=0),"Plot ID not in Plot &amp; Site Log. ","")&amp;IF(AND(ISNUMBER($E322),ISNUMBER($F322),$F322&lt;=$E322),"Bottom depth is not below top depth. ","")&amp;IF($I322="","Say which bulk-density basis the lab reported. ","")&amp;IF(AND(ISNUMBER($J322),OR($J322&lt;QC_BD_MIN,$J322&gt;QC_BD_MAX)),"Bulk density outside "&amp;QC_BD_MIN&amp;"–"&amp;QC_BD_MAX&amp;" g/cm³ for peat. Above the top of that range usually means the mineral contact has been passed. ","")&amp;IF(AND(ISNUMBER($N322),$N322&gt;QC_CARBON_PCT_MAX),"Carbon above "&amp;QC_CARBON_PCT_MAX&amp;"% — check units; this may be organic matter rather than carbon. ","")&amp;IF(AND($L322&lt;&gt;"",$M322&lt;&gt;""),"Both LOI and measured carbon given — the measured value is used. ","")&amp;IF(AND($M322="",$L322&lt;&gt;"",OM_FACTOR_IS_LOCAL&lt;&gt;"Yes"),"Carbon derived from LOI using the default factor of "&amp;CARBON_FRACTION_OM&amp;", which has not been calibrated locally. See R1. Reference. ","")&amp;IF(AND(ISNUMBER($O322),$O322=0,ISNUMBER($E322)),"Section lies entirely below the reference depth — it counts to the full-profile stock only. ",""))</f>
        <v/>
      </c>
      <c r="U322" s="14"/>
    </row>
    <row r="323" spans="1:21" ht="15.75" customHeight="1">
      <c r="A323" s="14"/>
      <c r="B323" s="14"/>
      <c r="C323" s="14"/>
      <c r="D323" s="14"/>
      <c r="E323" s="14"/>
      <c r="F323" s="14"/>
      <c r="G323" s="14" t="str">
        <f t="shared" si="32"/>
        <v/>
      </c>
      <c r="H323" s="14"/>
      <c r="I323" s="14"/>
      <c r="J323" s="24"/>
      <c r="K323" s="24"/>
      <c r="L323" s="24"/>
      <c r="M323" s="24"/>
      <c r="N323" s="16" t="str">
        <f t="shared" si="36"/>
        <v/>
      </c>
      <c r="O323" s="16" t="str">
        <f t="shared" si="33"/>
        <v/>
      </c>
      <c r="P323" s="16" t="str">
        <f t="shared" si="34"/>
        <v/>
      </c>
      <c r="Q323" s="16" t="str">
        <f t="shared" si="35"/>
        <v/>
      </c>
      <c r="R323" s="16">
        <f t="shared" si="37"/>
        <v>0</v>
      </c>
      <c r="S323" s="16" t="str">
        <f>IF(OR($B323="",NOT(ISNUMBER($F323))),"",SUMIFS(community_cores_FS!$P$5:$P$597,community_cores_FS!$B$5:$B$597,$B323,community_cores_FS!$F$5:$F$597,"&lt;="&amp;$F323))</f>
        <v/>
      </c>
      <c r="T323" s="16" t="str">
        <f>IF(AND($A323="",$B323="",$E323=""),"",IF(AND($B323&lt;&gt;"",COUNTIF('2. Core Log'!$A$5:$A$124,$B323)=0),"Core ID not in Core Log. ","")&amp;IF(AND($A323&lt;&gt;"",COUNTIF('1. Plot &amp; Site Log'!$A$5:$A$64,$A323)=0),"Plot ID not in Plot &amp; Site Log. ","")&amp;IF(AND(ISNUMBER($E323),ISNUMBER($F323),$F323&lt;=$E323),"Bottom depth is not below top depth. ","")&amp;IF($I323="","Say which bulk-density basis the lab reported. ","")&amp;IF(AND(ISNUMBER($J323),OR($J323&lt;QC_BD_MIN,$J323&gt;QC_BD_MAX)),"Bulk density outside "&amp;QC_BD_MIN&amp;"–"&amp;QC_BD_MAX&amp;" g/cm³ for peat. Above the top of that range usually means the mineral contact has been passed. ","")&amp;IF(AND(ISNUMBER($N323),$N323&gt;QC_CARBON_PCT_MAX),"Carbon above "&amp;QC_CARBON_PCT_MAX&amp;"% — check units; this may be organic matter rather than carbon. ","")&amp;IF(AND($L323&lt;&gt;"",$M323&lt;&gt;""),"Both LOI and measured carbon given — the measured value is used. ","")&amp;IF(AND($M323="",$L323&lt;&gt;"",OM_FACTOR_IS_LOCAL&lt;&gt;"Yes"),"Carbon derived from LOI using the default factor of "&amp;CARBON_FRACTION_OM&amp;", which has not been calibrated locally. See R1. Reference. ","")&amp;IF(AND(ISNUMBER($O323),$O323=0,ISNUMBER($E323)),"Section lies entirely below the reference depth — it counts to the full-profile stock only. ",""))</f>
        <v/>
      </c>
      <c r="U323" s="14"/>
    </row>
    <row r="324" spans="1:21" ht="15.75" customHeight="1">
      <c r="A324" s="14"/>
      <c r="B324" s="14"/>
      <c r="C324" s="14"/>
      <c r="D324" s="14"/>
      <c r="E324" s="14"/>
      <c r="F324" s="14"/>
      <c r="G324" s="14" t="str">
        <f t="shared" si="32"/>
        <v/>
      </c>
      <c r="H324" s="14"/>
      <c r="I324" s="14"/>
      <c r="J324" s="24"/>
      <c r="K324" s="24"/>
      <c r="L324" s="24"/>
      <c r="M324" s="24"/>
      <c r="N324" s="16" t="str">
        <f t="shared" si="36"/>
        <v/>
      </c>
      <c r="O324" s="16" t="str">
        <f t="shared" si="33"/>
        <v/>
      </c>
      <c r="P324" s="16" t="str">
        <f t="shared" si="34"/>
        <v/>
      </c>
      <c r="Q324" s="16" t="str">
        <f t="shared" si="35"/>
        <v/>
      </c>
      <c r="R324" s="16">
        <f t="shared" si="37"/>
        <v>0</v>
      </c>
      <c r="S324" s="16" t="str">
        <f>IF(OR($B324="",NOT(ISNUMBER($F324))),"",SUMIFS(community_cores_FS!$P$5:$P$597,community_cores_FS!$B$5:$B$597,$B324,community_cores_FS!$F$5:$F$597,"&lt;="&amp;$F324))</f>
        <v/>
      </c>
      <c r="T324" s="16" t="str">
        <f>IF(AND($A324="",$B324="",$E324=""),"",IF(AND($B324&lt;&gt;"",COUNTIF('2. Core Log'!$A$5:$A$124,$B324)=0),"Core ID not in Core Log. ","")&amp;IF(AND($A324&lt;&gt;"",COUNTIF('1. Plot &amp; Site Log'!$A$5:$A$64,$A324)=0),"Plot ID not in Plot &amp; Site Log. ","")&amp;IF(AND(ISNUMBER($E324),ISNUMBER($F324),$F324&lt;=$E324),"Bottom depth is not below top depth. ","")&amp;IF($I324="","Say which bulk-density basis the lab reported. ","")&amp;IF(AND(ISNUMBER($J324),OR($J324&lt;QC_BD_MIN,$J324&gt;QC_BD_MAX)),"Bulk density outside "&amp;QC_BD_MIN&amp;"–"&amp;QC_BD_MAX&amp;" g/cm³ for peat. Above the top of that range usually means the mineral contact has been passed. ","")&amp;IF(AND(ISNUMBER($N324),$N324&gt;QC_CARBON_PCT_MAX),"Carbon above "&amp;QC_CARBON_PCT_MAX&amp;"% — check units; this may be organic matter rather than carbon. ","")&amp;IF(AND($L324&lt;&gt;"",$M324&lt;&gt;""),"Both LOI and measured carbon given — the measured value is used. ","")&amp;IF(AND($M324="",$L324&lt;&gt;"",OM_FACTOR_IS_LOCAL&lt;&gt;"Yes"),"Carbon derived from LOI using the default factor of "&amp;CARBON_FRACTION_OM&amp;", which has not been calibrated locally. See R1. Reference. ","")&amp;IF(AND(ISNUMBER($O324),$O324=0,ISNUMBER($E324)),"Section lies entirely below the reference depth — it counts to the full-profile stock only. ",""))</f>
        <v/>
      </c>
      <c r="U324" s="14"/>
    </row>
    <row r="325" spans="1:21" ht="15.75" customHeight="1">
      <c r="A325" s="14"/>
      <c r="B325" s="14"/>
      <c r="C325" s="14"/>
      <c r="D325" s="14"/>
      <c r="E325" s="14"/>
      <c r="F325" s="14"/>
      <c r="G325" s="14" t="str">
        <f t="shared" si="32"/>
        <v/>
      </c>
      <c r="H325" s="14"/>
      <c r="I325" s="14"/>
      <c r="J325" s="24"/>
      <c r="K325" s="24"/>
      <c r="L325" s="24"/>
      <c r="M325" s="24"/>
      <c r="N325" s="16" t="str">
        <f t="shared" si="36"/>
        <v/>
      </c>
      <c r="O325" s="16" t="str">
        <f t="shared" si="33"/>
        <v/>
      </c>
      <c r="P325" s="16" t="str">
        <f t="shared" si="34"/>
        <v/>
      </c>
      <c r="Q325" s="16" t="str">
        <f t="shared" si="35"/>
        <v/>
      </c>
      <c r="R325" s="16">
        <f t="shared" si="37"/>
        <v>0</v>
      </c>
      <c r="S325" s="16" t="str">
        <f>IF(OR($B325="",NOT(ISNUMBER($F325))),"",SUMIFS(community_cores_FS!$P$5:$P$597,community_cores_FS!$B$5:$B$597,$B325,community_cores_FS!$F$5:$F$597,"&lt;="&amp;$F325))</f>
        <v/>
      </c>
      <c r="T325" s="16" t="str">
        <f>IF(AND($A325="",$B325="",$E325=""),"",IF(AND($B325&lt;&gt;"",COUNTIF('2. Core Log'!$A$5:$A$124,$B325)=0),"Core ID not in Core Log. ","")&amp;IF(AND($A325&lt;&gt;"",COUNTIF('1. Plot &amp; Site Log'!$A$5:$A$64,$A325)=0),"Plot ID not in Plot &amp; Site Log. ","")&amp;IF(AND(ISNUMBER($E325),ISNUMBER($F325),$F325&lt;=$E325),"Bottom depth is not below top depth. ","")&amp;IF($I325="","Say which bulk-density basis the lab reported. ","")&amp;IF(AND(ISNUMBER($J325),OR($J325&lt;QC_BD_MIN,$J325&gt;QC_BD_MAX)),"Bulk density outside "&amp;QC_BD_MIN&amp;"–"&amp;QC_BD_MAX&amp;" g/cm³ for peat. Above the top of that range usually means the mineral contact has been passed. ","")&amp;IF(AND(ISNUMBER($N325),$N325&gt;QC_CARBON_PCT_MAX),"Carbon above "&amp;QC_CARBON_PCT_MAX&amp;"% — check units; this may be organic matter rather than carbon. ","")&amp;IF(AND($L325&lt;&gt;"",$M325&lt;&gt;""),"Both LOI and measured carbon given — the measured value is used. ","")&amp;IF(AND($M325="",$L325&lt;&gt;"",OM_FACTOR_IS_LOCAL&lt;&gt;"Yes"),"Carbon derived from LOI using the default factor of "&amp;CARBON_FRACTION_OM&amp;", which has not been calibrated locally. See R1. Reference. ","")&amp;IF(AND(ISNUMBER($O325),$O325=0,ISNUMBER($E325)),"Section lies entirely below the reference depth — it counts to the full-profile stock only. ",""))</f>
        <v/>
      </c>
      <c r="U325" s="14"/>
    </row>
    <row r="326" spans="1:21" ht="15.75" customHeight="1">
      <c r="A326" s="14"/>
      <c r="B326" s="14"/>
      <c r="C326" s="14"/>
      <c r="D326" s="14"/>
      <c r="E326" s="14"/>
      <c r="F326" s="14"/>
      <c r="G326" s="14" t="str">
        <f t="shared" si="32"/>
        <v/>
      </c>
      <c r="H326" s="14"/>
      <c r="I326" s="14"/>
      <c r="J326" s="24"/>
      <c r="K326" s="24"/>
      <c r="L326" s="24"/>
      <c r="M326" s="24"/>
      <c r="N326" s="16" t="str">
        <f t="shared" si="36"/>
        <v/>
      </c>
      <c r="O326" s="16" t="str">
        <f t="shared" si="33"/>
        <v/>
      </c>
      <c r="P326" s="16" t="str">
        <f t="shared" si="34"/>
        <v/>
      </c>
      <c r="Q326" s="16" t="str">
        <f t="shared" si="35"/>
        <v/>
      </c>
      <c r="R326" s="16">
        <f t="shared" si="37"/>
        <v>0</v>
      </c>
      <c r="S326" s="16" t="str">
        <f>IF(OR($B326="",NOT(ISNUMBER($F326))),"",SUMIFS(community_cores_FS!$P$5:$P$597,community_cores_FS!$B$5:$B$597,$B326,community_cores_FS!$F$5:$F$597,"&lt;="&amp;$F326))</f>
        <v/>
      </c>
      <c r="T326" s="16" t="str">
        <f>IF(AND($A326="",$B326="",$E326=""),"",IF(AND($B326&lt;&gt;"",COUNTIF('2. Core Log'!$A$5:$A$124,$B326)=0),"Core ID not in Core Log. ","")&amp;IF(AND($A326&lt;&gt;"",COUNTIF('1. Plot &amp; Site Log'!$A$5:$A$64,$A326)=0),"Plot ID not in Plot &amp; Site Log. ","")&amp;IF(AND(ISNUMBER($E326),ISNUMBER($F326),$F326&lt;=$E326),"Bottom depth is not below top depth. ","")&amp;IF($I326="","Say which bulk-density basis the lab reported. ","")&amp;IF(AND(ISNUMBER($J326),OR($J326&lt;QC_BD_MIN,$J326&gt;QC_BD_MAX)),"Bulk density outside "&amp;QC_BD_MIN&amp;"–"&amp;QC_BD_MAX&amp;" g/cm³ for peat. Above the top of that range usually means the mineral contact has been passed. ","")&amp;IF(AND(ISNUMBER($N326),$N326&gt;QC_CARBON_PCT_MAX),"Carbon above "&amp;QC_CARBON_PCT_MAX&amp;"% — check units; this may be organic matter rather than carbon. ","")&amp;IF(AND($L326&lt;&gt;"",$M326&lt;&gt;""),"Both LOI and measured carbon given — the measured value is used. ","")&amp;IF(AND($M326="",$L326&lt;&gt;"",OM_FACTOR_IS_LOCAL&lt;&gt;"Yes"),"Carbon derived from LOI using the default factor of "&amp;CARBON_FRACTION_OM&amp;", which has not been calibrated locally. See R1. Reference. ","")&amp;IF(AND(ISNUMBER($O326),$O326=0,ISNUMBER($E326)),"Section lies entirely below the reference depth — it counts to the full-profile stock only. ",""))</f>
        <v/>
      </c>
      <c r="U326" s="14"/>
    </row>
    <row r="327" spans="1:21" ht="15.75" customHeight="1">
      <c r="A327" s="14"/>
      <c r="B327" s="14"/>
      <c r="C327" s="14"/>
      <c r="D327" s="14"/>
      <c r="E327" s="14"/>
      <c r="F327" s="14"/>
      <c r="G327" s="14" t="str">
        <f t="shared" si="32"/>
        <v/>
      </c>
      <c r="H327" s="14"/>
      <c r="I327" s="14"/>
      <c r="J327" s="24"/>
      <c r="K327" s="24"/>
      <c r="L327" s="24"/>
      <c r="M327" s="24"/>
      <c r="N327" s="16" t="str">
        <f t="shared" si="36"/>
        <v/>
      </c>
      <c r="O327" s="16" t="str">
        <f t="shared" si="33"/>
        <v/>
      </c>
      <c r="P327" s="16" t="str">
        <f t="shared" si="34"/>
        <v/>
      </c>
      <c r="Q327" s="16" t="str">
        <f t="shared" si="35"/>
        <v/>
      </c>
      <c r="R327" s="16">
        <f t="shared" si="37"/>
        <v>0</v>
      </c>
      <c r="S327" s="16" t="str">
        <f>IF(OR($B327="",NOT(ISNUMBER($F327))),"",SUMIFS(community_cores_FS!$P$5:$P$597,community_cores_FS!$B$5:$B$597,$B327,community_cores_FS!$F$5:$F$597,"&lt;="&amp;$F327))</f>
        <v/>
      </c>
      <c r="T327" s="16" t="str">
        <f>IF(AND($A327="",$B327="",$E327=""),"",IF(AND($B327&lt;&gt;"",COUNTIF('2. Core Log'!$A$5:$A$124,$B327)=0),"Core ID not in Core Log. ","")&amp;IF(AND($A327&lt;&gt;"",COUNTIF('1. Plot &amp; Site Log'!$A$5:$A$64,$A327)=0),"Plot ID not in Plot &amp; Site Log. ","")&amp;IF(AND(ISNUMBER($E327),ISNUMBER($F327),$F327&lt;=$E327),"Bottom depth is not below top depth. ","")&amp;IF($I327="","Say which bulk-density basis the lab reported. ","")&amp;IF(AND(ISNUMBER($J327),OR($J327&lt;QC_BD_MIN,$J327&gt;QC_BD_MAX)),"Bulk density outside "&amp;QC_BD_MIN&amp;"–"&amp;QC_BD_MAX&amp;" g/cm³ for peat. Above the top of that range usually means the mineral contact has been passed. ","")&amp;IF(AND(ISNUMBER($N327),$N327&gt;QC_CARBON_PCT_MAX),"Carbon above "&amp;QC_CARBON_PCT_MAX&amp;"% — check units; this may be organic matter rather than carbon. ","")&amp;IF(AND($L327&lt;&gt;"",$M327&lt;&gt;""),"Both LOI and measured carbon given — the measured value is used. ","")&amp;IF(AND($M327="",$L327&lt;&gt;"",OM_FACTOR_IS_LOCAL&lt;&gt;"Yes"),"Carbon derived from LOI using the default factor of "&amp;CARBON_FRACTION_OM&amp;", which has not been calibrated locally. See R1. Reference. ","")&amp;IF(AND(ISNUMBER($O327),$O327=0,ISNUMBER($E327)),"Section lies entirely below the reference depth — it counts to the full-profile stock only. ",""))</f>
        <v/>
      </c>
      <c r="U327" s="14"/>
    </row>
    <row r="328" spans="1:21" ht="15.75" customHeight="1">
      <c r="A328" s="14"/>
      <c r="B328" s="14"/>
      <c r="C328" s="14"/>
      <c r="D328" s="14"/>
      <c r="E328" s="14"/>
      <c r="F328" s="14"/>
      <c r="G328" s="14" t="str">
        <f t="shared" si="32"/>
        <v/>
      </c>
      <c r="H328" s="14"/>
      <c r="I328" s="14"/>
      <c r="J328" s="24"/>
      <c r="K328" s="24"/>
      <c r="L328" s="24"/>
      <c r="M328" s="24"/>
      <c r="N328" s="16" t="str">
        <f t="shared" si="36"/>
        <v/>
      </c>
      <c r="O328" s="16" t="str">
        <f t="shared" si="33"/>
        <v/>
      </c>
      <c r="P328" s="16" t="str">
        <f t="shared" si="34"/>
        <v/>
      </c>
      <c r="Q328" s="16" t="str">
        <f t="shared" si="35"/>
        <v/>
      </c>
      <c r="R328" s="16">
        <f t="shared" si="37"/>
        <v>0</v>
      </c>
      <c r="S328" s="16" t="str">
        <f>IF(OR($B328="",NOT(ISNUMBER($F328))),"",SUMIFS(community_cores_FS!$P$5:$P$597,community_cores_FS!$B$5:$B$597,$B328,community_cores_FS!$F$5:$F$597,"&lt;="&amp;$F328))</f>
        <v/>
      </c>
      <c r="T328" s="16" t="str">
        <f>IF(AND($A328="",$B328="",$E328=""),"",IF(AND($B328&lt;&gt;"",COUNTIF('2. Core Log'!$A$5:$A$124,$B328)=0),"Core ID not in Core Log. ","")&amp;IF(AND($A328&lt;&gt;"",COUNTIF('1. Plot &amp; Site Log'!$A$5:$A$64,$A328)=0),"Plot ID not in Plot &amp; Site Log. ","")&amp;IF(AND(ISNUMBER($E328),ISNUMBER($F328),$F328&lt;=$E328),"Bottom depth is not below top depth. ","")&amp;IF($I328="","Say which bulk-density basis the lab reported. ","")&amp;IF(AND(ISNUMBER($J328),OR($J328&lt;QC_BD_MIN,$J328&gt;QC_BD_MAX)),"Bulk density outside "&amp;QC_BD_MIN&amp;"–"&amp;QC_BD_MAX&amp;" g/cm³ for peat. Above the top of that range usually means the mineral contact has been passed. ","")&amp;IF(AND(ISNUMBER($N328),$N328&gt;QC_CARBON_PCT_MAX),"Carbon above "&amp;QC_CARBON_PCT_MAX&amp;"% — check units; this may be organic matter rather than carbon. ","")&amp;IF(AND($L328&lt;&gt;"",$M328&lt;&gt;""),"Both LOI and measured carbon given — the measured value is used. ","")&amp;IF(AND($M328="",$L328&lt;&gt;"",OM_FACTOR_IS_LOCAL&lt;&gt;"Yes"),"Carbon derived from LOI using the default factor of "&amp;CARBON_FRACTION_OM&amp;", which has not been calibrated locally. See R1. Reference. ","")&amp;IF(AND(ISNUMBER($O328),$O328=0,ISNUMBER($E328)),"Section lies entirely below the reference depth — it counts to the full-profile stock only. ",""))</f>
        <v/>
      </c>
      <c r="U328" s="14"/>
    </row>
    <row r="329" spans="1:21" ht="15.75" customHeight="1">
      <c r="A329" s="14"/>
      <c r="B329" s="14"/>
      <c r="C329" s="14"/>
      <c r="D329" s="14"/>
      <c r="E329" s="14"/>
      <c r="F329" s="14"/>
      <c r="G329" s="14" t="str">
        <f t="shared" si="32"/>
        <v/>
      </c>
      <c r="H329" s="14"/>
      <c r="I329" s="14"/>
      <c r="J329" s="24"/>
      <c r="K329" s="24"/>
      <c r="L329" s="24"/>
      <c r="M329" s="24"/>
      <c r="N329" s="16" t="str">
        <f t="shared" si="36"/>
        <v/>
      </c>
      <c r="O329" s="16" t="str">
        <f t="shared" si="33"/>
        <v/>
      </c>
      <c r="P329" s="16" t="str">
        <f t="shared" si="34"/>
        <v/>
      </c>
      <c r="Q329" s="16" t="str">
        <f t="shared" si="35"/>
        <v/>
      </c>
      <c r="R329" s="16">
        <f t="shared" si="37"/>
        <v>0</v>
      </c>
      <c r="S329" s="16" t="str">
        <f>IF(OR($B329="",NOT(ISNUMBER($F329))),"",SUMIFS(community_cores_FS!$P$5:$P$597,community_cores_FS!$B$5:$B$597,$B329,community_cores_FS!$F$5:$F$597,"&lt;="&amp;$F329))</f>
        <v/>
      </c>
      <c r="T329" s="16" t="str">
        <f>IF(AND($A329="",$B329="",$E329=""),"",IF(AND($B329&lt;&gt;"",COUNTIF('2. Core Log'!$A$5:$A$124,$B329)=0),"Core ID not in Core Log. ","")&amp;IF(AND($A329&lt;&gt;"",COUNTIF('1. Plot &amp; Site Log'!$A$5:$A$64,$A329)=0),"Plot ID not in Plot &amp; Site Log. ","")&amp;IF(AND(ISNUMBER($E329),ISNUMBER($F329),$F329&lt;=$E329),"Bottom depth is not below top depth. ","")&amp;IF($I329="","Say which bulk-density basis the lab reported. ","")&amp;IF(AND(ISNUMBER($J329),OR($J329&lt;QC_BD_MIN,$J329&gt;QC_BD_MAX)),"Bulk density outside "&amp;QC_BD_MIN&amp;"–"&amp;QC_BD_MAX&amp;" g/cm³ for peat. Above the top of that range usually means the mineral contact has been passed. ","")&amp;IF(AND(ISNUMBER($N329),$N329&gt;QC_CARBON_PCT_MAX),"Carbon above "&amp;QC_CARBON_PCT_MAX&amp;"% — check units; this may be organic matter rather than carbon. ","")&amp;IF(AND($L329&lt;&gt;"",$M329&lt;&gt;""),"Both LOI and measured carbon given — the measured value is used. ","")&amp;IF(AND($M329="",$L329&lt;&gt;"",OM_FACTOR_IS_LOCAL&lt;&gt;"Yes"),"Carbon derived from LOI using the default factor of "&amp;CARBON_FRACTION_OM&amp;", which has not been calibrated locally. See R1. Reference. ","")&amp;IF(AND(ISNUMBER($O329),$O329=0,ISNUMBER($E329)),"Section lies entirely below the reference depth — it counts to the full-profile stock only. ",""))</f>
        <v/>
      </c>
      <c r="U329" s="14"/>
    </row>
    <row r="330" spans="1:21" ht="15.75" customHeight="1">
      <c r="A330" s="14"/>
      <c r="B330" s="14"/>
      <c r="C330" s="14"/>
      <c r="D330" s="14"/>
      <c r="E330" s="14"/>
      <c r="F330" s="14"/>
      <c r="G330" s="14" t="str">
        <f t="shared" si="32"/>
        <v/>
      </c>
      <c r="H330" s="14"/>
      <c r="I330" s="14"/>
      <c r="J330" s="24"/>
      <c r="K330" s="24"/>
      <c r="L330" s="24"/>
      <c r="M330" s="24"/>
      <c r="N330" s="16" t="str">
        <f t="shared" si="36"/>
        <v/>
      </c>
      <c r="O330" s="16" t="str">
        <f t="shared" si="33"/>
        <v/>
      </c>
      <c r="P330" s="16" t="str">
        <f t="shared" si="34"/>
        <v/>
      </c>
      <c r="Q330" s="16" t="str">
        <f t="shared" si="35"/>
        <v/>
      </c>
      <c r="R330" s="16">
        <f t="shared" si="37"/>
        <v>0</v>
      </c>
      <c r="S330" s="16" t="str">
        <f>IF(OR($B330="",NOT(ISNUMBER($F330))),"",SUMIFS(community_cores_FS!$P$5:$P$597,community_cores_FS!$B$5:$B$597,$B330,community_cores_FS!$F$5:$F$597,"&lt;="&amp;$F330))</f>
        <v/>
      </c>
      <c r="T330" s="16" t="str">
        <f>IF(AND($A330="",$B330="",$E330=""),"",IF(AND($B330&lt;&gt;"",COUNTIF('2. Core Log'!$A$5:$A$124,$B330)=0),"Core ID not in Core Log. ","")&amp;IF(AND($A330&lt;&gt;"",COUNTIF('1. Plot &amp; Site Log'!$A$5:$A$64,$A330)=0),"Plot ID not in Plot &amp; Site Log. ","")&amp;IF(AND(ISNUMBER($E330),ISNUMBER($F330),$F330&lt;=$E330),"Bottom depth is not below top depth. ","")&amp;IF($I330="","Say which bulk-density basis the lab reported. ","")&amp;IF(AND(ISNUMBER($J330),OR($J330&lt;QC_BD_MIN,$J330&gt;QC_BD_MAX)),"Bulk density outside "&amp;QC_BD_MIN&amp;"–"&amp;QC_BD_MAX&amp;" g/cm³ for peat. Above the top of that range usually means the mineral contact has been passed. ","")&amp;IF(AND(ISNUMBER($N330),$N330&gt;QC_CARBON_PCT_MAX),"Carbon above "&amp;QC_CARBON_PCT_MAX&amp;"% — check units; this may be organic matter rather than carbon. ","")&amp;IF(AND($L330&lt;&gt;"",$M330&lt;&gt;""),"Both LOI and measured carbon given — the measured value is used. ","")&amp;IF(AND($M330="",$L330&lt;&gt;"",OM_FACTOR_IS_LOCAL&lt;&gt;"Yes"),"Carbon derived from LOI using the default factor of "&amp;CARBON_FRACTION_OM&amp;", which has not been calibrated locally. See R1. Reference. ","")&amp;IF(AND(ISNUMBER($O330),$O330=0,ISNUMBER($E330)),"Section lies entirely below the reference depth — it counts to the full-profile stock only. ",""))</f>
        <v/>
      </c>
      <c r="U330" s="14"/>
    </row>
    <row r="331" spans="1:21" ht="15.75" customHeight="1">
      <c r="A331" s="14"/>
      <c r="B331" s="14"/>
      <c r="C331" s="14"/>
      <c r="D331" s="14"/>
      <c r="E331" s="14"/>
      <c r="F331" s="14"/>
      <c r="G331" s="14" t="str">
        <f t="shared" si="32"/>
        <v/>
      </c>
      <c r="H331" s="14"/>
      <c r="I331" s="14"/>
      <c r="J331" s="24"/>
      <c r="K331" s="24"/>
      <c r="L331" s="24"/>
      <c r="M331" s="24"/>
      <c r="N331" s="16" t="str">
        <f t="shared" si="36"/>
        <v/>
      </c>
      <c r="O331" s="16" t="str">
        <f t="shared" si="33"/>
        <v/>
      </c>
      <c r="P331" s="16" t="str">
        <f t="shared" si="34"/>
        <v/>
      </c>
      <c r="Q331" s="16" t="str">
        <f t="shared" si="35"/>
        <v/>
      </c>
      <c r="R331" s="16">
        <f t="shared" si="37"/>
        <v>0</v>
      </c>
      <c r="S331" s="16" t="str">
        <f>IF(OR($B331="",NOT(ISNUMBER($F331))),"",SUMIFS(community_cores_FS!$P$5:$P$597,community_cores_FS!$B$5:$B$597,$B331,community_cores_FS!$F$5:$F$597,"&lt;="&amp;$F331))</f>
        <v/>
      </c>
      <c r="T331" s="16" t="str">
        <f>IF(AND($A331="",$B331="",$E331=""),"",IF(AND($B331&lt;&gt;"",COUNTIF('2. Core Log'!$A$5:$A$124,$B331)=0),"Core ID not in Core Log. ","")&amp;IF(AND($A331&lt;&gt;"",COUNTIF('1. Plot &amp; Site Log'!$A$5:$A$64,$A331)=0),"Plot ID not in Plot &amp; Site Log. ","")&amp;IF(AND(ISNUMBER($E331),ISNUMBER($F331),$F331&lt;=$E331),"Bottom depth is not below top depth. ","")&amp;IF($I331="","Say which bulk-density basis the lab reported. ","")&amp;IF(AND(ISNUMBER($J331),OR($J331&lt;QC_BD_MIN,$J331&gt;QC_BD_MAX)),"Bulk density outside "&amp;QC_BD_MIN&amp;"–"&amp;QC_BD_MAX&amp;" g/cm³ for peat. Above the top of that range usually means the mineral contact has been passed. ","")&amp;IF(AND(ISNUMBER($N331),$N331&gt;QC_CARBON_PCT_MAX),"Carbon above "&amp;QC_CARBON_PCT_MAX&amp;"% — check units; this may be organic matter rather than carbon. ","")&amp;IF(AND($L331&lt;&gt;"",$M331&lt;&gt;""),"Both LOI and measured carbon given — the measured value is used. ","")&amp;IF(AND($M331="",$L331&lt;&gt;"",OM_FACTOR_IS_LOCAL&lt;&gt;"Yes"),"Carbon derived from LOI using the default factor of "&amp;CARBON_FRACTION_OM&amp;", which has not been calibrated locally. See R1. Reference. ","")&amp;IF(AND(ISNUMBER($O331),$O331=0,ISNUMBER($E331)),"Section lies entirely below the reference depth — it counts to the full-profile stock only. ",""))</f>
        <v/>
      </c>
      <c r="U331" s="14"/>
    </row>
    <row r="332" spans="1:21" ht="15.75" customHeight="1">
      <c r="A332" s="14"/>
      <c r="B332" s="14"/>
      <c r="C332" s="14"/>
      <c r="D332" s="14"/>
      <c r="E332" s="14"/>
      <c r="F332" s="14"/>
      <c r="G332" s="14" t="str">
        <f t="shared" si="32"/>
        <v/>
      </c>
      <c r="H332" s="14"/>
      <c r="I332" s="14"/>
      <c r="J332" s="24"/>
      <c r="K332" s="24"/>
      <c r="L332" s="24"/>
      <c r="M332" s="24"/>
      <c r="N332" s="16" t="str">
        <f t="shared" si="36"/>
        <v/>
      </c>
      <c r="O332" s="16" t="str">
        <f t="shared" si="33"/>
        <v/>
      </c>
      <c r="P332" s="16" t="str">
        <f t="shared" si="34"/>
        <v/>
      </c>
      <c r="Q332" s="16" t="str">
        <f t="shared" si="35"/>
        <v/>
      </c>
      <c r="R332" s="16">
        <f t="shared" si="37"/>
        <v>0</v>
      </c>
      <c r="S332" s="16" t="str">
        <f>IF(OR($B332="",NOT(ISNUMBER($F332))),"",SUMIFS(community_cores_FS!$P$5:$P$597,community_cores_FS!$B$5:$B$597,$B332,community_cores_FS!$F$5:$F$597,"&lt;="&amp;$F332))</f>
        <v/>
      </c>
      <c r="T332" s="16" t="str">
        <f>IF(AND($A332="",$B332="",$E332=""),"",IF(AND($B332&lt;&gt;"",COUNTIF('2. Core Log'!$A$5:$A$124,$B332)=0),"Core ID not in Core Log. ","")&amp;IF(AND($A332&lt;&gt;"",COUNTIF('1. Plot &amp; Site Log'!$A$5:$A$64,$A332)=0),"Plot ID not in Plot &amp; Site Log. ","")&amp;IF(AND(ISNUMBER($E332),ISNUMBER($F332),$F332&lt;=$E332),"Bottom depth is not below top depth. ","")&amp;IF($I332="","Say which bulk-density basis the lab reported. ","")&amp;IF(AND(ISNUMBER($J332),OR($J332&lt;QC_BD_MIN,$J332&gt;QC_BD_MAX)),"Bulk density outside "&amp;QC_BD_MIN&amp;"–"&amp;QC_BD_MAX&amp;" g/cm³ for peat. Above the top of that range usually means the mineral contact has been passed. ","")&amp;IF(AND(ISNUMBER($N332),$N332&gt;QC_CARBON_PCT_MAX),"Carbon above "&amp;QC_CARBON_PCT_MAX&amp;"% — check units; this may be organic matter rather than carbon. ","")&amp;IF(AND($L332&lt;&gt;"",$M332&lt;&gt;""),"Both LOI and measured carbon given — the measured value is used. ","")&amp;IF(AND($M332="",$L332&lt;&gt;"",OM_FACTOR_IS_LOCAL&lt;&gt;"Yes"),"Carbon derived from LOI using the default factor of "&amp;CARBON_FRACTION_OM&amp;", which has not been calibrated locally. See R1. Reference. ","")&amp;IF(AND(ISNUMBER($O332),$O332=0,ISNUMBER($E332)),"Section lies entirely below the reference depth — it counts to the full-profile stock only. ",""))</f>
        <v/>
      </c>
      <c r="U332" s="14"/>
    </row>
    <row r="333" spans="1:21" ht="15.75" customHeight="1">
      <c r="A333" s="14"/>
      <c r="B333" s="14"/>
      <c r="C333" s="14"/>
      <c r="D333" s="14"/>
      <c r="E333" s="14"/>
      <c r="F333" s="14"/>
      <c r="G333" s="14" t="str">
        <f t="shared" si="32"/>
        <v/>
      </c>
      <c r="H333" s="14"/>
      <c r="I333" s="14"/>
      <c r="J333" s="24"/>
      <c r="K333" s="24"/>
      <c r="L333" s="24"/>
      <c r="M333" s="24"/>
      <c r="N333" s="16" t="str">
        <f t="shared" si="36"/>
        <v/>
      </c>
      <c r="O333" s="16" t="str">
        <f t="shared" si="33"/>
        <v/>
      </c>
      <c r="P333" s="16" t="str">
        <f t="shared" si="34"/>
        <v/>
      </c>
      <c r="Q333" s="16" t="str">
        <f t="shared" si="35"/>
        <v/>
      </c>
      <c r="R333" s="16">
        <f t="shared" si="37"/>
        <v>0</v>
      </c>
      <c r="S333" s="16" t="str">
        <f>IF(OR($B333="",NOT(ISNUMBER($F333))),"",SUMIFS(community_cores_FS!$P$5:$P$597,community_cores_FS!$B$5:$B$597,$B333,community_cores_FS!$F$5:$F$597,"&lt;="&amp;$F333))</f>
        <v/>
      </c>
      <c r="T333" s="16" t="str">
        <f>IF(AND($A333="",$B333="",$E333=""),"",IF(AND($B333&lt;&gt;"",COUNTIF('2. Core Log'!$A$5:$A$124,$B333)=0),"Core ID not in Core Log. ","")&amp;IF(AND($A333&lt;&gt;"",COUNTIF('1. Plot &amp; Site Log'!$A$5:$A$64,$A333)=0),"Plot ID not in Plot &amp; Site Log. ","")&amp;IF(AND(ISNUMBER($E333),ISNUMBER($F333),$F333&lt;=$E333),"Bottom depth is not below top depth. ","")&amp;IF($I333="","Say which bulk-density basis the lab reported. ","")&amp;IF(AND(ISNUMBER($J333),OR($J333&lt;QC_BD_MIN,$J333&gt;QC_BD_MAX)),"Bulk density outside "&amp;QC_BD_MIN&amp;"–"&amp;QC_BD_MAX&amp;" g/cm³ for peat. Above the top of that range usually means the mineral contact has been passed. ","")&amp;IF(AND(ISNUMBER($N333),$N333&gt;QC_CARBON_PCT_MAX),"Carbon above "&amp;QC_CARBON_PCT_MAX&amp;"% — check units; this may be organic matter rather than carbon. ","")&amp;IF(AND($L333&lt;&gt;"",$M333&lt;&gt;""),"Both LOI and measured carbon given — the measured value is used. ","")&amp;IF(AND($M333="",$L333&lt;&gt;"",OM_FACTOR_IS_LOCAL&lt;&gt;"Yes"),"Carbon derived from LOI using the default factor of "&amp;CARBON_FRACTION_OM&amp;", which has not been calibrated locally. See R1. Reference. ","")&amp;IF(AND(ISNUMBER($O333),$O333=0,ISNUMBER($E333)),"Section lies entirely below the reference depth — it counts to the full-profile stock only. ",""))</f>
        <v/>
      </c>
      <c r="U333" s="14"/>
    </row>
    <row r="334" spans="1:21" ht="15.75" customHeight="1">
      <c r="A334" s="14"/>
      <c r="B334" s="14"/>
      <c r="C334" s="14"/>
      <c r="D334" s="14"/>
      <c r="E334" s="14"/>
      <c r="F334" s="14"/>
      <c r="G334" s="14" t="str">
        <f t="shared" si="32"/>
        <v/>
      </c>
      <c r="H334" s="14"/>
      <c r="I334" s="14"/>
      <c r="J334" s="24"/>
      <c r="K334" s="24"/>
      <c r="L334" s="24"/>
      <c r="M334" s="24"/>
      <c r="N334" s="16" t="str">
        <f t="shared" si="36"/>
        <v/>
      </c>
      <c r="O334" s="16" t="str">
        <f t="shared" si="33"/>
        <v/>
      </c>
      <c r="P334" s="16" t="str">
        <f t="shared" si="34"/>
        <v/>
      </c>
      <c r="Q334" s="16" t="str">
        <f t="shared" si="35"/>
        <v/>
      </c>
      <c r="R334" s="16">
        <f t="shared" si="37"/>
        <v>0</v>
      </c>
      <c r="S334" s="16" t="str">
        <f>IF(OR($B334="",NOT(ISNUMBER($F334))),"",SUMIFS(community_cores_FS!$P$5:$P$597,community_cores_FS!$B$5:$B$597,$B334,community_cores_FS!$F$5:$F$597,"&lt;="&amp;$F334))</f>
        <v/>
      </c>
      <c r="T334" s="16" t="str">
        <f>IF(AND($A334="",$B334="",$E334=""),"",IF(AND($B334&lt;&gt;"",COUNTIF('2. Core Log'!$A$5:$A$124,$B334)=0),"Core ID not in Core Log. ","")&amp;IF(AND($A334&lt;&gt;"",COUNTIF('1. Plot &amp; Site Log'!$A$5:$A$64,$A334)=0),"Plot ID not in Plot &amp; Site Log. ","")&amp;IF(AND(ISNUMBER($E334),ISNUMBER($F334),$F334&lt;=$E334),"Bottom depth is not below top depth. ","")&amp;IF($I334="","Say which bulk-density basis the lab reported. ","")&amp;IF(AND(ISNUMBER($J334),OR($J334&lt;QC_BD_MIN,$J334&gt;QC_BD_MAX)),"Bulk density outside "&amp;QC_BD_MIN&amp;"–"&amp;QC_BD_MAX&amp;" g/cm³ for peat. Above the top of that range usually means the mineral contact has been passed. ","")&amp;IF(AND(ISNUMBER($N334),$N334&gt;QC_CARBON_PCT_MAX),"Carbon above "&amp;QC_CARBON_PCT_MAX&amp;"% — check units; this may be organic matter rather than carbon. ","")&amp;IF(AND($L334&lt;&gt;"",$M334&lt;&gt;""),"Both LOI and measured carbon given — the measured value is used. ","")&amp;IF(AND($M334="",$L334&lt;&gt;"",OM_FACTOR_IS_LOCAL&lt;&gt;"Yes"),"Carbon derived from LOI using the default factor of "&amp;CARBON_FRACTION_OM&amp;", which has not been calibrated locally. See R1. Reference. ","")&amp;IF(AND(ISNUMBER($O334),$O334=0,ISNUMBER($E334)),"Section lies entirely below the reference depth — it counts to the full-profile stock only. ",""))</f>
        <v/>
      </c>
      <c r="U334" s="14"/>
    </row>
    <row r="335" spans="1:21" ht="15.75" customHeight="1">
      <c r="A335" s="14"/>
      <c r="B335" s="14"/>
      <c r="C335" s="14"/>
      <c r="D335" s="14"/>
      <c r="E335" s="14"/>
      <c r="F335" s="14"/>
      <c r="G335" s="14" t="str">
        <f t="shared" si="32"/>
        <v/>
      </c>
      <c r="H335" s="14"/>
      <c r="I335" s="14"/>
      <c r="J335" s="24"/>
      <c r="K335" s="24"/>
      <c r="L335" s="24"/>
      <c r="M335" s="24"/>
      <c r="N335" s="16" t="str">
        <f t="shared" si="36"/>
        <v/>
      </c>
      <c r="O335" s="16" t="str">
        <f t="shared" si="33"/>
        <v/>
      </c>
      <c r="P335" s="16" t="str">
        <f t="shared" si="34"/>
        <v/>
      </c>
      <c r="Q335" s="16" t="str">
        <f t="shared" si="35"/>
        <v/>
      </c>
      <c r="R335" s="16">
        <f t="shared" si="37"/>
        <v>0</v>
      </c>
      <c r="S335" s="16" t="str">
        <f>IF(OR($B335="",NOT(ISNUMBER($F335))),"",SUMIFS(community_cores_FS!$P$5:$P$597,community_cores_FS!$B$5:$B$597,$B335,community_cores_FS!$F$5:$F$597,"&lt;="&amp;$F335))</f>
        <v/>
      </c>
      <c r="T335" s="16" t="str">
        <f>IF(AND($A335="",$B335="",$E335=""),"",IF(AND($B335&lt;&gt;"",COUNTIF('2. Core Log'!$A$5:$A$124,$B335)=0),"Core ID not in Core Log. ","")&amp;IF(AND($A335&lt;&gt;"",COUNTIF('1. Plot &amp; Site Log'!$A$5:$A$64,$A335)=0),"Plot ID not in Plot &amp; Site Log. ","")&amp;IF(AND(ISNUMBER($E335),ISNUMBER($F335),$F335&lt;=$E335),"Bottom depth is not below top depth. ","")&amp;IF($I335="","Say which bulk-density basis the lab reported. ","")&amp;IF(AND(ISNUMBER($J335),OR($J335&lt;QC_BD_MIN,$J335&gt;QC_BD_MAX)),"Bulk density outside "&amp;QC_BD_MIN&amp;"–"&amp;QC_BD_MAX&amp;" g/cm³ for peat. Above the top of that range usually means the mineral contact has been passed. ","")&amp;IF(AND(ISNUMBER($N335),$N335&gt;QC_CARBON_PCT_MAX),"Carbon above "&amp;QC_CARBON_PCT_MAX&amp;"% — check units; this may be organic matter rather than carbon. ","")&amp;IF(AND($L335&lt;&gt;"",$M335&lt;&gt;""),"Both LOI and measured carbon given — the measured value is used. ","")&amp;IF(AND($M335="",$L335&lt;&gt;"",OM_FACTOR_IS_LOCAL&lt;&gt;"Yes"),"Carbon derived from LOI using the default factor of "&amp;CARBON_FRACTION_OM&amp;", which has not been calibrated locally. See R1. Reference. ","")&amp;IF(AND(ISNUMBER($O335),$O335=0,ISNUMBER($E335)),"Section lies entirely below the reference depth — it counts to the full-profile stock only. ",""))</f>
        <v/>
      </c>
      <c r="U335" s="14"/>
    </row>
    <row r="336" spans="1:21" ht="15.75" customHeight="1">
      <c r="A336" s="14"/>
      <c r="B336" s="14"/>
      <c r="C336" s="14"/>
      <c r="D336" s="14"/>
      <c r="E336" s="14"/>
      <c r="F336" s="14"/>
      <c r="G336" s="14" t="str">
        <f t="shared" si="32"/>
        <v/>
      </c>
      <c r="H336" s="14"/>
      <c r="I336" s="14"/>
      <c r="J336" s="24"/>
      <c r="K336" s="24"/>
      <c r="L336" s="24"/>
      <c r="M336" s="24"/>
      <c r="N336" s="16" t="str">
        <f t="shared" si="36"/>
        <v/>
      </c>
      <c r="O336" s="16" t="str">
        <f t="shared" si="33"/>
        <v/>
      </c>
      <c r="P336" s="16" t="str">
        <f t="shared" si="34"/>
        <v/>
      </c>
      <c r="Q336" s="16" t="str">
        <f t="shared" si="35"/>
        <v/>
      </c>
      <c r="R336" s="16">
        <f t="shared" si="37"/>
        <v>0</v>
      </c>
      <c r="S336" s="16" t="str">
        <f>IF(OR($B336="",NOT(ISNUMBER($F336))),"",SUMIFS(community_cores_FS!$P$5:$P$597,community_cores_FS!$B$5:$B$597,$B336,community_cores_FS!$F$5:$F$597,"&lt;="&amp;$F336))</f>
        <v/>
      </c>
      <c r="T336" s="16" t="str">
        <f>IF(AND($A336="",$B336="",$E336=""),"",IF(AND($B336&lt;&gt;"",COUNTIF('2. Core Log'!$A$5:$A$124,$B336)=0),"Core ID not in Core Log. ","")&amp;IF(AND($A336&lt;&gt;"",COUNTIF('1. Plot &amp; Site Log'!$A$5:$A$64,$A336)=0),"Plot ID not in Plot &amp; Site Log. ","")&amp;IF(AND(ISNUMBER($E336),ISNUMBER($F336),$F336&lt;=$E336),"Bottom depth is not below top depth. ","")&amp;IF($I336="","Say which bulk-density basis the lab reported. ","")&amp;IF(AND(ISNUMBER($J336),OR($J336&lt;QC_BD_MIN,$J336&gt;QC_BD_MAX)),"Bulk density outside "&amp;QC_BD_MIN&amp;"–"&amp;QC_BD_MAX&amp;" g/cm³ for peat. Above the top of that range usually means the mineral contact has been passed. ","")&amp;IF(AND(ISNUMBER($N336),$N336&gt;QC_CARBON_PCT_MAX),"Carbon above "&amp;QC_CARBON_PCT_MAX&amp;"% — check units; this may be organic matter rather than carbon. ","")&amp;IF(AND($L336&lt;&gt;"",$M336&lt;&gt;""),"Both LOI and measured carbon given — the measured value is used. ","")&amp;IF(AND($M336="",$L336&lt;&gt;"",OM_FACTOR_IS_LOCAL&lt;&gt;"Yes"),"Carbon derived from LOI using the default factor of "&amp;CARBON_FRACTION_OM&amp;", which has not been calibrated locally. See R1. Reference. ","")&amp;IF(AND(ISNUMBER($O336),$O336=0,ISNUMBER($E336)),"Section lies entirely below the reference depth — it counts to the full-profile stock only. ",""))</f>
        <v/>
      </c>
      <c r="U336" s="14"/>
    </row>
    <row r="337" spans="1:21" ht="15.75" customHeight="1">
      <c r="A337" s="14"/>
      <c r="B337" s="14"/>
      <c r="C337" s="14"/>
      <c r="D337" s="14"/>
      <c r="E337" s="14"/>
      <c r="F337" s="14"/>
      <c r="G337" s="14" t="str">
        <f t="shared" si="32"/>
        <v/>
      </c>
      <c r="H337" s="14"/>
      <c r="I337" s="14"/>
      <c r="J337" s="24"/>
      <c r="K337" s="24"/>
      <c r="L337" s="24"/>
      <c r="M337" s="24"/>
      <c r="N337" s="16" t="str">
        <f t="shared" si="36"/>
        <v/>
      </c>
      <c r="O337" s="16" t="str">
        <f t="shared" si="33"/>
        <v/>
      </c>
      <c r="P337" s="16" t="str">
        <f t="shared" si="34"/>
        <v/>
      </c>
      <c r="Q337" s="16" t="str">
        <f t="shared" si="35"/>
        <v/>
      </c>
      <c r="R337" s="16">
        <f t="shared" si="37"/>
        <v>0</v>
      </c>
      <c r="S337" s="16" t="str">
        <f>IF(OR($B337="",NOT(ISNUMBER($F337))),"",SUMIFS(community_cores_FS!$P$5:$P$597,community_cores_FS!$B$5:$B$597,$B337,community_cores_FS!$F$5:$F$597,"&lt;="&amp;$F337))</f>
        <v/>
      </c>
      <c r="T337" s="16" t="str">
        <f>IF(AND($A337="",$B337="",$E337=""),"",IF(AND($B337&lt;&gt;"",COUNTIF('2. Core Log'!$A$5:$A$124,$B337)=0),"Core ID not in Core Log. ","")&amp;IF(AND($A337&lt;&gt;"",COUNTIF('1. Plot &amp; Site Log'!$A$5:$A$64,$A337)=0),"Plot ID not in Plot &amp; Site Log. ","")&amp;IF(AND(ISNUMBER($E337),ISNUMBER($F337),$F337&lt;=$E337),"Bottom depth is not below top depth. ","")&amp;IF($I337="","Say which bulk-density basis the lab reported. ","")&amp;IF(AND(ISNUMBER($J337),OR($J337&lt;QC_BD_MIN,$J337&gt;QC_BD_MAX)),"Bulk density outside "&amp;QC_BD_MIN&amp;"–"&amp;QC_BD_MAX&amp;" g/cm³ for peat. Above the top of that range usually means the mineral contact has been passed. ","")&amp;IF(AND(ISNUMBER($N337),$N337&gt;QC_CARBON_PCT_MAX),"Carbon above "&amp;QC_CARBON_PCT_MAX&amp;"% — check units; this may be organic matter rather than carbon. ","")&amp;IF(AND($L337&lt;&gt;"",$M337&lt;&gt;""),"Both LOI and measured carbon given — the measured value is used. ","")&amp;IF(AND($M337="",$L337&lt;&gt;"",OM_FACTOR_IS_LOCAL&lt;&gt;"Yes"),"Carbon derived from LOI using the default factor of "&amp;CARBON_FRACTION_OM&amp;", which has not been calibrated locally. See R1. Reference. ","")&amp;IF(AND(ISNUMBER($O337),$O337=0,ISNUMBER($E337)),"Section lies entirely below the reference depth — it counts to the full-profile stock only. ",""))</f>
        <v/>
      </c>
      <c r="U337" s="14"/>
    </row>
    <row r="338" spans="1:21" ht="15.75" customHeight="1">
      <c r="A338" s="14"/>
      <c r="B338" s="14"/>
      <c r="C338" s="14"/>
      <c r="D338" s="14"/>
      <c r="E338" s="14"/>
      <c r="F338" s="14"/>
      <c r="G338" s="14" t="str">
        <f t="shared" si="32"/>
        <v/>
      </c>
      <c r="H338" s="14"/>
      <c r="I338" s="14"/>
      <c r="J338" s="24"/>
      <c r="K338" s="24"/>
      <c r="L338" s="24"/>
      <c r="M338" s="24"/>
      <c r="N338" s="16" t="str">
        <f t="shared" si="36"/>
        <v/>
      </c>
      <c r="O338" s="16" t="str">
        <f t="shared" si="33"/>
        <v/>
      </c>
      <c r="P338" s="16" t="str">
        <f t="shared" si="34"/>
        <v/>
      </c>
      <c r="Q338" s="16" t="str">
        <f t="shared" si="35"/>
        <v/>
      </c>
      <c r="R338" s="16">
        <f t="shared" si="37"/>
        <v>0</v>
      </c>
      <c r="S338" s="16" t="str">
        <f>IF(OR($B338="",NOT(ISNUMBER($F338))),"",SUMIFS(community_cores_FS!$P$5:$P$597,community_cores_FS!$B$5:$B$597,$B338,community_cores_FS!$F$5:$F$597,"&lt;="&amp;$F338))</f>
        <v/>
      </c>
      <c r="T338" s="16" t="str">
        <f>IF(AND($A338="",$B338="",$E338=""),"",IF(AND($B338&lt;&gt;"",COUNTIF('2. Core Log'!$A$5:$A$124,$B338)=0),"Core ID not in Core Log. ","")&amp;IF(AND($A338&lt;&gt;"",COUNTIF('1. Plot &amp; Site Log'!$A$5:$A$64,$A338)=0),"Plot ID not in Plot &amp; Site Log. ","")&amp;IF(AND(ISNUMBER($E338),ISNUMBER($F338),$F338&lt;=$E338),"Bottom depth is not below top depth. ","")&amp;IF($I338="","Say which bulk-density basis the lab reported. ","")&amp;IF(AND(ISNUMBER($J338),OR($J338&lt;QC_BD_MIN,$J338&gt;QC_BD_MAX)),"Bulk density outside "&amp;QC_BD_MIN&amp;"–"&amp;QC_BD_MAX&amp;" g/cm³ for peat. Above the top of that range usually means the mineral contact has been passed. ","")&amp;IF(AND(ISNUMBER($N338),$N338&gt;QC_CARBON_PCT_MAX),"Carbon above "&amp;QC_CARBON_PCT_MAX&amp;"% — check units; this may be organic matter rather than carbon. ","")&amp;IF(AND($L338&lt;&gt;"",$M338&lt;&gt;""),"Both LOI and measured carbon given — the measured value is used. ","")&amp;IF(AND($M338="",$L338&lt;&gt;"",OM_FACTOR_IS_LOCAL&lt;&gt;"Yes"),"Carbon derived from LOI using the default factor of "&amp;CARBON_FRACTION_OM&amp;", which has not been calibrated locally. See R1. Reference. ","")&amp;IF(AND(ISNUMBER($O338),$O338=0,ISNUMBER($E338)),"Section lies entirely below the reference depth — it counts to the full-profile stock only. ",""))</f>
        <v/>
      </c>
      <c r="U338" s="14"/>
    </row>
    <row r="339" spans="1:21" ht="15.75" customHeight="1">
      <c r="A339" s="14"/>
      <c r="B339" s="14"/>
      <c r="C339" s="14"/>
      <c r="D339" s="14"/>
      <c r="E339" s="14"/>
      <c r="F339" s="14"/>
      <c r="G339" s="14" t="str">
        <f t="shared" si="32"/>
        <v/>
      </c>
      <c r="H339" s="14"/>
      <c r="I339" s="14"/>
      <c r="J339" s="24"/>
      <c r="K339" s="24"/>
      <c r="L339" s="24"/>
      <c r="M339" s="24"/>
      <c r="N339" s="16" t="str">
        <f t="shared" si="36"/>
        <v/>
      </c>
      <c r="O339" s="16" t="str">
        <f t="shared" si="33"/>
        <v/>
      </c>
      <c r="P339" s="16" t="str">
        <f t="shared" si="34"/>
        <v/>
      </c>
      <c r="Q339" s="16" t="str">
        <f t="shared" si="35"/>
        <v/>
      </c>
      <c r="R339" s="16">
        <f t="shared" si="37"/>
        <v>0</v>
      </c>
      <c r="S339" s="16" t="str">
        <f>IF(OR($B339="",NOT(ISNUMBER($F339))),"",SUMIFS(community_cores_FS!$P$5:$P$597,community_cores_FS!$B$5:$B$597,$B339,community_cores_FS!$F$5:$F$597,"&lt;="&amp;$F339))</f>
        <v/>
      </c>
      <c r="T339" s="16" t="str">
        <f>IF(AND($A339="",$B339="",$E339=""),"",IF(AND($B339&lt;&gt;"",COUNTIF('2. Core Log'!$A$5:$A$124,$B339)=0),"Core ID not in Core Log. ","")&amp;IF(AND($A339&lt;&gt;"",COUNTIF('1. Plot &amp; Site Log'!$A$5:$A$64,$A339)=0),"Plot ID not in Plot &amp; Site Log. ","")&amp;IF(AND(ISNUMBER($E339),ISNUMBER($F339),$F339&lt;=$E339),"Bottom depth is not below top depth. ","")&amp;IF($I339="","Say which bulk-density basis the lab reported. ","")&amp;IF(AND(ISNUMBER($J339),OR($J339&lt;QC_BD_MIN,$J339&gt;QC_BD_MAX)),"Bulk density outside "&amp;QC_BD_MIN&amp;"–"&amp;QC_BD_MAX&amp;" g/cm³ for peat. Above the top of that range usually means the mineral contact has been passed. ","")&amp;IF(AND(ISNUMBER($N339),$N339&gt;QC_CARBON_PCT_MAX),"Carbon above "&amp;QC_CARBON_PCT_MAX&amp;"% — check units; this may be organic matter rather than carbon. ","")&amp;IF(AND($L339&lt;&gt;"",$M339&lt;&gt;""),"Both LOI and measured carbon given — the measured value is used. ","")&amp;IF(AND($M339="",$L339&lt;&gt;"",OM_FACTOR_IS_LOCAL&lt;&gt;"Yes"),"Carbon derived from LOI using the default factor of "&amp;CARBON_FRACTION_OM&amp;", which has not been calibrated locally. See R1. Reference. ","")&amp;IF(AND(ISNUMBER($O339),$O339=0,ISNUMBER($E339)),"Section lies entirely below the reference depth — it counts to the full-profile stock only. ",""))</f>
        <v/>
      </c>
      <c r="U339" s="14"/>
    </row>
    <row r="340" spans="1:21" ht="15.75" customHeight="1">
      <c r="A340" s="14"/>
      <c r="B340" s="14"/>
      <c r="C340" s="14"/>
      <c r="D340" s="14"/>
      <c r="E340" s="14"/>
      <c r="F340" s="14"/>
      <c r="G340" s="14" t="str">
        <f t="shared" si="32"/>
        <v/>
      </c>
      <c r="H340" s="14"/>
      <c r="I340" s="14"/>
      <c r="J340" s="24"/>
      <c r="K340" s="24"/>
      <c r="L340" s="24"/>
      <c r="M340" s="24"/>
      <c r="N340" s="16" t="str">
        <f t="shared" si="36"/>
        <v/>
      </c>
      <c r="O340" s="16" t="str">
        <f t="shared" si="33"/>
        <v/>
      </c>
      <c r="P340" s="16" t="str">
        <f t="shared" si="34"/>
        <v/>
      </c>
      <c r="Q340" s="16" t="str">
        <f t="shared" si="35"/>
        <v/>
      </c>
      <c r="R340" s="16">
        <f t="shared" si="37"/>
        <v>0</v>
      </c>
      <c r="S340" s="16" t="str">
        <f>IF(OR($B340="",NOT(ISNUMBER($F340))),"",SUMIFS(community_cores_FS!$P$5:$P$597,community_cores_FS!$B$5:$B$597,$B340,community_cores_FS!$F$5:$F$597,"&lt;="&amp;$F340))</f>
        <v/>
      </c>
      <c r="T340" s="16" t="str">
        <f>IF(AND($A340="",$B340="",$E340=""),"",IF(AND($B340&lt;&gt;"",COUNTIF('2. Core Log'!$A$5:$A$124,$B340)=0),"Core ID not in Core Log. ","")&amp;IF(AND($A340&lt;&gt;"",COUNTIF('1. Plot &amp; Site Log'!$A$5:$A$64,$A340)=0),"Plot ID not in Plot &amp; Site Log. ","")&amp;IF(AND(ISNUMBER($E340),ISNUMBER($F340),$F340&lt;=$E340),"Bottom depth is not below top depth. ","")&amp;IF($I340="","Say which bulk-density basis the lab reported. ","")&amp;IF(AND(ISNUMBER($J340),OR($J340&lt;QC_BD_MIN,$J340&gt;QC_BD_MAX)),"Bulk density outside "&amp;QC_BD_MIN&amp;"–"&amp;QC_BD_MAX&amp;" g/cm³ for peat. Above the top of that range usually means the mineral contact has been passed. ","")&amp;IF(AND(ISNUMBER($N340),$N340&gt;QC_CARBON_PCT_MAX),"Carbon above "&amp;QC_CARBON_PCT_MAX&amp;"% — check units; this may be organic matter rather than carbon. ","")&amp;IF(AND($L340&lt;&gt;"",$M340&lt;&gt;""),"Both LOI and measured carbon given — the measured value is used. ","")&amp;IF(AND($M340="",$L340&lt;&gt;"",OM_FACTOR_IS_LOCAL&lt;&gt;"Yes"),"Carbon derived from LOI using the default factor of "&amp;CARBON_FRACTION_OM&amp;", which has not been calibrated locally. See R1. Reference. ","")&amp;IF(AND(ISNUMBER($O340),$O340=0,ISNUMBER($E340)),"Section lies entirely below the reference depth — it counts to the full-profile stock only. ",""))</f>
        <v/>
      </c>
      <c r="U340" s="14"/>
    </row>
    <row r="341" spans="1:21" ht="15.75" customHeight="1">
      <c r="A341" s="14"/>
      <c r="B341" s="14"/>
      <c r="C341" s="14"/>
      <c r="D341" s="14"/>
      <c r="E341" s="14"/>
      <c r="F341" s="14"/>
      <c r="G341" s="14" t="str">
        <f t="shared" si="32"/>
        <v/>
      </c>
      <c r="H341" s="14"/>
      <c r="I341" s="14"/>
      <c r="J341" s="24"/>
      <c r="K341" s="24"/>
      <c r="L341" s="24"/>
      <c r="M341" s="24"/>
      <c r="N341" s="16" t="str">
        <f t="shared" si="36"/>
        <v/>
      </c>
      <c r="O341" s="16" t="str">
        <f t="shared" si="33"/>
        <v/>
      </c>
      <c r="P341" s="16" t="str">
        <f t="shared" si="34"/>
        <v/>
      </c>
      <c r="Q341" s="16" t="str">
        <f t="shared" si="35"/>
        <v/>
      </c>
      <c r="R341" s="16">
        <f t="shared" si="37"/>
        <v>0</v>
      </c>
      <c r="S341" s="16" t="str">
        <f>IF(OR($B341="",NOT(ISNUMBER($F341))),"",SUMIFS(community_cores_FS!$P$5:$P$597,community_cores_FS!$B$5:$B$597,$B341,community_cores_FS!$F$5:$F$597,"&lt;="&amp;$F341))</f>
        <v/>
      </c>
      <c r="T341" s="16" t="str">
        <f>IF(AND($A341="",$B341="",$E341=""),"",IF(AND($B341&lt;&gt;"",COUNTIF('2. Core Log'!$A$5:$A$124,$B341)=0),"Core ID not in Core Log. ","")&amp;IF(AND($A341&lt;&gt;"",COUNTIF('1. Plot &amp; Site Log'!$A$5:$A$64,$A341)=0),"Plot ID not in Plot &amp; Site Log. ","")&amp;IF(AND(ISNUMBER($E341),ISNUMBER($F341),$F341&lt;=$E341),"Bottom depth is not below top depth. ","")&amp;IF($I341="","Say which bulk-density basis the lab reported. ","")&amp;IF(AND(ISNUMBER($J341),OR($J341&lt;QC_BD_MIN,$J341&gt;QC_BD_MAX)),"Bulk density outside "&amp;QC_BD_MIN&amp;"–"&amp;QC_BD_MAX&amp;" g/cm³ for peat. Above the top of that range usually means the mineral contact has been passed. ","")&amp;IF(AND(ISNUMBER($N341),$N341&gt;QC_CARBON_PCT_MAX),"Carbon above "&amp;QC_CARBON_PCT_MAX&amp;"% — check units; this may be organic matter rather than carbon. ","")&amp;IF(AND($L341&lt;&gt;"",$M341&lt;&gt;""),"Both LOI and measured carbon given — the measured value is used. ","")&amp;IF(AND($M341="",$L341&lt;&gt;"",OM_FACTOR_IS_LOCAL&lt;&gt;"Yes"),"Carbon derived from LOI using the default factor of "&amp;CARBON_FRACTION_OM&amp;", which has not been calibrated locally. See R1. Reference. ","")&amp;IF(AND(ISNUMBER($O341),$O341=0,ISNUMBER($E341)),"Section lies entirely below the reference depth — it counts to the full-profile stock only. ",""))</f>
        <v/>
      </c>
      <c r="U341" s="14"/>
    </row>
    <row r="342" spans="1:21" ht="15.75" customHeight="1">
      <c r="A342" s="14"/>
      <c r="B342" s="14"/>
      <c r="C342" s="14"/>
      <c r="D342" s="14"/>
      <c r="E342" s="14"/>
      <c r="F342" s="14"/>
      <c r="G342" s="14" t="str">
        <f t="shared" si="32"/>
        <v/>
      </c>
      <c r="H342" s="14"/>
      <c r="I342" s="14"/>
      <c r="J342" s="24"/>
      <c r="K342" s="24"/>
      <c r="L342" s="24"/>
      <c r="M342" s="24"/>
      <c r="N342" s="16" t="str">
        <f t="shared" si="36"/>
        <v/>
      </c>
      <c r="O342" s="16" t="str">
        <f t="shared" si="33"/>
        <v/>
      </c>
      <c r="P342" s="16" t="str">
        <f t="shared" si="34"/>
        <v/>
      </c>
      <c r="Q342" s="16" t="str">
        <f t="shared" si="35"/>
        <v/>
      </c>
      <c r="R342" s="16">
        <f t="shared" si="37"/>
        <v>0</v>
      </c>
      <c r="S342" s="16" t="str">
        <f>IF(OR($B342="",NOT(ISNUMBER($F342))),"",SUMIFS(community_cores_FS!$P$5:$P$597,community_cores_FS!$B$5:$B$597,$B342,community_cores_FS!$F$5:$F$597,"&lt;="&amp;$F342))</f>
        <v/>
      </c>
      <c r="T342" s="16" t="str">
        <f>IF(AND($A342="",$B342="",$E342=""),"",IF(AND($B342&lt;&gt;"",COUNTIF('2. Core Log'!$A$5:$A$124,$B342)=0),"Core ID not in Core Log. ","")&amp;IF(AND($A342&lt;&gt;"",COUNTIF('1. Plot &amp; Site Log'!$A$5:$A$64,$A342)=0),"Plot ID not in Plot &amp; Site Log. ","")&amp;IF(AND(ISNUMBER($E342),ISNUMBER($F342),$F342&lt;=$E342),"Bottom depth is not below top depth. ","")&amp;IF($I342="","Say which bulk-density basis the lab reported. ","")&amp;IF(AND(ISNUMBER($J342),OR($J342&lt;QC_BD_MIN,$J342&gt;QC_BD_MAX)),"Bulk density outside "&amp;QC_BD_MIN&amp;"–"&amp;QC_BD_MAX&amp;" g/cm³ for peat. Above the top of that range usually means the mineral contact has been passed. ","")&amp;IF(AND(ISNUMBER($N342),$N342&gt;QC_CARBON_PCT_MAX),"Carbon above "&amp;QC_CARBON_PCT_MAX&amp;"% — check units; this may be organic matter rather than carbon. ","")&amp;IF(AND($L342&lt;&gt;"",$M342&lt;&gt;""),"Both LOI and measured carbon given — the measured value is used. ","")&amp;IF(AND($M342="",$L342&lt;&gt;"",OM_FACTOR_IS_LOCAL&lt;&gt;"Yes"),"Carbon derived from LOI using the default factor of "&amp;CARBON_FRACTION_OM&amp;", which has not been calibrated locally. See R1. Reference. ","")&amp;IF(AND(ISNUMBER($O342),$O342=0,ISNUMBER($E342)),"Section lies entirely below the reference depth — it counts to the full-profile stock only. ",""))</f>
        <v/>
      </c>
      <c r="U342" s="14"/>
    </row>
    <row r="343" spans="1:21" ht="15.75" customHeight="1">
      <c r="A343" s="14"/>
      <c r="B343" s="14"/>
      <c r="C343" s="14"/>
      <c r="D343" s="14"/>
      <c r="E343" s="14"/>
      <c r="F343" s="14"/>
      <c r="G343" s="14" t="str">
        <f t="shared" si="32"/>
        <v/>
      </c>
      <c r="H343" s="14"/>
      <c r="I343" s="14"/>
      <c r="J343" s="24"/>
      <c r="K343" s="24"/>
      <c r="L343" s="24"/>
      <c r="M343" s="24"/>
      <c r="N343" s="16" t="str">
        <f t="shared" si="36"/>
        <v/>
      </c>
      <c r="O343" s="16" t="str">
        <f t="shared" si="33"/>
        <v/>
      </c>
      <c r="P343" s="16" t="str">
        <f t="shared" si="34"/>
        <v/>
      </c>
      <c r="Q343" s="16" t="str">
        <f t="shared" si="35"/>
        <v/>
      </c>
      <c r="R343" s="16">
        <f t="shared" si="37"/>
        <v>0</v>
      </c>
      <c r="S343" s="16" t="str">
        <f>IF(OR($B343="",NOT(ISNUMBER($F343))),"",SUMIFS(community_cores_FS!$P$5:$P$597,community_cores_FS!$B$5:$B$597,$B343,community_cores_FS!$F$5:$F$597,"&lt;="&amp;$F343))</f>
        <v/>
      </c>
      <c r="T343" s="16" t="str">
        <f>IF(AND($A343="",$B343="",$E343=""),"",IF(AND($B343&lt;&gt;"",COUNTIF('2. Core Log'!$A$5:$A$124,$B343)=0),"Core ID not in Core Log. ","")&amp;IF(AND($A343&lt;&gt;"",COUNTIF('1. Plot &amp; Site Log'!$A$5:$A$64,$A343)=0),"Plot ID not in Plot &amp; Site Log. ","")&amp;IF(AND(ISNUMBER($E343),ISNUMBER($F343),$F343&lt;=$E343),"Bottom depth is not below top depth. ","")&amp;IF($I343="","Say which bulk-density basis the lab reported. ","")&amp;IF(AND(ISNUMBER($J343),OR($J343&lt;QC_BD_MIN,$J343&gt;QC_BD_MAX)),"Bulk density outside "&amp;QC_BD_MIN&amp;"–"&amp;QC_BD_MAX&amp;" g/cm³ for peat. Above the top of that range usually means the mineral contact has been passed. ","")&amp;IF(AND(ISNUMBER($N343),$N343&gt;QC_CARBON_PCT_MAX),"Carbon above "&amp;QC_CARBON_PCT_MAX&amp;"% — check units; this may be organic matter rather than carbon. ","")&amp;IF(AND($L343&lt;&gt;"",$M343&lt;&gt;""),"Both LOI and measured carbon given — the measured value is used. ","")&amp;IF(AND($M343="",$L343&lt;&gt;"",OM_FACTOR_IS_LOCAL&lt;&gt;"Yes"),"Carbon derived from LOI using the default factor of "&amp;CARBON_FRACTION_OM&amp;", which has not been calibrated locally. See R1. Reference. ","")&amp;IF(AND(ISNUMBER($O343),$O343=0,ISNUMBER($E343)),"Section lies entirely below the reference depth — it counts to the full-profile stock only. ",""))</f>
        <v/>
      </c>
      <c r="U343" s="14"/>
    </row>
    <row r="344" spans="1:21" ht="15.75" customHeight="1">
      <c r="A344" s="14"/>
      <c r="B344" s="14"/>
      <c r="C344" s="14"/>
      <c r="D344" s="14"/>
      <c r="E344" s="14"/>
      <c r="F344" s="14"/>
      <c r="G344" s="14" t="str">
        <f t="shared" si="32"/>
        <v/>
      </c>
      <c r="H344" s="14"/>
      <c r="I344" s="14"/>
      <c r="J344" s="24"/>
      <c r="K344" s="24"/>
      <c r="L344" s="24"/>
      <c r="M344" s="24"/>
      <c r="N344" s="16" t="str">
        <f t="shared" si="36"/>
        <v/>
      </c>
      <c r="O344" s="16" t="str">
        <f t="shared" si="33"/>
        <v/>
      </c>
      <c r="P344" s="16" t="str">
        <f t="shared" si="34"/>
        <v/>
      </c>
      <c r="Q344" s="16" t="str">
        <f t="shared" si="35"/>
        <v/>
      </c>
      <c r="R344" s="16">
        <f t="shared" si="37"/>
        <v>0</v>
      </c>
      <c r="S344" s="16" t="str">
        <f>IF(OR($B344="",NOT(ISNUMBER($F344))),"",SUMIFS(community_cores_FS!$P$5:$P$597,community_cores_FS!$B$5:$B$597,$B344,community_cores_FS!$F$5:$F$597,"&lt;="&amp;$F344))</f>
        <v/>
      </c>
      <c r="T344" s="16" t="str">
        <f>IF(AND($A344="",$B344="",$E344=""),"",IF(AND($B344&lt;&gt;"",COUNTIF('2. Core Log'!$A$5:$A$124,$B344)=0),"Core ID not in Core Log. ","")&amp;IF(AND($A344&lt;&gt;"",COUNTIF('1. Plot &amp; Site Log'!$A$5:$A$64,$A344)=0),"Plot ID not in Plot &amp; Site Log. ","")&amp;IF(AND(ISNUMBER($E344),ISNUMBER($F344),$F344&lt;=$E344),"Bottom depth is not below top depth. ","")&amp;IF($I344="","Say which bulk-density basis the lab reported. ","")&amp;IF(AND(ISNUMBER($J344),OR($J344&lt;QC_BD_MIN,$J344&gt;QC_BD_MAX)),"Bulk density outside "&amp;QC_BD_MIN&amp;"–"&amp;QC_BD_MAX&amp;" g/cm³ for peat. Above the top of that range usually means the mineral contact has been passed. ","")&amp;IF(AND(ISNUMBER($N344),$N344&gt;QC_CARBON_PCT_MAX),"Carbon above "&amp;QC_CARBON_PCT_MAX&amp;"% — check units; this may be organic matter rather than carbon. ","")&amp;IF(AND($L344&lt;&gt;"",$M344&lt;&gt;""),"Both LOI and measured carbon given — the measured value is used. ","")&amp;IF(AND($M344="",$L344&lt;&gt;"",OM_FACTOR_IS_LOCAL&lt;&gt;"Yes"),"Carbon derived from LOI using the default factor of "&amp;CARBON_FRACTION_OM&amp;", which has not been calibrated locally. See R1. Reference. ","")&amp;IF(AND(ISNUMBER($O344),$O344=0,ISNUMBER($E344)),"Section lies entirely below the reference depth — it counts to the full-profile stock only. ",""))</f>
        <v/>
      </c>
      <c r="U344" s="14"/>
    </row>
    <row r="345" spans="1:21" ht="15.75" customHeight="1">
      <c r="A345" s="14"/>
      <c r="B345" s="14"/>
      <c r="C345" s="14"/>
      <c r="D345" s="14"/>
      <c r="E345" s="14"/>
      <c r="F345" s="14"/>
      <c r="G345" s="14" t="str">
        <f t="shared" si="32"/>
        <v/>
      </c>
      <c r="H345" s="14"/>
      <c r="I345" s="14"/>
      <c r="J345" s="24"/>
      <c r="K345" s="24"/>
      <c r="L345" s="24"/>
      <c r="M345" s="24"/>
      <c r="N345" s="16" t="str">
        <f t="shared" si="36"/>
        <v/>
      </c>
      <c r="O345" s="16" t="str">
        <f t="shared" si="33"/>
        <v/>
      </c>
      <c r="P345" s="16" t="str">
        <f t="shared" si="34"/>
        <v/>
      </c>
      <c r="Q345" s="16" t="str">
        <f t="shared" si="35"/>
        <v/>
      </c>
      <c r="R345" s="16">
        <f t="shared" si="37"/>
        <v>0</v>
      </c>
      <c r="S345" s="16" t="str">
        <f>IF(OR($B345="",NOT(ISNUMBER($F345))),"",SUMIFS(community_cores_FS!$P$5:$P$597,community_cores_FS!$B$5:$B$597,$B345,community_cores_FS!$F$5:$F$597,"&lt;="&amp;$F345))</f>
        <v/>
      </c>
      <c r="T345" s="16" t="str">
        <f>IF(AND($A345="",$B345="",$E345=""),"",IF(AND($B345&lt;&gt;"",COUNTIF('2. Core Log'!$A$5:$A$124,$B345)=0),"Core ID not in Core Log. ","")&amp;IF(AND($A345&lt;&gt;"",COUNTIF('1. Plot &amp; Site Log'!$A$5:$A$64,$A345)=0),"Plot ID not in Plot &amp; Site Log. ","")&amp;IF(AND(ISNUMBER($E345),ISNUMBER($F345),$F345&lt;=$E345),"Bottom depth is not below top depth. ","")&amp;IF($I345="","Say which bulk-density basis the lab reported. ","")&amp;IF(AND(ISNUMBER($J345),OR($J345&lt;QC_BD_MIN,$J345&gt;QC_BD_MAX)),"Bulk density outside "&amp;QC_BD_MIN&amp;"–"&amp;QC_BD_MAX&amp;" g/cm³ for peat. Above the top of that range usually means the mineral contact has been passed. ","")&amp;IF(AND(ISNUMBER($N345),$N345&gt;QC_CARBON_PCT_MAX),"Carbon above "&amp;QC_CARBON_PCT_MAX&amp;"% — check units; this may be organic matter rather than carbon. ","")&amp;IF(AND($L345&lt;&gt;"",$M345&lt;&gt;""),"Both LOI and measured carbon given — the measured value is used. ","")&amp;IF(AND($M345="",$L345&lt;&gt;"",OM_FACTOR_IS_LOCAL&lt;&gt;"Yes"),"Carbon derived from LOI using the default factor of "&amp;CARBON_FRACTION_OM&amp;", which has not been calibrated locally. See R1. Reference. ","")&amp;IF(AND(ISNUMBER($O345),$O345=0,ISNUMBER($E345)),"Section lies entirely below the reference depth — it counts to the full-profile stock only. ",""))</f>
        <v/>
      </c>
      <c r="U345" s="14"/>
    </row>
    <row r="346" spans="1:21" ht="15.75" customHeight="1">
      <c r="A346" s="14"/>
      <c r="B346" s="14"/>
      <c r="C346" s="14"/>
      <c r="D346" s="14"/>
      <c r="E346" s="14"/>
      <c r="F346" s="14"/>
      <c r="G346" s="14" t="str">
        <f t="shared" si="32"/>
        <v/>
      </c>
      <c r="H346" s="14"/>
      <c r="I346" s="14"/>
      <c r="J346" s="24"/>
      <c r="K346" s="24"/>
      <c r="L346" s="24"/>
      <c r="M346" s="24"/>
      <c r="N346" s="16" t="str">
        <f t="shared" si="36"/>
        <v/>
      </c>
      <c r="O346" s="16" t="str">
        <f t="shared" si="33"/>
        <v/>
      </c>
      <c r="P346" s="16" t="str">
        <f t="shared" si="34"/>
        <v/>
      </c>
      <c r="Q346" s="16" t="str">
        <f t="shared" si="35"/>
        <v/>
      </c>
      <c r="R346" s="16">
        <f t="shared" si="37"/>
        <v>0</v>
      </c>
      <c r="S346" s="16" t="str">
        <f>IF(OR($B346="",NOT(ISNUMBER($F346))),"",SUMIFS(community_cores_FS!$P$5:$P$597,community_cores_FS!$B$5:$B$597,$B346,community_cores_FS!$F$5:$F$597,"&lt;="&amp;$F346))</f>
        <v/>
      </c>
      <c r="T346" s="16" t="str">
        <f>IF(AND($A346="",$B346="",$E346=""),"",IF(AND($B346&lt;&gt;"",COUNTIF('2. Core Log'!$A$5:$A$124,$B346)=0),"Core ID not in Core Log. ","")&amp;IF(AND($A346&lt;&gt;"",COUNTIF('1. Plot &amp; Site Log'!$A$5:$A$64,$A346)=0),"Plot ID not in Plot &amp; Site Log. ","")&amp;IF(AND(ISNUMBER($E346),ISNUMBER($F346),$F346&lt;=$E346),"Bottom depth is not below top depth. ","")&amp;IF($I346="","Say which bulk-density basis the lab reported. ","")&amp;IF(AND(ISNUMBER($J346),OR($J346&lt;QC_BD_MIN,$J346&gt;QC_BD_MAX)),"Bulk density outside "&amp;QC_BD_MIN&amp;"–"&amp;QC_BD_MAX&amp;" g/cm³ for peat. Above the top of that range usually means the mineral contact has been passed. ","")&amp;IF(AND(ISNUMBER($N346),$N346&gt;QC_CARBON_PCT_MAX),"Carbon above "&amp;QC_CARBON_PCT_MAX&amp;"% — check units; this may be organic matter rather than carbon. ","")&amp;IF(AND($L346&lt;&gt;"",$M346&lt;&gt;""),"Both LOI and measured carbon given — the measured value is used. ","")&amp;IF(AND($M346="",$L346&lt;&gt;"",OM_FACTOR_IS_LOCAL&lt;&gt;"Yes"),"Carbon derived from LOI using the default factor of "&amp;CARBON_FRACTION_OM&amp;", which has not been calibrated locally. See R1. Reference. ","")&amp;IF(AND(ISNUMBER($O346),$O346=0,ISNUMBER($E346)),"Section lies entirely below the reference depth — it counts to the full-profile stock only. ",""))</f>
        <v/>
      </c>
      <c r="U346" s="14"/>
    </row>
    <row r="347" spans="1:21" ht="15.75" customHeight="1">
      <c r="A347" s="14"/>
      <c r="B347" s="14"/>
      <c r="C347" s="14"/>
      <c r="D347" s="14"/>
      <c r="E347" s="14"/>
      <c r="F347" s="14"/>
      <c r="G347" s="14" t="str">
        <f t="shared" ref="G347:G410" si="38">IF(OR($E347="",$F347=""),"",$F347-$E347)</f>
        <v/>
      </c>
      <c r="H347" s="14"/>
      <c r="I347" s="14"/>
      <c r="J347" s="24"/>
      <c r="K347" s="24"/>
      <c r="L347" s="24"/>
      <c r="M347" s="24"/>
      <c r="N347" s="16" t="str">
        <f t="shared" si="36"/>
        <v/>
      </c>
      <c r="O347" s="16" t="str">
        <f t="shared" ref="O347:O410" si="39">IF(OR($E347="",$F347=""),"",MAX(0,MIN($F347,REFERENCE_DEPTH_CM)-MIN($E347,REFERENCE_DEPTH_CM)))</f>
        <v/>
      </c>
      <c r="P347" s="16" t="str">
        <f t="shared" ref="P347:P410" si="40">IF(OR($J347="",$N347="",$G347=""),"",$J347*($N347/100)*$G347*10)</f>
        <v/>
      </c>
      <c r="Q347" s="16" t="str">
        <f t="shared" ref="Q347:Q410" si="41">IF(OR($J347="",$N347="",$O347=""),"",$J347*($N347/100)*$O347*10)</f>
        <v/>
      </c>
      <c r="R347" s="16">
        <f t="shared" si="37"/>
        <v>0</v>
      </c>
      <c r="S347" s="16" t="str">
        <f>IF(OR($B347="",NOT(ISNUMBER($F347))),"",SUMIFS(community_cores_FS!$P$5:$P$597,community_cores_FS!$B$5:$B$597,$B347,community_cores_FS!$F$5:$F$597,"&lt;="&amp;$F347))</f>
        <v/>
      </c>
      <c r="T347" s="16" t="str">
        <f>IF(AND($A347="",$B347="",$E347=""),"",IF(AND($B347&lt;&gt;"",COUNTIF('2. Core Log'!$A$5:$A$124,$B347)=0),"Core ID not in Core Log. ","")&amp;IF(AND($A347&lt;&gt;"",COUNTIF('1. Plot &amp; Site Log'!$A$5:$A$64,$A347)=0),"Plot ID not in Plot &amp; Site Log. ","")&amp;IF(AND(ISNUMBER($E347),ISNUMBER($F347),$F347&lt;=$E347),"Bottom depth is not below top depth. ","")&amp;IF($I347="","Say which bulk-density basis the lab reported. ","")&amp;IF(AND(ISNUMBER($J347),OR($J347&lt;QC_BD_MIN,$J347&gt;QC_BD_MAX)),"Bulk density outside "&amp;QC_BD_MIN&amp;"–"&amp;QC_BD_MAX&amp;" g/cm³ for peat. Above the top of that range usually means the mineral contact has been passed. ","")&amp;IF(AND(ISNUMBER($N347),$N347&gt;QC_CARBON_PCT_MAX),"Carbon above "&amp;QC_CARBON_PCT_MAX&amp;"% — check units; this may be organic matter rather than carbon. ","")&amp;IF(AND($L347&lt;&gt;"",$M347&lt;&gt;""),"Both LOI and measured carbon given — the measured value is used. ","")&amp;IF(AND($M347="",$L347&lt;&gt;"",OM_FACTOR_IS_LOCAL&lt;&gt;"Yes"),"Carbon derived from LOI using the default factor of "&amp;CARBON_FRACTION_OM&amp;", which has not been calibrated locally. See R1. Reference. ","")&amp;IF(AND(ISNUMBER($O347),$O347=0,ISNUMBER($E347)),"Section lies entirely below the reference depth — it counts to the full-profile stock only. ",""))</f>
        <v/>
      </c>
      <c r="U347" s="14"/>
    </row>
    <row r="348" spans="1:21" ht="15.75" customHeight="1">
      <c r="A348" s="14"/>
      <c r="B348" s="14"/>
      <c r="C348" s="14"/>
      <c r="D348" s="14"/>
      <c r="E348" s="14"/>
      <c r="F348" s="14"/>
      <c r="G348" s="14" t="str">
        <f t="shared" si="38"/>
        <v/>
      </c>
      <c r="H348" s="14"/>
      <c r="I348" s="14"/>
      <c r="J348" s="24"/>
      <c r="K348" s="24"/>
      <c r="L348" s="24"/>
      <c r="M348" s="24"/>
      <c r="N348" s="16" t="str">
        <f t="shared" si="36"/>
        <v/>
      </c>
      <c r="O348" s="16" t="str">
        <f t="shared" si="39"/>
        <v/>
      </c>
      <c r="P348" s="16" t="str">
        <f t="shared" si="40"/>
        <v/>
      </c>
      <c r="Q348" s="16" t="str">
        <f t="shared" si="41"/>
        <v/>
      </c>
      <c r="R348" s="16">
        <f t="shared" si="37"/>
        <v>0</v>
      </c>
      <c r="S348" s="16" t="str">
        <f>IF(OR($B348="",NOT(ISNUMBER($F348))),"",SUMIFS(community_cores_FS!$P$5:$P$597,community_cores_FS!$B$5:$B$597,$B348,community_cores_FS!$F$5:$F$597,"&lt;="&amp;$F348))</f>
        <v/>
      </c>
      <c r="T348" s="16" t="str">
        <f>IF(AND($A348="",$B348="",$E348=""),"",IF(AND($B348&lt;&gt;"",COUNTIF('2. Core Log'!$A$5:$A$124,$B348)=0),"Core ID not in Core Log. ","")&amp;IF(AND($A348&lt;&gt;"",COUNTIF('1. Plot &amp; Site Log'!$A$5:$A$64,$A348)=0),"Plot ID not in Plot &amp; Site Log. ","")&amp;IF(AND(ISNUMBER($E348),ISNUMBER($F348),$F348&lt;=$E348),"Bottom depth is not below top depth. ","")&amp;IF($I348="","Say which bulk-density basis the lab reported. ","")&amp;IF(AND(ISNUMBER($J348),OR($J348&lt;QC_BD_MIN,$J348&gt;QC_BD_MAX)),"Bulk density outside "&amp;QC_BD_MIN&amp;"–"&amp;QC_BD_MAX&amp;" g/cm³ for peat. Above the top of that range usually means the mineral contact has been passed. ","")&amp;IF(AND(ISNUMBER($N348),$N348&gt;QC_CARBON_PCT_MAX),"Carbon above "&amp;QC_CARBON_PCT_MAX&amp;"% — check units; this may be organic matter rather than carbon. ","")&amp;IF(AND($L348&lt;&gt;"",$M348&lt;&gt;""),"Both LOI and measured carbon given — the measured value is used. ","")&amp;IF(AND($M348="",$L348&lt;&gt;"",OM_FACTOR_IS_LOCAL&lt;&gt;"Yes"),"Carbon derived from LOI using the default factor of "&amp;CARBON_FRACTION_OM&amp;", which has not been calibrated locally. See R1. Reference. ","")&amp;IF(AND(ISNUMBER($O348),$O348=0,ISNUMBER($E348)),"Section lies entirely below the reference depth — it counts to the full-profile stock only. ",""))</f>
        <v/>
      </c>
      <c r="U348" s="14"/>
    </row>
    <row r="349" spans="1:21" ht="15.75" customHeight="1">
      <c r="A349" s="14"/>
      <c r="B349" s="14"/>
      <c r="C349" s="14"/>
      <c r="D349" s="14"/>
      <c r="E349" s="14"/>
      <c r="F349" s="14"/>
      <c r="G349" s="14" t="str">
        <f t="shared" si="38"/>
        <v/>
      </c>
      <c r="H349" s="14"/>
      <c r="I349" s="14"/>
      <c r="J349" s="24"/>
      <c r="K349" s="24"/>
      <c r="L349" s="24"/>
      <c r="M349" s="24"/>
      <c r="N349" s="16" t="str">
        <f t="shared" si="36"/>
        <v/>
      </c>
      <c r="O349" s="16" t="str">
        <f t="shared" si="39"/>
        <v/>
      </c>
      <c r="P349" s="16" t="str">
        <f t="shared" si="40"/>
        <v/>
      </c>
      <c r="Q349" s="16" t="str">
        <f t="shared" si="41"/>
        <v/>
      </c>
      <c r="R349" s="16">
        <f t="shared" si="37"/>
        <v>0</v>
      </c>
      <c r="S349" s="16" t="str">
        <f>IF(OR($B349="",NOT(ISNUMBER($F349))),"",SUMIFS(community_cores_FS!$P$5:$P$597,community_cores_FS!$B$5:$B$597,$B349,community_cores_FS!$F$5:$F$597,"&lt;="&amp;$F349))</f>
        <v/>
      </c>
      <c r="T349" s="16" t="str">
        <f>IF(AND($A349="",$B349="",$E349=""),"",IF(AND($B349&lt;&gt;"",COUNTIF('2. Core Log'!$A$5:$A$124,$B349)=0),"Core ID not in Core Log. ","")&amp;IF(AND($A349&lt;&gt;"",COUNTIF('1. Plot &amp; Site Log'!$A$5:$A$64,$A349)=0),"Plot ID not in Plot &amp; Site Log. ","")&amp;IF(AND(ISNUMBER($E349),ISNUMBER($F349),$F349&lt;=$E349),"Bottom depth is not below top depth. ","")&amp;IF($I349="","Say which bulk-density basis the lab reported. ","")&amp;IF(AND(ISNUMBER($J349),OR($J349&lt;QC_BD_MIN,$J349&gt;QC_BD_MAX)),"Bulk density outside "&amp;QC_BD_MIN&amp;"–"&amp;QC_BD_MAX&amp;" g/cm³ for peat. Above the top of that range usually means the mineral contact has been passed. ","")&amp;IF(AND(ISNUMBER($N349),$N349&gt;QC_CARBON_PCT_MAX),"Carbon above "&amp;QC_CARBON_PCT_MAX&amp;"% — check units; this may be organic matter rather than carbon. ","")&amp;IF(AND($L349&lt;&gt;"",$M349&lt;&gt;""),"Both LOI and measured carbon given — the measured value is used. ","")&amp;IF(AND($M349="",$L349&lt;&gt;"",OM_FACTOR_IS_LOCAL&lt;&gt;"Yes"),"Carbon derived from LOI using the default factor of "&amp;CARBON_FRACTION_OM&amp;", which has not been calibrated locally. See R1. Reference. ","")&amp;IF(AND(ISNUMBER($O349),$O349=0,ISNUMBER($E349)),"Section lies entirely below the reference depth — it counts to the full-profile stock only. ",""))</f>
        <v/>
      </c>
      <c r="U349" s="14"/>
    </row>
    <row r="350" spans="1:21" ht="15.75" customHeight="1">
      <c r="A350" s="14"/>
      <c r="B350" s="14"/>
      <c r="C350" s="14"/>
      <c r="D350" s="14"/>
      <c r="E350" s="14"/>
      <c r="F350" s="14"/>
      <c r="G350" s="14" t="str">
        <f t="shared" si="38"/>
        <v/>
      </c>
      <c r="H350" s="14"/>
      <c r="I350" s="14"/>
      <c r="J350" s="24"/>
      <c r="K350" s="24"/>
      <c r="L350" s="24"/>
      <c r="M350" s="24"/>
      <c r="N350" s="16" t="str">
        <f t="shared" si="36"/>
        <v/>
      </c>
      <c r="O350" s="16" t="str">
        <f t="shared" si="39"/>
        <v/>
      </c>
      <c r="P350" s="16" t="str">
        <f t="shared" si="40"/>
        <v/>
      </c>
      <c r="Q350" s="16" t="str">
        <f t="shared" si="41"/>
        <v/>
      </c>
      <c r="R350" s="16">
        <f t="shared" si="37"/>
        <v>0</v>
      </c>
      <c r="S350" s="16" t="str">
        <f>IF(OR($B350="",NOT(ISNUMBER($F350))),"",SUMIFS(community_cores_FS!$P$5:$P$597,community_cores_FS!$B$5:$B$597,$B350,community_cores_FS!$F$5:$F$597,"&lt;="&amp;$F350))</f>
        <v/>
      </c>
      <c r="T350" s="16" t="str">
        <f>IF(AND($A350="",$B350="",$E350=""),"",IF(AND($B350&lt;&gt;"",COUNTIF('2. Core Log'!$A$5:$A$124,$B350)=0),"Core ID not in Core Log. ","")&amp;IF(AND($A350&lt;&gt;"",COUNTIF('1. Plot &amp; Site Log'!$A$5:$A$64,$A350)=0),"Plot ID not in Plot &amp; Site Log. ","")&amp;IF(AND(ISNUMBER($E350),ISNUMBER($F350),$F350&lt;=$E350),"Bottom depth is not below top depth. ","")&amp;IF($I350="","Say which bulk-density basis the lab reported. ","")&amp;IF(AND(ISNUMBER($J350),OR($J350&lt;QC_BD_MIN,$J350&gt;QC_BD_MAX)),"Bulk density outside "&amp;QC_BD_MIN&amp;"–"&amp;QC_BD_MAX&amp;" g/cm³ for peat. Above the top of that range usually means the mineral contact has been passed. ","")&amp;IF(AND(ISNUMBER($N350),$N350&gt;QC_CARBON_PCT_MAX),"Carbon above "&amp;QC_CARBON_PCT_MAX&amp;"% — check units; this may be organic matter rather than carbon. ","")&amp;IF(AND($L350&lt;&gt;"",$M350&lt;&gt;""),"Both LOI and measured carbon given — the measured value is used. ","")&amp;IF(AND($M350="",$L350&lt;&gt;"",OM_FACTOR_IS_LOCAL&lt;&gt;"Yes"),"Carbon derived from LOI using the default factor of "&amp;CARBON_FRACTION_OM&amp;", which has not been calibrated locally. See R1. Reference. ","")&amp;IF(AND(ISNUMBER($O350),$O350=0,ISNUMBER($E350)),"Section lies entirely below the reference depth — it counts to the full-profile stock only. ",""))</f>
        <v/>
      </c>
      <c r="U350" s="14"/>
    </row>
    <row r="351" spans="1:21" ht="15.75" customHeight="1">
      <c r="A351" s="14"/>
      <c r="B351" s="14"/>
      <c r="C351" s="14"/>
      <c r="D351" s="14"/>
      <c r="E351" s="14"/>
      <c r="F351" s="14"/>
      <c r="G351" s="14" t="str">
        <f t="shared" si="38"/>
        <v/>
      </c>
      <c r="H351" s="14"/>
      <c r="I351" s="14"/>
      <c r="J351" s="24"/>
      <c r="K351" s="24"/>
      <c r="L351" s="24"/>
      <c r="M351" s="24"/>
      <c r="N351" s="16" t="str">
        <f t="shared" si="36"/>
        <v/>
      </c>
      <c r="O351" s="16" t="str">
        <f t="shared" si="39"/>
        <v/>
      </c>
      <c r="P351" s="16" t="str">
        <f t="shared" si="40"/>
        <v/>
      </c>
      <c r="Q351" s="16" t="str">
        <f t="shared" si="41"/>
        <v/>
      </c>
      <c r="R351" s="16">
        <f t="shared" si="37"/>
        <v>0</v>
      </c>
      <c r="S351" s="16" t="str">
        <f>IF(OR($B351="",NOT(ISNUMBER($F351))),"",SUMIFS(community_cores_FS!$P$5:$P$597,community_cores_FS!$B$5:$B$597,$B351,community_cores_FS!$F$5:$F$597,"&lt;="&amp;$F351))</f>
        <v/>
      </c>
      <c r="T351" s="16" t="str">
        <f>IF(AND($A351="",$B351="",$E351=""),"",IF(AND($B351&lt;&gt;"",COUNTIF('2. Core Log'!$A$5:$A$124,$B351)=0),"Core ID not in Core Log. ","")&amp;IF(AND($A351&lt;&gt;"",COUNTIF('1. Plot &amp; Site Log'!$A$5:$A$64,$A351)=0),"Plot ID not in Plot &amp; Site Log. ","")&amp;IF(AND(ISNUMBER($E351),ISNUMBER($F351),$F351&lt;=$E351),"Bottom depth is not below top depth. ","")&amp;IF($I351="","Say which bulk-density basis the lab reported. ","")&amp;IF(AND(ISNUMBER($J351),OR($J351&lt;QC_BD_MIN,$J351&gt;QC_BD_MAX)),"Bulk density outside "&amp;QC_BD_MIN&amp;"–"&amp;QC_BD_MAX&amp;" g/cm³ for peat. Above the top of that range usually means the mineral contact has been passed. ","")&amp;IF(AND(ISNUMBER($N351),$N351&gt;QC_CARBON_PCT_MAX),"Carbon above "&amp;QC_CARBON_PCT_MAX&amp;"% — check units; this may be organic matter rather than carbon. ","")&amp;IF(AND($L351&lt;&gt;"",$M351&lt;&gt;""),"Both LOI and measured carbon given — the measured value is used. ","")&amp;IF(AND($M351="",$L351&lt;&gt;"",OM_FACTOR_IS_LOCAL&lt;&gt;"Yes"),"Carbon derived from LOI using the default factor of "&amp;CARBON_FRACTION_OM&amp;", which has not been calibrated locally. See R1. Reference. ","")&amp;IF(AND(ISNUMBER($O351),$O351=0,ISNUMBER($E351)),"Section lies entirely below the reference depth — it counts to the full-profile stock only. ",""))</f>
        <v/>
      </c>
      <c r="U351" s="14"/>
    </row>
    <row r="352" spans="1:21" ht="15.75" customHeight="1">
      <c r="A352" s="14"/>
      <c r="B352" s="14"/>
      <c r="C352" s="14"/>
      <c r="D352" s="14"/>
      <c r="E352" s="14"/>
      <c r="F352" s="14"/>
      <c r="G352" s="14" t="str">
        <f t="shared" si="38"/>
        <v/>
      </c>
      <c r="H352" s="14"/>
      <c r="I352" s="14"/>
      <c r="J352" s="24"/>
      <c r="K352" s="24"/>
      <c r="L352" s="24"/>
      <c r="M352" s="24"/>
      <c r="N352" s="16" t="str">
        <f t="shared" si="36"/>
        <v/>
      </c>
      <c r="O352" s="16" t="str">
        <f t="shared" si="39"/>
        <v/>
      </c>
      <c r="P352" s="16" t="str">
        <f t="shared" si="40"/>
        <v/>
      </c>
      <c r="Q352" s="16" t="str">
        <f t="shared" si="41"/>
        <v/>
      </c>
      <c r="R352" s="16">
        <f t="shared" si="37"/>
        <v>0</v>
      </c>
      <c r="S352" s="16" t="str">
        <f>IF(OR($B352="",NOT(ISNUMBER($F352))),"",SUMIFS(community_cores_FS!$P$5:$P$597,community_cores_FS!$B$5:$B$597,$B352,community_cores_FS!$F$5:$F$597,"&lt;="&amp;$F352))</f>
        <v/>
      </c>
      <c r="T352" s="16" t="str">
        <f>IF(AND($A352="",$B352="",$E352=""),"",IF(AND($B352&lt;&gt;"",COUNTIF('2. Core Log'!$A$5:$A$124,$B352)=0),"Core ID not in Core Log. ","")&amp;IF(AND($A352&lt;&gt;"",COUNTIF('1. Plot &amp; Site Log'!$A$5:$A$64,$A352)=0),"Plot ID not in Plot &amp; Site Log. ","")&amp;IF(AND(ISNUMBER($E352),ISNUMBER($F352),$F352&lt;=$E352),"Bottom depth is not below top depth. ","")&amp;IF($I352="","Say which bulk-density basis the lab reported. ","")&amp;IF(AND(ISNUMBER($J352),OR($J352&lt;QC_BD_MIN,$J352&gt;QC_BD_MAX)),"Bulk density outside "&amp;QC_BD_MIN&amp;"–"&amp;QC_BD_MAX&amp;" g/cm³ for peat. Above the top of that range usually means the mineral contact has been passed. ","")&amp;IF(AND(ISNUMBER($N352),$N352&gt;QC_CARBON_PCT_MAX),"Carbon above "&amp;QC_CARBON_PCT_MAX&amp;"% — check units; this may be organic matter rather than carbon. ","")&amp;IF(AND($L352&lt;&gt;"",$M352&lt;&gt;""),"Both LOI and measured carbon given — the measured value is used. ","")&amp;IF(AND($M352="",$L352&lt;&gt;"",OM_FACTOR_IS_LOCAL&lt;&gt;"Yes"),"Carbon derived from LOI using the default factor of "&amp;CARBON_FRACTION_OM&amp;", which has not been calibrated locally. See R1. Reference. ","")&amp;IF(AND(ISNUMBER($O352),$O352=0,ISNUMBER($E352)),"Section lies entirely below the reference depth — it counts to the full-profile stock only. ",""))</f>
        <v/>
      </c>
      <c r="U352" s="14"/>
    </row>
    <row r="353" spans="1:21" ht="15.75" customHeight="1">
      <c r="A353" s="14"/>
      <c r="B353" s="14"/>
      <c r="C353" s="14"/>
      <c r="D353" s="14"/>
      <c r="E353" s="14"/>
      <c r="F353" s="14"/>
      <c r="G353" s="14" t="str">
        <f t="shared" si="38"/>
        <v/>
      </c>
      <c r="H353" s="14"/>
      <c r="I353" s="14"/>
      <c r="J353" s="24"/>
      <c r="K353" s="24"/>
      <c r="L353" s="24"/>
      <c r="M353" s="24"/>
      <c r="N353" s="16" t="str">
        <f t="shared" si="36"/>
        <v/>
      </c>
      <c r="O353" s="16" t="str">
        <f t="shared" si="39"/>
        <v/>
      </c>
      <c r="P353" s="16" t="str">
        <f t="shared" si="40"/>
        <v/>
      </c>
      <c r="Q353" s="16" t="str">
        <f t="shared" si="41"/>
        <v/>
      </c>
      <c r="R353" s="16">
        <f t="shared" si="37"/>
        <v>0</v>
      </c>
      <c r="S353" s="16" t="str">
        <f>IF(OR($B353="",NOT(ISNUMBER($F353))),"",SUMIFS(community_cores_FS!$P$5:$P$597,community_cores_FS!$B$5:$B$597,$B353,community_cores_FS!$F$5:$F$597,"&lt;="&amp;$F353))</f>
        <v/>
      </c>
      <c r="T353" s="16" t="str">
        <f>IF(AND($A353="",$B353="",$E353=""),"",IF(AND($B353&lt;&gt;"",COUNTIF('2. Core Log'!$A$5:$A$124,$B353)=0),"Core ID not in Core Log. ","")&amp;IF(AND($A353&lt;&gt;"",COUNTIF('1. Plot &amp; Site Log'!$A$5:$A$64,$A353)=0),"Plot ID not in Plot &amp; Site Log. ","")&amp;IF(AND(ISNUMBER($E353),ISNUMBER($F353),$F353&lt;=$E353),"Bottom depth is not below top depth. ","")&amp;IF($I353="","Say which bulk-density basis the lab reported. ","")&amp;IF(AND(ISNUMBER($J353),OR($J353&lt;QC_BD_MIN,$J353&gt;QC_BD_MAX)),"Bulk density outside "&amp;QC_BD_MIN&amp;"–"&amp;QC_BD_MAX&amp;" g/cm³ for peat. Above the top of that range usually means the mineral contact has been passed. ","")&amp;IF(AND(ISNUMBER($N353),$N353&gt;QC_CARBON_PCT_MAX),"Carbon above "&amp;QC_CARBON_PCT_MAX&amp;"% — check units; this may be organic matter rather than carbon. ","")&amp;IF(AND($L353&lt;&gt;"",$M353&lt;&gt;""),"Both LOI and measured carbon given — the measured value is used. ","")&amp;IF(AND($M353="",$L353&lt;&gt;"",OM_FACTOR_IS_LOCAL&lt;&gt;"Yes"),"Carbon derived from LOI using the default factor of "&amp;CARBON_FRACTION_OM&amp;", which has not been calibrated locally. See R1. Reference. ","")&amp;IF(AND(ISNUMBER($O353),$O353=0,ISNUMBER($E353)),"Section lies entirely below the reference depth — it counts to the full-profile stock only. ",""))</f>
        <v/>
      </c>
      <c r="U353" s="14"/>
    </row>
    <row r="354" spans="1:21" ht="15.75" customHeight="1">
      <c r="A354" s="14"/>
      <c r="B354" s="14"/>
      <c r="C354" s="14"/>
      <c r="D354" s="14"/>
      <c r="E354" s="14"/>
      <c r="F354" s="14"/>
      <c r="G354" s="14" t="str">
        <f t="shared" si="38"/>
        <v/>
      </c>
      <c r="H354" s="14"/>
      <c r="I354" s="14"/>
      <c r="J354" s="24"/>
      <c r="K354" s="24"/>
      <c r="L354" s="24"/>
      <c r="M354" s="24"/>
      <c r="N354" s="16" t="str">
        <f t="shared" si="36"/>
        <v/>
      </c>
      <c r="O354" s="16" t="str">
        <f t="shared" si="39"/>
        <v/>
      </c>
      <c r="P354" s="16" t="str">
        <f t="shared" si="40"/>
        <v/>
      </c>
      <c r="Q354" s="16" t="str">
        <f t="shared" si="41"/>
        <v/>
      </c>
      <c r="R354" s="16">
        <f t="shared" si="37"/>
        <v>0</v>
      </c>
      <c r="S354" s="16" t="str">
        <f>IF(OR($B354="",NOT(ISNUMBER($F354))),"",SUMIFS(community_cores_FS!$P$5:$P$597,community_cores_FS!$B$5:$B$597,$B354,community_cores_FS!$F$5:$F$597,"&lt;="&amp;$F354))</f>
        <v/>
      </c>
      <c r="T354" s="16" t="str">
        <f>IF(AND($A354="",$B354="",$E354=""),"",IF(AND($B354&lt;&gt;"",COUNTIF('2. Core Log'!$A$5:$A$124,$B354)=0),"Core ID not in Core Log. ","")&amp;IF(AND($A354&lt;&gt;"",COUNTIF('1. Plot &amp; Site Log'!$A$5:$A$64,$A354)=0),"Plot ID not in Plot &amp; Site Log. ","")&amp;IF(AND(ISNUMBER($E354),ISNUMBER($F354),$F354&lt;=$E354),"Bottom depth is not below top depth. ","")&amp;IF($I354="","Say which bulk-density basis the lab reported. ","")&amp;IF(AND(ISNUMBER($J354),OR($J354&lt;QC_BD_MIN,$J354&gt;QC_BD_MAX)),"Bulk density outside "&amp;QC_BD_MIN&amp;"–"&amp;QC_BD_MAX&amp;" g/cm³ for peat. Above the top of that range usually means the mineral contact has been passed. ","")&amp;IF(AND(ISNUMBER($N354),$N354&gt;QC_CARBON_PCT_MAX),"Carbon above "&amp;QC_CARBON_PCT_MAX&amp;"% — check units; this may be organic matter rather than carbon. ","")&amp;IF(AND($L354&lt;&gt;"",$M354&lt;&gt;""),"Both LOI and measured carbon given — the measured value is used. ","")&amp;IF(AND($M354="",$L354&lt;&gt;"",OM_FACTOR_IS_LOCAL&lt;&gt;"Yes"),"Carbon derived from LOI using the default factor of "&amp;CARBON_FRACTION_OM&amp;", which has not been calibrated locally. See R1. Reference. ","")&amp;IF(AND(ISNUMBER($O354),$O354=0,ISNUMBER($E354)),"Section lies entirely below the reference depth — it counts to the full-profile stock only. ",""))</f>
        <v/>
      </c>
      <c r="U354" s="14"/>
    </row>
    <row r="355" spans="1:21" ht="15.75" customHeight="1">
      <c r="A355" s="14"/>
      <c r="B355" s="14"/>
      <c r="C355" s="14"/>
      <c r="D355" s="14"/>
      <c r="E355" s="14"/>
      <c r="F355" s="14"/>
      <c r="G355" s="14" t="str">
        <f t="shared" si="38"/>
        <v/>
      </c>
      <c r="H355" s="14"/>
      <c r="I355" s="14"/>
      <c r="J355" s="24"/>
      <c r="K355" s="24"/>
      <c r="L355" s="24"/>
      <c r="M355" s="24"/>
      <c r="N355" s="16" t="str">
        <f t="shared" si="36"/>
        <v/>
      </c>
      <c r="O355" s="16" t="str">
        <f t="shared" si="39"/>
        <v/>
      </c>
      <c r="P355" s="16" t="str">
        <f t="shared" si="40"/>
        <v/>
      </c>
      <c r="Q355" s="16" t="str">
        <f t="shared" si="41"/>
        <v/>
      </c>
      <c r="R355" s="16">
        <f t="shared" si="37"/>
        <v>0</v>
      </c>
      <c r="S355" s="16" t="str">
        <f>IF(OR($B355="",NOT(ISNUMBER($F355))),"",SUMIFS(community_cores_FS!$P$5:$P$597,community_cores_FS!$B$5:$B$597,$B355,community_cores_FS!$F$5:$F$597,"&lt;="&amp;$F355))</f>
        <v/>
      </c>
      <c r="T355" s="16" t="str">
        <f>IF(AND($A355="",$B355="",$E355=""),"",IF(AND($B355&lt;&gt;"",COUNTIF('2. Core Log'!$A$5:$A$124,$B355)=0),"Core ID not in Core Log. ","")&amp;IF(AND($A355&lt;&gt;"",COUNTIF('1. Plot &amp; Site Log'!$A$5:$A$64,$A355)=0),"Plot ID not in Plot &amp; Site Log. ","")&amp;IF(AND(ISNUMBER($E355),ISNUMBER($F355),$F355&lt;=$E355),"Bottom depth is not below top depth. ","")&amp;IF($I355="","Say which bulk-density basis the lab reported. ","")&amp;IF(AND(ISNUMBER($J355),OR($J355&lt;QC_BD_MIN,$J355&gt;QC_BD_MAX)),"Bulk density outside "&amp;QC_BD_MIN&amp;"–"&amp;QC_BD_MAX&amp;" g/cm³ for peat. Above the top of that range usually means the mineral contact has been passed. ","")&amp;IF(AND(ISNUMBER($N355),$N355&gt;QC_CARBON_PCT_MAX),"Carbon above "&amp;QC_CARBON_PCT_MAX&amp;"% — check units; this may be organic matter rather than carbon. ","")&amp;IF(AND($L355&lt;&gt;"",$M355&lt;&gt;""),"Both LOI and measured carbon given — the measured value is used. ","")&amp;IF(AND($M355="",$L355&lt;&gt;"",OM_FACTOR_IS_LOCAL&lt;&gt;"Yes"),"Carbon derived from LOI using the default factor of "&amp;CARBON_FRACTION_OM&amp;", which has not been calibrated locally. See R1. Reference. ","")&amp;IF(AND(ISNUMBER($O355),$O355=0,ISNUMBER($E355)),"Section lies entirely below the reference depth — it counts to the full-profile stock only. ",""))</f>
        <v/>
      </c>
      <c r="U355" s="14"/>
    </row>
    <row r="356" spans="1:21" ht="15.75" customHeight="1">
      <c r="A356" s="14"/>
      <c r="B356" s="14"/>
      <c r="C356" s="14"/>
      <c r="D356" s="14"/>
      <c r="E356" s="14"/>
      <c r="F356" s="14"/>
      <c r="G356" s="14" t="str">
        <f t="shared" si="38"/>
        <v/>
      </c>
      <c r="H356" s="14"/>
      <c r="I356" s="14"/>
      <c r="J356" s="24"/>
      <c r="K356" s="24"/>
      <c r="L356" s="24"/>
      <c r="M356" s="24"/>
      <c r="N356" s="16" t="str">
        <f t="shared" si="36"/>
        <v/>
      </c>
      <c r="O356" s="16" t="str">
        <f t="shared" si="39"/>
        <v/>
      </c>
      <c r="P356" s="16" t="str">
        <f t="shared" si="40"/>
        <v/>
      </c>
      <c r="Q356" s="16" t="str">
        <f t="shared" si="41"/>
        <v/>
      </c>
      <c r="R356" s="16">
        <f t="shared" si="37"/>
        <v>0</v>
      </c>
      <c r="S356" s="16" t="str">
        <f>IF(OR($B356="",NOT(ISNUMBER($F356))),"",SUMIFS(community_cores_FS!$P$5:$P$597,community_cores_FS!$B$5:$B$597,$B356,community_cores_FS!$F$5:$F$597,"&lt;="&amp;$F356))</f>
        <v/>
      </c>
      <c r="T356" s="16" t="str">
        <f>IF(AND($A356="",$B356="",$E356=""),"",IF(AND($B356&lt;&gt;"",COUNTIF('2. Core Log'!$A$5:$A$124,$B356)=0),"Core ID not in Core Log. ","")&amp;IF(AND($A356&lt;&gt;"",COUNTIF('1. Plot &amp; Site Log'!$A$5:$A$64,$A356)=0),"Plot ID not in Plot &amp; Site Log. ","")&amp;IF(AND(ISNUMBER($E356),ISNUMBER($F356),$F356&lt;=$E356),"Bottom depth is not below top depth. ","")&amp;IF($I356="","Say which bulk-density basis the lab reported. ","")&amp;IF(AND(ISNUMBER($J356),OR($J356&lt;QC_BD_MIN,$J356&gt;QC_BD_MAX)),"Bulk density outside "&amp;QC_BD_MIN&amp;"–"&amp;QC_BD_MAX&amp;" g/cm³ for peat. Above the top of that range usually means the mineral contact has been passed. ","")&amp;IF(AND(ISNUMBER($N356),$N356&gt;QC_CARBON_PCT_MAX),"Carbon above "&amp;QC_CARBON_PCT_MAX&amp;"% — check units; this may be organic matter rather than carbon. ","")&amp;IF(AND($L356&lt;&gt;"",$M356&lt;&gt;""),"Both LOI and measured carbon given — the measured value is used. ","")&amp;IF(AND($M356="",$L356&lt;&gt;"",OM_FACTOR_IS_LOCAL&lt;&gt;"Yes"),"Carbon derived from LOI using the default factor of "&amp;CARBON_FRACTION_OM&amp;", which has not been calibrated locally. See R1. Reference. ","")&amp;IF(AND(ISNUMBER($O356),$O356=0,ISNUMBER($E356)),"Section lies entirely below the reference depth — it counts to the full-profile stock only. ",""))</f>
        <v/>
      </c>
      <c r="U356" s="14"/>
    </row>
    <row r="357" spans="1:21" ht="15.75" customHeight="1">
      <c r="A357" s="14"/>
      <c r="B357" s="14"/>
      <c r="C357" s="14"/>
      <c r="D357" s="14"/>
      <c r="E357" s="14"/>
      <c r="F357" s="14"/>
      <c r="G357" s="14" t="str">
        <f t="shared" si="38"/>
        <v/>
      </c>
      <c r="H357" s="14"/>
      <c r="I357" s="14"/>
      <c r="J357" s="24"/>
      <c r="K357" s="24"/>
      <c r="L357" s="24"/>
      <c r="M357" s="24"/>
      <c r="N357" s="16" t="str">
        <f t="shared" si="36"/>
        <v/>
      </c>
      <c r="O357" s="16" t="str">
        <f t="shared" si="39"/>
        <v/>
      </c>
      <c r="P357" s="16" t="str">
        <f t="shared" si="40"/>
        <v/>
      </c>
      <c r="Q357" s="16" t="str">
        <f t="shared" si="41"/>
        <v/>
      </c>
      <c r="R357" s="16">
        <f t="shared" si="37"/>
        <v>0</v>
      </c>
      <c r="S357" s="16" t="str">
        <f>IF(OR($B357="",NOT(ISNUMBER($F357))),"",SUMIFS(community_cores_FS!$P$5:$P$597,community_cores_FS!$B$5:$B$597,$B357,community_cores_FS!$F$5:$F$597,"&lt;="&amp;$F357))</f>
        <v/>
      </c>
      <c r="T357" s="16" t="str">
        <f>IF(AND($A357="",$B357="",$E357=""),"",IF(AND($B357&lt;&gt;"",COUNTIF('2. Core Log'!$A$5:$A$124,$B357)=0),"Core ID not in Core Log. ","")&amp;IF(AND($A357&lt;&gt;"",COUNTIF('1. Plot &amp; Site Log'!$A$5:$A$64,$A357)=0),"Plot ID not in Plot &amp; Site Log. ","")&amp;IF(AND(ISNUMBER($E357),ISNUMBER($F357),$F357&lt;=$E357),"Bottom depth is not below top depth. ","")&amp;IF($I357="","Say which bulk-density basis the lab reported. ","")&amp;IF(AND(ISNUMBER($J357),OR($J357&lt;QC_BD_MIN,$J357&gt;QC_BD_MAX)),"Bulk density outside "&amp;QC_BD_MIN&amp;"–"&amp;QC_BD_MAX&amp;" g/cm³ for peat. Above the top of that range usually means the mineral contact has been passed. ","")&amp;IF(AND(ISNUMBER($N357),$N357&gt;QC_CARBON_PCT_MAX),"Carbon above "&amp;QC_CARBON_PCT_MAX&amp;"% — check units; this may be organic matter rather than carbon. ","")&amp;IF(AND($L357&lt;&gt;"",$M357&lt;&gt;""),"Both LOI and measured carbon given — the measured value is used. ","")&amp;IF(AND($M357="",$L357&lt;&gt;"",OM_FACTOR_IS_LOCAL&lt;&gt;"Yes"),"Carbon derived from LOI using the default factor of "&amp;CARBON_FRACTION_OM&amp;", which has not been calibrated locally. See R1. Reference. ","")&amp;IF(AND(ISNUMBER($O357),$O357=0,ISNUMBER($E357)),"Section lies entirely below the reference depth — it counts to the full-profile stock only. ",""))</f>
        <v/>
      </c>
      <c r="U357" s="14"/>
    </row>
    <row r="358" spans="1:21" ht="15.75" customHeight="1">
      <c r="A358" s="14"/>
      <c r="B358" s="14"/>
      <c r="C358" s="14"/>
      <c r="D358" s="14"/>
      <c r="E358" s="14"/>
      <c r="F358" s="14"/>
      <c r="G358" s="14" t="str">
        <f t="shared" si="38"/>
        <v/>
      </c>
      <c r="H358" s="14"/>
      <c r="I358" s="14"/>
      <c r="J358" s="24"/>
      <c r="K358" s="24"/>
      <c r="L358" s="24"/>
      <c r="M358" s="24"/>
      <c r="N358" s="16" t="str">
        <f t="shared" si="36"/>
        <v/>
      </c>
      <c r="O358" s="16" t="str">
        <f t="shared" si="39"/>
        <v/>
      </c>
      <c r="P358" s="16" t="str">
        <f t="shared" si="40"/>
        <v/>
      </c>
      <c r="Q358" s="16" t="str">
        <f t="shared" si="41"/>
        <v/>
      </c>
      <c r="R358" s="16">
        <f t="shared" si="37"/>
        <v>0</v>
      </c>
      <c r="S358" s="16" t="str">
        <f>IF(OR($B358="",NOT(ISNUMBER($F358))),"",SUMIFS(community_cores_FS!$P$5:$P$597,community_cores_FS!$B$5:$B$597,$B358,community_cores_FS!$F$5:$F$597,"&lt;="&amp;$F358))</f>
        <v/>
      </c>
      <c r="T358" s="16" t="str">
        <f>IF(AND($A358="",$B358="",$E358=""),"",IF(AND($B358&lt;&gt;"",COUNTIF('2. Core Log'!$A$5:$A$124,$B358)=0),"Core ID not in Core Log. ","")&amp;IF(AND($A358&lt;&gt;"",COUNTIF('1. Plot &amp; Site Log'!$A$5:$A$64,$A358)=0),"Plot ID not in Plot &amp; Site Log. ","")&amp;IF(AND(ISNUMBER($E358),ISNUMBER($F358),$F358&lt;=$E358),"Bottom depth is not below top depth. ","")&amp;IF($I358="","Say which bulk-density basis the lab reported. ","")&amp;IF(AND(ISNUMBER($J358),OR($J358&lt;QC_BD_MIN,$J358&gt;QC_BD_MAX)),"Bulk density outside "&amp;QC_BD_MIN&amp;"–"&amp;QC_BD_MAX&amp;" g/cm³ for peat. Above the top of that range usually means the mineral contact has been passed. ","")&amp;IF(AND(ISNUMBER($N358),$N358&gt;QC_CARBON_PCT_MAX),"Carbon above "&amp;QC_CARBON_PCT_MAX&amp;"% — check units; this may be organic matter rather than carbon. ","")&amp;IF(AND($L358&lt;&gt;"",$M358&lt;&gt;""),"Both LOI and measured carbon given — the measured value is used. ","")&amp;IF(AND($M358="",$L358&lt;&gt;"",OM_FACTOR_IS_LOCAL&lt;&gt;"Yes"),"Carbon derived from LOI using the default factor of "&amp;CARBON_FRACTION_OM&amp;", which has not been calibrated locally. See R1. Reference. ","")&amp;IF(AND(ISNUMBER($O358),$O358=0,ISNUMBER($E358)),"Section lies entirely below the reference depth — it counts to the full-profile stock only. ",""))</f>
        <v/>
      </c>
      <c r="U358" s="14"/>
    </row>
    <row r="359" spans="1:21" ht="15.75" customHeight="1">
      <c r="A359" s="14"/>
      <c r="B359" s="14"/>
      <c r="C359" s="14"/>
      <c r="D359" s="14"/>
      <c r="E359" s="14"/>
      <c r="F359" s="14"/>
      <c r="G359" s="14" t="str">
        <f t="shared" si="38"/>
        <v/>
      </c>
      <c r="H359" s="14"/>
      <c r="I359" s="14"/>
      <c r="J359" s="24"/>
      <c r="K359" s="24"/>
      <c r="L359" s="24"/>
      <c r="M359" s="24"/>
      <c r="N359" s="16" t="str">
        <f t="shared" si="36"/>
        <v/>
      </c>
      <c r="O359" s="16" t="str">
        <f t="shared" si="39"/>
        <v/>
      </c>
      <c r="P359" s="16" t="str">
        <f t="shared" si="40"/>
        <v/>
      </c>
      <c r="Q359" s="16" t="str">
        <f t="shared" si="41"/>
        <v/>
      </c>
      <c r="R359" s="16">
        <f t="shared" si="37"/>
        <v>0</v>
      </c>
      <c r="S359" s="16" t="str">
        <f>IF(OR($B359="",NOT(ISNUMBER($F359))),"",SUMIFS(community_cores_FS!$P$5:$P$597,community_cores_FS!$B$5:$B$597,$B359,community_cores_FS!$F$5:$F$597,"&lt;="&amp;$F359))</f>
        <v/>
      </c>
      <c r="T359" s="16" t="str">
        <f>IF(AND($A359="",$B359="",$E359=""),"",IF(AND($B359&lt;&gt;"",COUNTIF('2. Core Log'!$A$5:$A$124,$B359)=0),"Core ID not in Core Log. ","")&amp;IF(AND($A359&lt;&gt;"",COUNTIF('1. Plot &amp; Site Log'!$A$5:$A$64,$A359)=0),"Plot ID not in Plot &amp; Site Log. ","")&amp;IF(AND(ISNUMBER($E359),ISNUMBER($F359),$F359&lt;=$E359),"Bottom depth is not below top depth. ","")&amp;IF($I359="","Say which bulk-density basis the lab reported. ","")&amp;IF(AND(ISNUMBER($J359),OR($J359&lt;QC_BD_MIN,$J359&gt;QC_BD_MAX)),"Bulk density outside "&amp;QC_BD_MIN&amp;"–"&amp;QC_BD_MAX&amp;" g/cm³ for peat. Above the top of that range usually means the mineral contact has been passed. ","")&amp;IF(AND(ISNUMBER($N359),$N359&gt;QC_CARBON_PCT_MAX),"Carbon above "&amp;QC_CARBON_PCT_MAX&amp;"% — check units; this may be organic matter rather than carbon. ","")&amp;IF(AND($L359&lt;&gt;"",$M359&lt;&gt;""),"Both LOI and measured carbon given — the measured value is used. ","")&amp;IF(AND($M359="",$L359&lt;&gt;"",OM_FACTOR_IS_LOCAL&lt;&gt;"Yes"),"Carbon derived from LOI using the default factor of "&amp;CARBON_FRACTION_OM&amp;", which has not been calibrated locally. See R1. Reference. ","")&amp;IF(AND(ISNUMBER($O359),$O359=0,ISNUMBER($E359)),"Section lies entirely below the reference depth — it counts to the full-profile stock only. ",""))</f>
        <v/>
      </c>
      <c r="U359" s="14"/>
    </row>
    <row r="360" spans="1:21" ht="15.75" customHeight="1">
      <c r="A360" s="14"/>
      <c r="B360" s="14"/>
      <c r="C360" s="14"/>
      <c r="D360" s="14"/>
      <c r="E360" s="14"/>
      <c r="F360" s="14"/>
      <c r="G360" s="14" t="str">
        <f t="shared" si="38"/>
        <v/>
      </c>
      <c r="H360" s="14"/>
      <c r="I360" s="14"/>
      <c r="J360" s="24"/>
      <c r="K360" s="24"/>
      <c r="L360" s="24"/>
      <c r="M360" s="24"/>
      <c r="N360" s="16" t="str">
        <f t="shared" si="36"/>
        <v/>
      </c>
      <c r="O360" s="16" t="str">
        <f t="shared" si="39"/>
        <v/>
      </c>
      <c r="P360" s="16" t="str">
        <f t="shared" si="40"/>
        <v/>
      </c>
      <c r="Q360" s="16" t="str">
        <f t="shared" si="41"/>
        <v/>
      </c>
      <c r="R360" s="16">
        <f t="shared" si="37"/>
        <v>0</v>
      </c>
      <c r="S360" s="16" t="str">
        <f>IF(OR($B360="",NOT(ISNUMBER($F360))),"",SUMIFS(community_cores_FS!$P$5:$P$597,community_cores_FS!$B$5:$B$597,$B360,community_cores_FS!$F$5:$F$597,"&lt;="&amp;$F360))</f>
        <v/>
      </c>
      <c r="T360" s="16" t="str">
        <f>IF(AND($A360="",$B360="",$E360=""),"",IF(AND($B360&lt;&gt;"",COUNTIF('2. Core Log'!$A$5:$A$124,$B360)=0),"Core ID not in Core Log. ","")&amp;IF(AND($A360&lt;&gt;"",COUNTIF('1. Plot &amp; Site Log'!$A$5:$A$64,$A360)=0),"Plot ID not in Plot &amp; Site Log. ","")&amp;IF(AND(ISNUMBER($E360),ISNUMBER($F360),$F360&lt;=$E360),"Bottom depth is not below top depth. ","")&amp;IF($I360="","Say which bulk-density basis the lab reported. ","")&amp;IF(AND(ISNUMBER($J360),OR($J360&lt;QC_BD_MIN,$J360&gt;QC_BD_MAX)),"Bulk density outside "&amp;QC_BD_MIN&amp;"–"&amp;QC_BD_MAX&amp;" g/cm³ for peat. Above the top of that range usually means the mineral contact has been passed. ","")&amp;IF(AND(ISNUMBER($N360),$N360&gt;QC_CARBON_PCT_MAX),"Carbon above "&amp;QC_CARBON_PCT_MAX&amp;"% — check units; this may be organic matter rather than carbon. ","")&amp;IF(AND($L360&lt;&gt;"",$M360&lt;&gt;""),"Both LOI and measured carbon given — the measured value is used. ","")&amp;IF(AND($M360="",$L360&lt;&gt;"",OM_FACTOR_IS_LOCAL&lt;&gt;"Yes"),"Carbon derived from LOI using the default factor of "&amp;CARBON_FRACTION_OM&amp;", which has not been calibrated locally. See R1. Reference. ","")&amp;IF(AND(ISNUMBER($O360),$O360=0,ISNUMBER($E360)),"Section lies entirely below the reference depth — it counts to the full-profile stock only. ",""))</f>
        <v/>
      </c>
      <c r="U360" s="14"/>
    </row>
    <row r="361" spans="1:21" ht="15.75" customHeight="1">
      <c r="A361" s="14"/>
      <c r="B361" s="14"/>
      <c r="C361" s="14"/>
      <c r="D361" s="14"/>
      <c r="E361" s="14"/>
      <c r="F361" s="14"/>
      <c r="G361" s="14" t="str">
        <f t="shared" si="38"/>
        <v/>
      </c>
      <c r="H361" s="14"/>
      <c r="I361" s="14"/>
      <c r="J361" s="24"/>
      <c r="K361" s="24"/>
      <c r="L361" s="24"/>
      <c r="M361" s="24"/>
      <c r="N361" s="16" t="str">
        <f t="shared" si="36"/>
        <v/>
      </c>
      <c r="O361" s="16" t="str">
        <f t="shared" si="39"/>
        <v/>
      </c>
      <c r="P361" s="16" t="str">
        <f t="shared" si="40"/>
        <v/>
      </c>
      <c r="Q361" s="16" t="str">
        <f t="shared" si="41"/>
        <v/>
      </c>
      <c r="R361" s="16">
        <f t="shared" si="37"/>
        <v>0</v>
      </c>
      <c r="S361" s="16" t="str">
        <f>IF(OR($B361="",NOT(ISNUMBER($F361))),"",SUMIFS(community_cores_FS!$P$5:$P$597,community_cores_FS!$B$5:$B$597,$B361,community_cores_FS!$F$5:$F$597,"&lt;="&amp;$F361))</f>
        <v/>
      </c>
      <c r="T361" s="16" t="str">
        <f>IF(AND($A361="",$B361="",$E361=""),"",IF(AND($B361&lt;&gt;"",COUNTIF('2. Core Log'!$A$5:$A$124,$B361)=0),"Core ID not in Core Log. ","")&amp;IF(AND($A361&lt;&gt;"",COUNTIF('1. Plot &amp; Site Log'!$A$5:$A$64,$A361)=0),"Plot ID not in Plot &amp; Site Log. ","")&amp;IF(AND(ISNUMBER($E361),ISNUMBER($F361),$F361&lt;=$E361),"Bottom depth is not below top depth. ","")&amp;IF($I361="","Say which bulk-density basis the lab reported. ","")&amp;IF(AND(ISNUMBER($J361),OR($J361&lt;QC_BD_MIN,$J361&gt;QC_BD_MAX)),"Bulk density outside "&amp;QC_BD_MIN&amp;"–"&amp;QC_BD_MAX&amp;" g/cm³ for peat. Above the top of that range usually means the mineral contact has been passed. ","")&amp;IF(AND(ISNUMBER($N361),$N361&gt;QC_CARBON_PCT_MAX),"Carbon above "&amp;QC_CARBON_PCT_MAX&amp;"% — check units; this may be organic matter rather than carbon. ","")&amp;IF(AND($L361&lt;&gt;"",$M361&lt;&gt;""),"Both LOI and measured carbon given — the measured value is used. ","")&amp;IF(AND($M361="",$L361&lt;&gt;"",OM_FACTOR_IS_LOCAL&lt;&gt;"Yes"),"Carbon derived from LOI using the default factor of "&amp;CARBON_FRACTION_OM&amp;", which has not been calibrated locally. See R1. Reference. ","")&amp;IF(AND(ISNUMBER($O361),$O361=0,ISNUMBER($E361)),"Section lies entirely below the reference depth — it counts to the full-profile stock only. ",""))</f>
        <v/>
      </c>
      <c r="U361" s="14"/>
    </row>
    <row r="362" spans="1:21" ht="15.75" customHeight="1">
      <c r="A362" s="14"/>
      <c r="B362" s="14"/>
      <c r="C362" s="14"/>
      <c r="D362" s="14"/>
      <c r="E362" s="14"/>
      <c r="F362" s="14"/>
      <c r="G362" s="14" t="str">
        <f t="shared" si="38"/>
        <v/>
      </c>
      <c r="H362" s="14"/>
      <c r="I362" s="14"/>
      <c r="J362" s="24"/>
      <c r="K362" s="24"/>
      <c r="L362" s="24"/>
      <c r="M362" s="24"/>
      <c r="N362" s="16" t="str">
        <f t="shared" si="36"/>
        <v/>
      </c>
      <c r="O362" s="16" t="str">
        <f t="shared" si="39"/>
        <v/>
      </c>
      <c r="P362" s="16" t="str">
        <f t="shared" si="40"/>
        <v/>
      </c>
      <c r="Q362" s="16" t="str">
        <f t="shared" si="41"/>
        <v/>
      </c>
      <c r="R362" s="16">
        <f t="shared" si="37"/>
        <v>0</v>
      </c>
      <c r="S362" s="16" t="str">
        <f>IF(OR($B362="",NOT(ISNUMBER($F362))),"",SUMIFS(community_cores_FS!$P$5:$P$597,community_cores_FS!$B$5:$B$597,$B362,community_cores_FS!$F$5:$F$597,"&lt;="&amp;$F362))</f>
        <v/>
      </c>
      <c r="T362" s="16" t="str">
        <f>IF(AND($A362="",$B362="",$E362=""),"",IF(AND($B362&lt;&gt;"",COUNTIF('2. Core Log'!$A$5:$A$124,$B362)=0),"Core ID not in Core Log. ","")&amp;IF(AND($A362&lt;&gt;"",COUNTIF('1. Plot &amp; Site Log'!$A$5:$A$64,$A362)=0),"Plot ID not in Plot &amp; Site Log. ","")&amp;IF(AND(ISNUMBER($E362),ISNUMBER($F362),$F362&lt;=$E362),"Bottom depth is not below top depth. ","")&amp;IF($I362="","Say which bulk-density basis the lab reported. ","")&amp;IF(AND(ISNUMBER($J362),OR($J362&lt;QC_BD_MIN,$J362&gt;QC_BD_MAX)),"Bulk density outside "&amp;QC_BD_MIN&amp;"–"&amp;QC_BD_MAX&amp;" g/cm³ for peat. Above the top of that range usually means the mineral contact has been passed. ","")&amp;IF(AND(ISNUMBER($N362),$N362&gt;QC_CARBON_PCT_MAX),"Carbon above "&amp;QC_CARBON_PCT_MAX&amp;"% — check units; this may be organic matter rather than carbon. ","")&amp;IF(AND($L362&lt;&gt;"",$M362&lt;&gt;""),"Both LOI and measured carbon given — the measured value is used. ","")&amp;IF(AND($M362="",$L362&lt;&gt;"",OM_FACTOR_IS_LOCAL&lt;&gt;"Yes"),"Carbon derived from LOI using the default factor of "&amp;CARBON_FRACTION_OM&amp;", which has not been calibrated locally. See R1. Reference. ","")&amp;IF(AND(ISNUMBER($O362),$O362=0,ISNUMBER($E362)),"Section lies entirely below the reference depth — it counts to the full-profile stock only. ",""))</f>
        <v/>
      </c>
      <c r="U362" s="14"/>
    </row>
    <row r="363" spans="1:21" ht="15.75" customHeight="1">
      <c r="A363" s="14"/>
      <c r="B363" s="14"/>
      <c r="C363" s="14"/>
      <c r="D363" s="14"/>
      <c r="E363" s="14"/>
      <c r="F363" s="14"/>
      <c r="G363" s="14" t="str">
        <f t="shared" si="38"/>
        <v/>
      </c>
      <c r="H363" s="14"/>
      <c r="I363" s="14"/>
      <c r="J363" s="24"/>
      <c r="K363" s="24"/>
      <c r="L363" s="24"/>
      <c r="M363" s="24"/>
      <c r="N363" s="16" t="str">
        <f t="shared" si="36"/>
        <v/>
      </c>
      <c r="O363" s="16" t="str">
        <f t="shared" si="39"/>
        <v/>
      </c>
      <c r="P363" s="16" t="str">
        <f t="shared" si="40"/>
        <v/>
      </c>
      <c r="Q363" s="16" t="str">
        <f t="shared" si="41"/>
        <v/>
      </c>
      <c r="R363" s="16">
        <f t="shared" si="37"/>
        <v>0</v>
      </c>
      <c r="S363" s="16" t="str">
        <f>IF(OR($B363="",NOT(ISNUMBER($F363))),"",SUMIFS(community_cores_FS!$P$5:$P$597,community_cores_FS!$B$5:$B$597,$B363,community_cores_FS!$F$5:$F$597,"&lt;="&amp;$F363))</f>
        <v/>
      </c>
      <c r="T363" s="16" t="str">
        <f>IF(AND($A363="",$B363="",$E363=""),"",IF(AND($B363&lt;&gt;"",COUNTIF('2. Core Log'!$A$5:$A$124,$B363)=0),"Core ID not in Core Log. ","")&amp;IF(AND($A363&lt;&gt;"",COUNTIF('1. Plot &amp; Site Log'!$A$5:$A$64,$A363)=0),"Plot ID not in Plot &amp; Site Log. ","")&amp;IF(AND(ISNUMBER($E363),ISNUMBER($F363),$F363&lt;=$E363),"Bottom depth is not below top depth. ","")&amp;IF($I363="","Say which bulk-density basis the lab reported. ","")&amp;IF(AND(ISNUMBER($J363),OR($J363&lt;QC_BD_MIN,$J363&gt;QC_BD_MAX)),"Bulk density outside "&amp;QC_BD_MIN&amp;"–"&amp;QC_BD_MAX&amp;" g/cm³ for peat. Above the top of that range usually means the mineral contact has been passed. ","")&amp;IF(AND(ISNUMBER($N363),$N363&gt;QC_CARBON_PCT_MAX),"Carbon above "&amp;QC_CARBON_PCT_MAX&amp;"% — check units; this may be organic matter rather than carbon. ","")&amp;IF(AND($L363&lt;&gt;"",$M363&lt;&gt;""),"Both LOI and measured carbon given — the measured value is used. ","")&amp;IF(AND($M363="",$L363&lt;&gt;"",OM_FACTOR_IS_LOCAL&lt;&gt;"Yes"),"Carbon derived from LOI using the default factor of "&amp;CARBON_FRACTION_OM&amp;", which has not been calibrated locally. See R1. Reference. ","")&amp;IF(AND(ISNUMBER($O363),$O363=0,ISNUMBER($E363)),"Section lies entirely below the reference depth — it counts to the full-profile stock only. ",""))</f>
        <v/>
      </c>
      <c r="U363" s="14"/>
    </row>
    <row r="364" spans="1:21" ht="15.75" customHeight="1">
      <c r="A364" s="14"/>
      <c r="B364" s="14"/>
      <c r="C364" s="14"/>
      <c r="D364" s="14"/>
      <c r="E364" s="14"/>
      <c r="F364" s="14"/>
      <c r="G364" s="14" t="str">
        <f t="shared" si="38"/>
        <v/>
      </c>
      <c r="H364" s="14"/>
      <c r="I364" s="14"/>
      <c r="J364" s="24"/>
      <c r="K364" s="24"/>
      <c r="L364" s="24"/>
      <c r="M364" s="24"/>
      <c r="N364" s="16" t="str">
        <f t="shared" si="36"/>
        <v/>
      </c>
      <c r="O364" s="16" t="str">
        <f t="shared" si="39"/>
        <v/>
      </c>
      <c r="P364" s="16" t="str">
        <f t="shared" si="40"/>
        <v/>
      </c>
      <c r="Q364" s="16" t="str">
        <f t="shared" si="41"/>
        <v/>
      </c>
      <c r="R364" s="16">
        <f t="shared" si="37"/>
        <v>0</v>
      </c>
      <c r="S364" s="16" t="str">
        <f>IF(OR($B364="",NOT(ISNUMBER($F364))),"",SUMIFS(community_cores_FS!$P$5:$P$597,community_cores_FS!$B$5:$B$597,$B364,community_cores_FS!$F$5:$F$597,"&lt;="&amp;$F364))</f>
        <v/>
      </c>
      <c r="T364" s="16" t="str">
        <f>IF(AND($A364="",$B364="",$E364=""),"",IF(AND($B364&lt;&gt;"",COUNTIF('2. Core Log'!$A$5:$A$124,$B364)=0),"Core ID not in Core Log. ","")&amp;IF(AND($A364&lt;&gt;"",COUNTIF('1. Plot &amp; Site Log'!$A$5:$A$64,$A364)=0),"Plot ID not in Plot &amp; Site Log. ","")&amp;IF(AND(ISNUMBER($E364),ISNUMBER($F364),$F364&lt;=$E364),"Bottom depth is not below top depth. ","")&amp;IF($I364="","Say which bulk-density basis the lab reported. ","")&amp;IF(AND(ISNUMBER($J364),OR($J364&lt;QC_BD_MIN,$J364&gt;QC_BD_MAX)),"Bulk density outside "&amp;QC_BD_MIN&amp;"–"&amp;QC_BD_MAX&amp;" g/cm³ for peat. Above the top of that range usually means the mineral contact has been passed. ","")&amp;IF(AND(ISNUMBER($N364),$N364&gt;QC_CARBON_PCT_MAX),"Carbon above "&amp;QC_CARBON_PCT_MAX&amp;"% — check units; this may be organic matter rather than carbon. ","")&amp;IF(AND($L364&lt;&gt;"",$M364&lt;&gt;""),"Both LOI and measured carbon given — the measured value is used. ","")&amp;IF(AND($M364="",$L364&lt;&gt;"",OM_FACTOR_IS_LOCAL&lt;&gt;"Yes"),"Carbon derived from LOI using the default factor of "&amp;CARBON_FRACTION_OM&amp;", which has not been calibrated locally. See R1. Reference. ","")&amp;IF(AND(ISNUMBER($O364),$O364=0,ISNUMBER($E364)),"Section lies entirely below the reference depth — it counts to the full-profile stock only. ",""))</f>
        <v/>
      </c>
      <c r="U364" s="14"/>
    </row>
    <row r="365" spans="1:21" ht="15.75" customHeight="1">
      <c r="A365" s="14"/>
      <c r="B365" s="14"/>
      <c r="C365" s="14"/>
      <c r="D365" s="14"/>
      <c r="E365" s="14"/>
      <c r="F365" s="14"/>
      <c r="G365" s="14" t="str">
        <f t="shared" si="38"/>
        <v/>
      </c>
      <c r="H365" s="14"/>
      <c r="I365" s="14"/>
      <c r="J365" s="24"/>
      <c r="K365" s="24"/>
      <c r="L365" s="24"/>
      <c r="M365" s="24"/>
      <c r="N365" s="16" t="str">
        <f t="shared" si="36"/>
        <v/>
      </c>
      <c r="O365" s="16" t="str">
        <f t="shared" si="39"/>
        <v/>
      </c>
      <c r="P365" s="16" t="str">
        <f t="shared" si="40"/>
        <v/>
      </c>
      <c r="Q365" s="16" t="str">
        <f t="shared" si="41"/>
        <v/>
      </c>
      <c r="R365" s="16">
        <f t="shared" si="37"/>
        <v>0</v>
      </c>
      <c r="S365" s="16" t="str">
        <f>IF(OR($B365="",NOT(ISNUMBER($F365))),"",SUMIFS(community_cores_FS!$P$5:$P$597,community_cores_FS!$B$5:$B$597,$B365,community_cores_FS!$F$5:$F$597,"&lt;="&amp;$F365))</f>
        <v/>
      </c>
      <c r="T365" s="16" t="str">
        <f>IF(AND($A365="",$B365="",$E365=""),"",IF(AND($B365&lt;&gt;"",COUNTIF('2. Core Log'!$A$5:$A$124,$B365)=0),"Core ID not in Core Log. ","")&amp;IF(AND($A365&lt;&gt;"",COUNTIF('1. Plot &amp; Site Log'!$A$5:$A$64,$A365)=0),"Plot ID not in Plot &amp; Site Log. ","")&amp;IF(AND(ISNUMBER($E365),ISNUMBER($F365),$F365&lt;=$E365),"Bottom depth is not below top depth. ","")&amp;IF($I365="","Say which bulk-density basis the lab reported. ","")&amp;IF(AND(ISNUMBER($J365),OR($J365&lt;QC_BD_MIN,$J365&gt;QC_BD_MAX)),"Bulk density outside "&amp;QC_BD_MIN&amp;"–"&amp;QC_BD_MAX&amp;" g/cm³ for peat. Above the top of that range usually means the mineral contact has been passed. ","")&amp;IF(AND(ISNUMBER($N365),$N365&gt;QC_CARBON_PCT_MAX),"Carbon above "&amp;QC_CARBON_PCT_MAX&amp;"% — check units; this may be organic matter rather than carbon. ","")&amp;IF(AND($L365&lt;&gt;"",$M365&lt;&gt;""),"Both LOI and measured carbon given — the measured value is used. ","")&amp;IF(AND($M365="",$L365&lt;&gt;"",OM_FACTOR_IS_LOCAL&lt;&gt;"Yes"),"Carbon derived from LOI using the default factor of "&amp;CARBON_FRACTION_OM&amp;", which has not been calibrated locally. See R1. Reference. ","")&amp;IF(AND(ISNUMBER($O365),$O365=0,ISNUMBER($E365)),"Section lies entirely below the reference depth — it counts to the full-profile stock only. ",""))</f>
        <v/>
      </c>
      <c r="U365" s="14"/>
    </row>
    <row r="366" spans="1:21" ht="15.75" customHeight="1">
      <c r="A366" s="14"/>
      <c r="B366" s="14"/>
      <c r="C366" s="14"/>
      <c r="D366" s="14"/>
      <c r="E366" s="14"/>
      <c r="F366" s="14"/>
      <c r="G366" s="14" t="str">
        <f t="shared" si="38"/>
        <v/>
      </c>
      <c r="H366" s="14"/>
      <c r="I366" s="14"/>
      <c r="J366" s="24"/>
      <c r="K366" s="24"/>
      <c r="L366" s="24"/>
      <c r="M366" s="24"/>
      <c r="N366" s="16" t="str">
        <f t="shared" si="36"/>
        <v/>
      </c>
      <c r="O366" s="16" t="str">
        <f t="shared" si="39"/>
        <v/>
      </c>
      <c r="P366" s="16" t="str">
        <f t="shared" si="40"/>
        <v/>
      </c>
      <c r="Q366" s="16" t="str">
        <f t="shared" si="41"/>
        <v/>
      </c>
      <c r="R366" s="16">
        <f t="shared" si="37"/>
        <v>0</v>
      </c>
      <c r="S366" s="16" t="str">
        <f>IF(OR($B366="",NOT(ISNUMBER($F366))),"",SUMIFS(community_cores_FS!$P$5:$P$597,community_cores_FS!$B$5:$B$597,$B366,community_cores_FS!$F$5:$F$597,"&lt;="&amp;$F366))</f>
        <v/>
      </c>
      <c r="T366" s="16" t="str">
        <f>IF(AND($A366="",$B366="",$E366=""),"",IF(AND($B366&lt;&gt;"",COUNTIF('2. Core Log'!$A$5:$A$124,$B366)=0),"Core ID not in Core Log. ","")&amp;IF(AND($A366&lt;&gt;"",COUNTIF('1. Plot &amp; Site Log'!$A$5:$A$64,$A366)=0),"Plot ID not in Plot &amp; Site Log. ","")&amp;IF(AND(ISNUMBER($E366),ISNUMBER($F366),$F366&lt;=$E366),"Bottom depth is not below top depth. ","")&amp;IF($I366="","Say which bulk-density basis the lab reported. ","")&amp;IF(AND(ISNUMBER($J366),OR($J366&lt;QC_BD_MIN,$J366&gt;QC_BD_MAX)),"Bulk density outside "&amp;QC_BD_MIN&amp;"–"&amp;QC_BD_MAX&amp;" g/cm³ for peat. Above the top of that range usually means the mineral contact has been passed. ","")&amp;IF(AND(ISNUMBER($N366),$N366&gt;QC_CARBON_PCT_MAX),"Carbon above "&amp;QC_CARBON_PCT_MAX&amp;"% — check units; this may be organic matter rather than carbon. ","")&amp;IF(AND($L366&lt;&gt;"",$M366&lt;&gt;""),"Both LOI and measured carbon given — the measured value is used. ","")&amp;IF(AND($M366="",$L366&lt;&gt;"",OM_FACTOR_IS_LOCAL&lt;&gt;"Yes"),"Carbon derived from LOI using the default factor of "&amp;CARBON_FRACTION_OM&amp;", which has not been calibrated locally. See R1. Reference. ","")&amp;IF(AND(ISNUMBER($O366),$O366=0,ISNUMBER($E366)),"Section lies entirely below the reference depth — it counts to the full-profile stock only. ",""))</f>
        <v/>
      </c>
      <c r="U366" s="14"/>
    </row>
    <row r="367" spans="1:21" ht="15.75" customHeight="1">
      <c r="A367" s="14"/>
      <c r="B367" s="14"/>
      <c r="C367" s="14"/>
      <c r="D367" s="14"/>
      <c r="E367" s="14"/>
      <c r="F367" s="14"/>
      <c r="G367" s="14" t="str">
        <f t="shared" si="38"/>
        <v/>
      </c>
      <c r="H367" s="14"/>
      <c r="I367" s="14"/>
      <c r="J367" s="24"/>
      <c r="K367" s="24"/>
      <c r="L367" s="24"/>
      <c r="M367" s="24"/>
      <c r="N367" s="16" t="str">
        <f t="shared" si="36"/>
        <v/>
      </c>
      <c r="O367" s="16" t="str">
        <f t="shared" si="39"/>
        <v/>
      </c>
      <c r="P367" s="16" t="str">
        <f t="shared" si="40"/>
        <v/>
      </c>
      <c r="Q367" s="16" t="str">
        <f t="shared" si="41"/>
        <v/>
      </c>
      <c r="R367" s="16">
        <f t="shared" si="37"/>
        <v>0</v>
      </c>
      <c r="S367" s="16" t="str">
        <f>IF(OR($B367="",NOT(ISNUMBER($F367))),"",SUMIFS(community_cores_FS!$P$5:$P$597,community_cores_FS!$B$5:$B$597,$B367,community_cores_FS!$F$5:$F$597,"&lt;="&amp;$F367))</f>
        <v/>
      </c>
      <c r="T367" s="16" t="str">
        <f>IF(AND($A367="",$B367="",$E367=""),"",IF(AND($B367&lt;&gt;"",COUNTIF('2. Core Log'!$A$5:$A$124,$B367)=0),"Core ID not in Core Log. ","")&amp;IF(AND($A367&lt;&gt;"",COUNTIF('1. Plot &amp; Site Log'!$A$5:$A$64,$A367)=0),"Plot ID not in Plot &amp; Site Log. ","")&amp;IF(AND(ISNUMBER($E367),ISNUMBER($F367),$F367&lt;=$E367),"Bottom depth is not below top depth. ","")&amp;IF($I367="","Say which bulk-density basis the lab reported. ","")&amp;IF(AND(ISNUMBER($J367),OR($J367&lt;QC_BD_MIN,$J367&gt;QC_BD_MAX)),"Bulk density outside "&amp;QC_BD_MIN&amp;"–"&amp;QC_BD_MAX&amp;" g/cm³ for peat. Above the top of that range usually means the mineral contact has been passed. ","")&amp;IF(AND(ISNUMBER($N367),$N367&gt;QC_CARBON_PCT_MAX),"Carbon above "&amp;QC_CARBON_PCT_MAX&amp;"% — check units; this may be organic matter rather than carbon. ","")&amp;IF(AND($L367&lt;&gt;"",$M367&lt;&gt;""),"Both LOI and measured carbon given — the measured value is used. ","")&amp;IF(AND($M367="",$L367&lt;&gt;"",OM_FACTOR_IS_LOCAL&lt;&gt;"Yes"),"Carbon derived from LOI using the default factor of "&amp;CARBON_FRACTION_OM&amp;", which has not been calibrated locally. See R1. Reference. ","")&amp;IF(AND(ISNUMBER($O367),$O367=0,ISNUMBER($E367)),"Section lies entirely below the reference depth — it counts to the full-profile stock only. ",""))</f>
        <v/>
      </c>
      <c r="U367" s="14"/>
    </row>
    <row r="368" spans="1:21" ht="15.75" customHeight="1">
      <c r="A368" s="14"/>
      <c r="B368" s="14"/>
      <c r="C368" s="14"/>
      <c r="D368" s="14"/>
      <c r="E368" s="14"/>
      <c r="F368" s="14"/>
      <c r="G368" s="14" t="str">
        <f t="shared" si="38"/>
        <v/>
      </c>
      <c r="H368" s="14"/>
      <c r="I368" s="14"/>
      <c r="J368" s="24"/>
      <c r="K368" s="24"/>
      <c r="L368" s="24"/>
      <c r="M368" s="24"/>
      <c r="N368" s="16" t="str">
        <f t="shared" si="36"/>
        <v/>
      </c>
      <c r="O368" s="16" t="str">
        <f t="shared" si="39"/>
        <v/>
      </c>
      <c r="P368" s="16" t="str">
        <f t="shared" si="40"/>
        <v/>
      </c>
      <c r="Q368" s="16" t="str">
        <f t="shared" si="41"/>
        <v/>
      </c>
      <c r="R368" s="16">
        <f t="shared" si="37"/>
        <v>0</v>
      </c>
      <c r="S368" s="16" t="str">
        <f>IF(OR($B368="",NOT(ISNUMBER($F368))),"",SUMIFS(community_cores_FS!$P$5:$P$597,community_cores_FS!$B$5:$B$597,$B368,community_cores_FS!$F$5:$F$597,"&lt;="&amp;$F368))</f>
        <v/>
      </c>
      <c r="T368" s="16" t="str">
        <f>IF(AND($A368="",$B368="",$E368=""),"",IF(AND($B368&lt;&gt;"",COUNTIF('2. Core Log'!$A$5:$A$124,$B368)=0),"Core ID not in Core Log. ","")&amp;IF(AND($A368&lt;&gt;"",COUNTIF('1. Plot &amp; Site Log'!$A$5:$A$64,$A368)=0),"Plot ID not in Plot &amp; Site Log. ","")&amp;IF(AND(ISNUMBER($E368),ISNUMBER($F368),$F368&lt;=$E368),"Bottom depth is not below top depth. ","")&amp;IF($I368="","Say which bulk-density basis the lab reported. ","")&amp;IF(AND(ISNUMBER($J368),OR($J368&lt;QC_BD_MIN,$J368&gt;QC_BD_MAX)),"Bulk density outside "&amp;QC_BD_MIN&amp;"–"&amp;QC_BD_MAX&amp;" g/cm³ for peat. Above the top of that range usually means the mineral contact has been passed. ","")&amp;IF(AND(ISNUMBER($N368),$N368&gt;QC_CARBON_PCT_MAX),"Carbon above "&amp;QC_CARBON_PCT_MAX&amp;"% — check units; this may be organic matter rather than carbon. ","")&amp;IF(AND($L368&lt;&gt;"",$M368&lt;&gt;""),"Both LOI and measured carbon given — the measured value is used. ","")&amp;IF(AND($M368="",$L368&lt;&gt;"",OM_FACTOR_IS_LOCAL&lt;&gt;"Yes"),"Carbon derived from LOI using the default factor of "&amp;CARBON_FRACTION_OM&amp;", which has not been calibrated locally. See R1. Reference. ","")&amp;IF(AND(ISNUMBER($O368),$O368=0,ISNUMBER($E368)),"Section lies entirely below the reference depth — it counts to the full-profile stock only. ",""))</f>
        <v/>
      </c>
      <c r="U368" s="14"/>
    </row>
    <row r="369" spans="1:21" ht="15.75" customHeight="1">
      <c r="A369" s="14"/>
      <c r="B369" s="14"/>
      <c r="C369" s="14"/>
      <c r="D369" s="14"/>
      <c r="E369" s="14"/>
      <c r="F369" s="14"/>
      <c r="G369" s="14" t="str">
        <f t="shared" si="38"/>
        <v/>
      </c>
      <c r="H369" s="14"/>
      <c r="I369" s="14"/>
      <c r="J369" s="24"/>
      <c r="K369" s="24"/>
      <c r="L369" s="24"/>
      <c r="M369" s="24"/>
      <c r="N369" s="16" t="str">
        <f t="shared" si="36"/>
        <v/>
      </c>
      <c r="O369" s="16" t="str">
        <f t="shared" si="39"/>
        <v/>
      </c>
      <c r="P369" s="16" t="str">
        <f t="shared" si="40"/>
        <v/>
      </c>
      <c r="Q369" s="16" t="str">
        <f t="shared" si="41"/>
        <v/>
      </c>
      <c r="R369" s="16">
        <f t="shared" si="37"/>
        <v>0</v>
      </c>
      <c r="S369" s="16" t="str">
        <f>IF(OR($B369="",NOT(ISNUMBER($F369))),"",SUMIFS(community_cores_FS!$P$5:$P$597,community_cores_FS!$B$5:$B$597,$B369,community_cores_FS!$F$5:$F$597,"&lt;="&amp;$F369))</f>
        <v/>
      </c>
      <c r="T369" s="16" t="str">
        <f>IF(AND($A369="",$B369="",$E369=""),"",IF(AND($B369&lt;&gt;"",COUNTIF('2. Core Log'!$A$5:$A$124,$B369)=0),"Core ID not in Core Log. ","")&amp;IF(AND($A369&lt;&gt;"",COUNTIF('1. Plot &amp; Site Log'!$A$5:$A$64,$A369)=0),"Plot ID not in Plot &amp; Site Log. ","")&amp;IF(AND(ISNUMBER($E369),ISNUMBER($F369),$F369&lt;=$E369),"Bottom depth is not below top depth. ","")&amp;IF($I369="","Say which bulk-density basis the lab reported. ","")&amp;IF(AND(ISNUMBER($J369),OR($J369&lt;QC_BD_MIN,$J369&gt;QC_BD_MAX)),"Bulk density outside "&amp;QC_BD_MIN&amp;"–"&amp;QC_BD_MAX&amp;" g/cm³ for peat. Above the top of that range usually means the mineral contact has been passed. ","")&amp;IF(AND(ISNUMBER($N369),$N369&gt;QC_CARBON_PCT_MAX),"Carbon above "&amp;QC_CARBON_PCT_MAX&amp;"% — check units; this may be organic matter rather than carbon. ","")&amp;IF(AND($L369&lt;&gt;"",$M369&lt;&gt;""),"Both LOI and measured carbon given — the measured value is used. ","")&amp;IF(AND($M369="",$L369&lt;&gt;"",OM_FACTOR_IS_LOCAL&lt;&gt;"Yes"),"Carbon derived from LOI using the default factor of "&amp;CARBON_FRACTION_OM&amp;", which has not been calibrated locally. See R1. Reference. ","")&amp;IF(AND(ISNUMBER($O369),$O369=0,ISNUMBER($E369)),"Section lies entirely below the reference depth — it counts to the full-profile stock only. ",""))</f>
        <v/>
      </c>
      <c r="U369" s="14"/>
    </row>
    <row r="370" spans="1:21" ht="15.75" customHeight="1">
      <c r="A370" s="14"/>
      <c r="B370" s="14"/>
      <c r="C370" s="14"/>
      <c r="D370" s="14"/>
      <c r="E370" s="14"/>
      <c r="F370" s="14"/>
      <c r="G370" s="14" t="str">
        <f t="shared" si="38"/>
        <v/>
      </c>
      <c r="H370" s="14"/>
      <c r="I370" s="14"/>
      <c r="J370" s="24"/>
      <c r="K370" s="24"/>
      <c r="L370" s="24"/>
      <c r="M370" s="24"/>
      <c r="N370" s="16" t="str">
        <f t="shared" si="36"/>
        <v/>
      </c>
      <c r="O370" s="16" t="str">
        <f t="shared" si="39"/>
        <v/>
      </c>
      <c r="P370" s="16" t="str">
        <f t="shared" si="40"/>
        <v/>
      </c>
      <c r="Q370" s="16" t="str">
        <f t="shared" si="41"/>
        <v/>
      </c>
      <c r="R370" s="16">
        <f t="shared" si="37"/>
        <v>0</v>
      </c>
      <c r="S370" s="16" t="str">
        <f>IF(OR($B370="",NOT(ISNUMBER($F370))),"",SUMIFS(community_cores_FS!$P$5:$P$597,community_cores_FS!$B$5:$B$597,$B370,community_cores_FS!$F$5:$F$597,"&lt;="&amp;$F370))</f>
        <v/>
      </c>
      <c r="T370" s="16" t="str">
        <f>IF(AND($A370="",$B370="",$E370=""),"",IF(AND($B370&lt;&gt;"",COUNTIF('2. Core Log'!$A$5:$A$124,$B370)=0),"Core ID not in Core Log. ","")&amp;IF(AND($A370&lt;&gt;"",COUNTIF('1. Plot &amp; Site Log'!$A$5:$A$64,$A370)=0),"Plot ID not in Plot &amp; Site Log. ","")&amp;IF(AND(ISNUMBER($E370),ISNUMBER($F370),$F370&lt;=$E370),"Bottom depth is not below top depth. ","")&amp;IF($I370="","Say which bulk-density basis the lab reported. ","")&amp;IF(AND(ISNUMBER($J370),OR($J370&lt;QC_BD_MIN,$J370&gt;QC_BD_MAX)),"Bulk density outside "&amp;QC_BD_MIN&amp;"–"&amp;QC_BD_MAX&amp;" g/cm³ for peat. Above the top of that range usually means the mineral contact has been passed. ","")&amp;IF(AND(ISNUMBER($N370),$N370&gt;QC_CARBON_PCT_MAX),"Carbon above "&amp;QC_CARBON_PCT_MAX&amp;"% — check units; this may be organic matter rather than carbon. ","")&amp;IF(AND($L370&lt;&gt;"",$M370&lt;&gt;""),"Both LOI and measured carbon given — the measured value is used. ","")&amp;IF(AND($M370="",$L370&lt;&gt;"",OM_FACTOR_IS_LOCAL&lt;&gt;"Yes"),"Carbon derived from LOI using the default factor of "&amp;CARBON_FRACTION_OM&amp;", which has not been calibrated locally. See R1. Reference. ","")&amp;IF(AND(ISNUMBER($O370),$O370=0,ISNUMBER($E370)),"Section lies entirely below the reference depth — it counts to the full-profile stock only. ",""))</f>
        <v/>
      </c>
      <c r="U370" s="14"/>
    </row>
    <row r="371" spans="1:21" ht="15.75" customHeight="1">
      <c r="A371" s="14"/>
      <c r="B371" s="14"/>
      <c r="C371" s="14"/>
      <c r="D371" s="14"/>
      <c r="E371" s="14"/>
      <c r="F371" s="14"/>
      <c r="G371" s="14" t="str">
        <f t="shared" si="38"/>
        <v/>
      </c>
      <c r="H371" s="14"/>
      <c r="I371" s="14"/>
      <c r="J371" s="24"/>
      <c r="K371" s="24"/>
      <c r="L371" s="24"/>
      <c r="M371" s="24"/>
      <c r="N371" s="16" t="str">
        <f t="shared" si="36"/>
        <v/>
      </c>
      <c r="O371" s="16" t="str">
        <f t="shared" si="39"/>
        <v/>
      </c>
      <c r="P371" s="16" t="str">
        <f t="shared" si="40"/>
        <v/>
      </c>
      <c r="Q371" s="16" t="str">
        <f t="shared" si="41"/>
        <v/>
      </c>
      <c r="R371" s="16">
        <f t="shared" si="37"/>
        <v>0</v>
      </c>
      <c r="S371" s="16" t="str">
        <f>IF(OR($B371="",NOT(ISNUMBER($F371))),"",SUMIFS(community_cores_FS!$P$5:$P$597,community_cores_FS!$B$5:$B$597,$B371,community_cores_FS!$F$5:$F$597,"&lt;="&amp;$F371))</f>
        <v/>
      </c>
      <c r="T371" s="16" t="str">
        <f>IF(AND($A371="",$B371="",$E371=""),"",IF(AND($B371&lt;&gt;"",COUNTIF('2. Core Log'!$A$5:$A$124,$B371)=0),"Core ID not in Core Log. ","")&amp;IF(AND($A371&lt;&gt;"",COUNTIF('1. Plot &amp; Site Log'!$A$5:$A$64,$A371)=0),"Plot ID not in Plot &amp; Site Log. ","")&amp;IF(AND(ISNUMBER($E371),ISNUMBER($F371),$F371&lt;=$E371),"Bottom depth is not below top depth. ","")&amp;IF($I371="","Say which bulk-density basis the lab reported. ","")&amp;IF(AND(ISNUMBER($J371),OR($J371&lt;QC_BD_MIN,$J371&gt;QC_BD_MAX)),"Bulk density outside "&amp;QC_BD_MIN&amp;"–"&amp;QC_BD_MAX&amp;" g/cm³ for peat. Above the top of that range usually means the mineral contact has been passed. ","")&amp;IF(AND(ISNUMBER($N371),$N371&gt;QC_CARBON_PCT_MAX),"Carbon above "&amp;QC_CARBON_PCT_MAX&amp;"% — check units; this may be organic matter rather than carbon. ","")&amp;IF(AND($L371&lt;&gt;"",$M371&lt;&gt;""),"Both LOI and measured carbon given — the measured value is used. ","")&amp;IF(AND($M371="",$L371&lt;&gt;"",OM_FACTOR_IS_LOCAL&lt;&gt;"Yes"),"Carbon derived from LOI using the default factor of "&amp;CARBON_FRACTION_OM&amp;", which has not been calibrated locally. See R1. Reference. ","")&amp;IF(AND(ISNUMBER($O371),$O371=0,ISNUMBER($E371)),"Section lies entirely below the reference depth — it counts to the full-profile stock only. ",""))</f>
        <v/>
      </c>
      <c r="U371" s="14"/>
    </row>
    <row r="372" spans="1:21" ht="15.75" customHeight="1">
      <c r="A372" s="14"/>
      <c r="B372" s="14"/>
      <c r="C372" s="14"/>
      <c r="D372" s="14"/>
      <c r="E372" s="14"/>
      <c r="F372" s="14"/>
      <c r="G372" s="14" t="str">
        <f t="shared" si="38"/>
        <v/>
      </c>
      <c r="H372" s="14"/>
      <c r="I372" s="14"/>
      <c r="J372" s="24"/>
      <c r="K372" s="24"/>
      <c r="L372" s="24"/>
      <c r="M372" s="24"/>
      <c r="N372" s="16" t="str">
        <f t="shared" si="36"/>
        <v/>
      </c>
      <c r="O372" s="16" t="str">
        <f t="shared" si="39"/>
        <v/>
      </c>
      <c r="P372" s="16" t="str">
        <f t="shared" si="40"/>
        <v/>
      </c>
      <c r="Q372" s="16" t="str">
        <f t="shared" si="41"/>
        <v/>
      </c>
      <c r="R372" s="16">
        <f t="shared" si="37"/>
        <v>0</v>
      </c>
      <c r="S372" s="16" t="str">
        <f>IF(OR($B372="",NOT(ISNUMBER($F372))),"",SUMIFS(community_cores_FS!$P$5:$P$597,community_cores_FS!$B$5:$B$597,$B372,community_cores_FS!$F$5:$F$597,"&lt;="&amp;$F372))</f>
        <v/>
      </c>
      <c r="T372" s="16" t="str">
        <f>IF(AND($A372="",$B372="",$E372=""),"",IF(AND($B372&lt;&gt;"",COUNTIF('2. Core Log'!$A$5:$A$124,$B372)=0),"Core ID not in Core Log. ","")&amp;IF(AND($A372&lt;&gt;"",COUNTIF('1. Plot &amp; Site Log'!$A$5:$A$64,$A372)=0),"Plot ID not in Plot &amp; Site Log. ","")&amp;IF(AND(ISNUMBER($E372),ISNUMBER($F372),$F372&lt;=$E372),"Bottom depth is not below top depth. ","")&amp;IF($I372="","Say which bulk-density basis the lab reported. ","")&amp;IF(AND(ISNUMBER($J372),OR($J372&lt;QC_BD_MIN,$J372&gt;QC_BD_MAX)),"Bulk density outside "&amp;QC_BD_MIN&amp;"–"&amp;QC_BD_MAX&amp;" g/cm³ for peat. Above the top of that range usually means the mineral contact has been passed. ","")&amp;IF(AND(ISNUMBER($N372),$N372&gt;QC_CARBON_PCT_MAX),"Carbon above "&amp;QC_CARBON_PCT_MAX&amp;"% — check units; this may be organic matter rather than carbon. ","")&amp;IF(AND($L372&lt;&gt;"",$M372&lt;&gt;""),"Both LOI and measured carbon given — the measured value is used. ","")&amp;IF(AND($M372="",$L372&lt;&gt;"",OM_FACTOR_IS_LOCAL&lt;&gt;"Yes"),"Carbon derived from LOI using the default factor of "&amp;CARBON_FRACTION_OM&amp;", which has not been calibrated locally. See R1. Reference. ","")&amp;IF(AND(ISNUMBER($O372),$O372=0,ISNUMBER($E372)),"Section lies entirely below the reference depth — it counts to the full-profile stock only. ",""))</f>
        <v/>
      </c>
      <c r="U372" s="14"/>
    </row>
    <row r="373" spans="1:21" ht="15.75" customHeight="1">
      <c r="A373" s="14"/>
      <c r="B373" s="14"/>
      <c r="C373" s="14"/>
      <c r="D373" s="14"/>
      <c r="E373" s="14"/>
      <c r="F373" s="14"/>
      <c r="G373" s="14" t="str">
        <f t="shared" si="38"/>
        <v/>
      </c>
      <c r="H373" s="14"/>
      <c r="I373" s="14"/>
      <c r="J373" s="24"/>
      <c r="K373" s="24"/>
      <c r="L373" s="24"/>
      <c r="M373" s="24"/>
      <c r="N373" s="16" t="str">
        <f t="shared" si="36"/>
        <v/>
      </c>
      <c r="O373" s="16" t="str">
        <f t="shared" si="39"/>
        <v/>
      </c>
      <c r="P373" s="16" t="str">
        <f t="shared" si="40"/>
        <v/>
      </c>
      <c r="Q373" s="16" t="str">
        <f t="shared" si="41"/>
        <v/>
      </c>
      <c r="R373" s="16">
        <f t="shared" si="37"/>
        <v>0</v>
      </c>
      <c r="S373" s="16" t="str">
        <f>IF(OR($B373="",NOT(ISNUMBER($F373))),"",SUMIFS(community_cores_FS!$P$5:$P$597,community_cores_FS!$B$5:$B$597,$B373,community_cores_FS!$F$5:$F$597,"&lt;="&amp;$F373))</f>
        <v/>
      </c>
      <c r="T373" s="16" t="str">
        <f>IF(AND($A373="",$B373="",$E373=""),"",IF(AND($B373&lt;&gt;"",COUNTIF('2. Core Log'!$A$5:$A$124,$B373)=0),"Core ID not in Core Log. ","")&amp;IF(AND($A373&lt;&gt;"",COUNTIF('1. Plot &amp; Site Log'!$A$5:$A$64,$A373)=0),"Plot ID not in Plot &amp; Site Log. ","")&amp;IF(AND(ISNUMBER($E373),ISNUMBER($F373),$F373&lt;=$E373),"Bottom depth is not below top depth. ","")&amp;IF($I373="","Say which bulk-density basis the lab reported. ","")&amp;IF(AND(ISNUMBER($J373),OR($J373&lt;QC_BD_MIN,$J373&gt;QC_BD_MAX)),"Bulk density outside "&amp;QC_BD_MIN&amp;"–"&amp;QC_BD_MAX&amp;" g/cm³ for peat. Above the top of that range usually means the mineral contact has been passed. ","")&amp;IF(AND(ISNUMBER($N373),$N373&gt;QC_CARBON_PCT_MAX),"Carbon above "&amp;QC_CARBON_PCT_MAX&amp;"% — check units; this may be organic matter rather than carbon. ","")&amp;IF(AND($L373&lt;&gt;"",$M373&lt;&gt;""),"Both LOI and measured carbon given — the measured value is used. ","")&amp;IF(AND($M373="",$L373&lt;&gt;"",OM_FACTOR_IS_LOCAL&lt;&gt;"Yes"),"Carbon derived from LOI using the default factor of "&amp;CARBON_FRACTION_OM&amp;", which has not been calibrated locally. See R1. Reference. ","")&amp;IF(AND(ISNUMBER($O373),$O373=0,ISNUMBER($E373)),"Section lies entirely below the reference depth — it counts to the full-profile stock only. ",""))</f>
        <v/>
      </c>
      <c r="U373" s="14"/>
    </row>
    <row r="374" spans="1:21" ht="15.75" customHeight="1">
      <c r="A374" s="14"/>
      <c r="B374" s="14"/>
      <c r="C374" s="14"/>
      <c r="D374" s="14"/>
      <c r="E374" s="14"/>
      <c r="F374" s="14"/>
      <c r="G374" s="14" t="str">
        <f t="shared" si="38"/>
        <v/>
      </c>
      <c r="H374" s="14"/>
      <c r="I374" s="14"/>
      <c r="J374" s="24"/>
      <c r="K374" s="24"/>
      <c r="L374" s="24"/>
      <c r="M374" s="24"/>
      <c r="N374" s="16" t="str">
        <f t="shared" si="36"/>
        <v/>
      </c>
      <c r="O374" s="16" t="str">
        <f t="shared" si="39"/>
        <v/>
      </c>
      <c r="P374" s="16" t="str">
        <f t="shared" si="40"/>
        <v/>
      </c>
      <c r="Q374" s="16" t="str">
        <f t="shared" si="41"/>
        <v/>
      </c>
      <c r="R374" s="16">
        <f t="shared" si="37"/>
        <v>0</v>
      </c>
      <c r="S374" s="16" t="str">
        <f>IF(OR($B374="",NOT(ISNUMBER($F374))),"",SUMIFS(community_cores_FS!$P$5:$P$597,community_cores_FS!$B$5:$B$597,$B374,community_cores_FS!$F$5:$F$597,"&lt;="&amp;$F374))</f>
        <v/>
      </c>
      <c r="T374" s="16" t="str">
        <f>IF(AND($A374="",$B374="",$E374=""),"",IF(AND($B374&lt;&gt;"",COUNTIF('2. Core Log'!$A$5:$A$124,$B374)=0),"Core ID not in Core Log. ","")&amp;IF(AND($A374&lt;&gt;"",COUNTIF('1. Plot &amp; Site Log'!$A$5:$A$64,$A374)=0),"Plot ID not in Plot &amp; Site Log. ","")&amp;IF(AND(ISNUMBER($E374),ISNUMBER($F374),$F374&lt;=$E374),"Bottom depth is not below top depth. ","")&amp;IF($I374="","Say which bulk-density basis the lab reported. ","")&amp;IF(AND(ISNUMBER($J374),OR($J374&lt;QC_BD_MIN,$J374&gt;QC_BD_MAX)),"Bulk density outside "&amp;QC_BD_MIN&amp;"–"&amp;QC_BD_MAX&amp;" g/cm³ for peat. Above the top of that range usually means the mineral contact has been passed. ","")&amp;IF(AND(ISNUMBER($N374),$N374&gt;QC_CARBON_PCT_MAX),"Carbon above "&amp;QC_CARBON_PCT_MAX&amp;"% — check units; this may be organic matter rather than carbon. ","")&amp;IF(AND($L374&lt;&gt;"",$M374&lt;&gt;""),"Both LOI and measured carbon given — the measured value is used. ","")&amp;IF(AND($M374="",$L374&lt;&gt;"",OM_FACTOR_IS_LOCAL&lt;&gt;"Yes"),"Carbon derived from LOI using the default factor of "&amp;CARBON_FRACTION_OM&amp;", which has not been calibrated locally. See R1. Reference. ","")&amp;IF(AND(ISNUMBER($O374),$O374=0,ISNUMBER($E374)),"Section lies entirely below the reference depth — it counts to the full-profile stock only. ",""))</f>
        <v/>
      </c>
      <c r="U374" s="14"/>
    </row>
    <row r="375" spans="1:21" ht="15.75" customHeight="1">
      <c r="A375" s="14"/>
      <c r="B375" s="14"/>
      <c r="C375" s="14"/>
      <c r="D375" s="14"/>
      <c r="E375" s="14"/>
      <c r="F375" s="14"/>
      <c r="G375" s="14" t="str">
        <f t="shared" si="38"/>
        <v/>
      </c>
      <c r="H375" s="14"/>
      <c r="I375" s="14"/>
      <c r="J375" s="24"/>
      <c r="K375" s="24"/>
      <c r="L375" s="24"/>
      <c r="M375" s="24"/>
      <c r="N375" s="16" t="str">
        <f t="shared" si="36"/>
        <v/>
      </c>
      <c r="O375" s="16" t="str">
        <f t="shared" si="39"/>
        <v/>
      </c>
      <c r="P375" s="16" t="str">
        <f t="shared" si="40"/>
        <v/>
      </c>
      <c r="Q375" s="16" t="str">
        <f t="shared" si="41"/>
        <v/>
      </c>
      <c r="R375" s="16">
        <f t="shared" si="37"/>
        <v>0</v>
      </c>
      <c r="S375" s="16" t="str">
        <f>IF(OR($B375="",NOT(ISNUMBER($F375))),"",SUMIFS(community_cores_FS!$P$5:$P$597,community_cores_FS!$B$5:$B$597,$B375,community_cores_FS!$F$5:$F$597,"&lt;="&amp;$F375))</f>
        <v/>
      </c>
      <c r="T375" s="16" t="str">
        <f>IF(AND($A375="",$B375="",$E375=""),"",IF(AND($B375&lt;&gt;"",COUNTIF('2. Core Log'!$A$5:$A$124,$B375)=0),"Core ID not in Core Log. ","")&amp;IF(AND($A375&lt;&gt;"",COUNTIF('1. Plot &amp; Site Log'!$A$5:$A$64,$A375)=0),"Plot ID not in Plot &amp; Site Log. ","")&amp;IF(AND(ISNUMBER($E375),ISNUMBER($F375),$F375&lt;=$E375),"Bottom depth is not below top depth. ","")&amp;IF($I375="","Say which bulk-density basis the lab reported. ","")&amp;IF(AND(ISNUMBER($J375),OR($J375&lt;QC_BD_MIN,$J375&gt;QC_BD_MAX)),"Bulk density outside "&amp;QC_BD_MIN&amp;"–"&amp;QC_BD_MAX&amp;" g/cm³ for peat. Above the top of that range usually means the mineral contact has been passed. ","")&amp;IF(AND(ISNUMBER($N375),$N375&gt;QC_CARBON_PCT_MAX),"Carbon above "&amp;QC_CARBON_PCT_MAX&amp;"% — check units; this may be organic matter rather than carbon. ","")&amp;IF(AND($L375&lt;&gt;"",$M375&lt;&gt;""),"Both LOI and measured carbon given — the measured value is used. ","")&amp;IF(AND($M375="",$L375&lt;&gt;"",OM_FACTOR_IS_LOCAL&lt;&gt;"Yes"),"Carbon derived from LOI using the default factor of "&amp;CARBON_FRACTION_OM&amp;", which has not been calibrated locally. See R1. Reference. ","")&amp;IF(AND(ISNUMBER($O375),$O375=0,ISNUMBER($E375)),"Section lies entirely below the reference depth — it counts to the full-profile stock only. ",""))</f>
        <v/>
      </c>
      <c r="U375" s="14"/>
    </row>
    <row r="376" spans="1:21" ht="15.75" customHeight="1">
      <c r="A376" s="14"/>
      <c r="B376" s="14"/>
      <c r="C376" s="14"/>
      <c r="D376" s="14"/>
      <c r="E376" s="14"/>
      <c r="F376" s="14"/>
      <c r="G376" s="14" t="str">
        <f t="shared" si="38"/>
        <v/>
      </c>
      <c r="H376" s="14"/>
      <c r="I376" s="14"/>
      <c r="J376" s="24"/>
      <c r="K376" s="24"/>
      <c r="L376" s="24"/>
      <c r="M376" s="24"/>
      <c r="N376" s="16" t="str">
        <f t="shared" si="36"/>
        <v/>
      </c>
      <c r="O376" s="16" t="str">
        <f t="shared" si="39"/>
        <v/>
      </c>
      <c r="P376" s="16" t="str">
        <f t="shared" si="40"/>
        <v/>
      </c>
      <c r="Q376" s="16" t="str">
        <f t="shared" si="41"/>
        <v/>
      </c>
      <c r="R376" s="16">
        <f t="shared" si="37"/>
        <v>0</v>
      </c>
      <c r="S376" s="16" t="str">
        <f>IF(OR($B376="",NOT(ISNUMBER($F376))),"",SUMIFS(community_cores_FS!$P$5:$P$597,community_cores_FS!$B$5:$B$597,$B376,community_cores_FS!$F$5:$F$597,"&lt;="&amp;$F376))</f>
        <v/>
      </c>
      <c r="T376" s="16" t="str">
        <f>IF(AND($A376="",$B376="",$E376=""),"",IF(AND($B376&lt;&gt;"",COUNTIF('2. Core Log'!$A$5:$A$124,$B376)=0),"Core ID not in Core Log. ","")&amp;IF(AND($A376&lt;&gt;"",COUNTIF('1. Plot &amp; Site Log'!$A$5:$A$64,$A376)=0),"Plot ID not in Plot &amp; Site Log. ","")&amp;IF(AND(ISNUMBER($E376),ISNUMBER($F376),$F376&lt;=$E376),"Bottom depth is not below top depth. ","")&amp;IF($I376="","Say which bulk-density basis the lab reported. ","")&amp;IF(AND(ISNUMBER($J376),OR($J376&lt;QC_BD_MIN,$J376&gt;QC_BD_MAX)),"Bulk density outside "&amp;QC_BD_MIN&amp;"–"&amp;QC_BD_MAX&amp;" g/cm³ for peat. Above the top of that range usually means the mineral contact has been passed. ","")&amp;IF(AND(ISNUMBER($N376),$N376&gt;QC_CARBON_PCT_MAX),"Carbon above "&amp;QC_CARBON_PCT_MAX&amp;"% — check units; this may be organic matter rather than carbon. ","")&amp;IF(AND($L376&lt;&gt;"",$M376&lt;&gt;""),"Both LOI and measured carbon given — the measured value is used. ","")&amp;IF(AND($M376="",$L376&lt;&gt;"",OM_FACTOR_IS_LOCAL&lt;&gt;"Yes"),"Carbon derived from LOI using the default factor of "&amp;CARBON_FRACTION_OM&amp;", which has not been calibrated locally. See R1. Reference. ","")&amp;IF(AND(ISNUMBER($O376),$O376=0,ISNUMBER($E376)),"Section lies entirely below the reference depth — it counts to the full-profile stock only. ",""))</f>
        <v/>
      </c>
      <c r="U376" s="14"/>
    </row>
    <row r="377" spans="1:21" ht="15.75" customHeight="1">
      <c r="A377" s="14"/>
      <c r="B377" s="14"/>
      <c r="C377" s="14"/>
      <c r="D377" s="14"/>
      <c r="E377" s="14"/>
      <c r="F377" s="14"/>
      <c r="G377" s="14" t="str">
        <f t="shared" si="38"/>
        <v/>
      </c>
      <c r="H377" s="14"/>
      <c r="I377" s="14"/>
      <c r="J377" s="24"/>
      <c r="K377" s="24"/>
      <c r="L377" s="24"/>
      <c r="M377" s="24"/>
      <c r="N377" s="16" t="str">
        <f t="shared" si="36"/>
        <v/>
      </c>
      <c r="O377" s="16" t="str">
        <f t="shared" si="39"/>
        <v/>
      </c>
      <c r="P377" s="16" t="str">
        <f t="shared" si="40"/>
        <v/>
      </c>
      <c r="Q377" s="16" t="str">
        <f t="shared" si="41"/>
        <v/>
      </c>
      <c r="R377" s="16">
        <f t="shared" si="37"/>
        <v>0</v>
      </c>
      <c r="S377" s="16" t="str">
        <f>IF(OR($B377="",NOT(ISNUMBER($F377))),"",SUMIFS(community_cores_FS!$P$5:$P$597,community_cores_FS!$B$5:$B$597,$B377,community_cores_FS!$F$5:$F$597,"&lt;="&amp;$F377))</f>
        <v/>
      </c>
      <c r="T377" s="16" t="str">
        <f>IF(AND($A377="",$B377="",$E377=""),"",IF(AND($B377&lt;&gt;"",COUNTIF('2. Core Log'!$A$5:$A$124,$B377)=0),"Core ID not in Core Log. ","")&amp;IF(AND($A377&lt;&gt;"",COUNTIF('1. Plot &amp; Site Log'!$A$5:$A$64,$A377)=0),"Plot ID not in Plot &amp; Site Log. ","")&amp;IF(AND(ISNUMBER($E377),ISNUMBER($F377),$F377&lt;=$E377),"Bottom depth is not below top depth. ","")&amp;IF($I377="","Say which bulk-density basis the lab reported. ","")&amp;IF(AND(ISNUMBER($J377),OR($J377&lt;QC_BD_MIN,$J377&gt;QC_BD_MAX)),"Bulk density outside "&amp;QC_BD_MIN&amp;"–"&amp;QC_BD_MAX&amp;" g/cm³ for peat. Above the top of that range usually means the mineral contact has been passed. ","")&amp;IF(AND(ISNUMBER($N377),$N377&gt;QC_CARBON_PCT_MAX),"Carbon above "&amp;QC_CARBON_PCT_MAX&amp;"% — check units; this may be organic matter rather than carbon. ","")&amp;IF(AND($L377&lt;&gt;"",$M377&lt;&gt;""),"Both LOI and measured carbon given — the measured value is used. ","")&amp;IF(AND($M377="",$L377&lt;&gt;"",OM_FACTOR_IS_LOCAL&lt;&gt;"Yes"),"Carbon derived from LOI using the default factor of "&amp;CARBON_FRACTION_OM&amp;", which has not been calibrated locally. See R1. Reference. ","")&amp;IF(AND(ISNUMBER($O377),$O377=0,ISNUMBER($E377)),"Section lies entirely below the reference depth — it counts to the full-profile stock only. ",""))</f>
        <v/>
      </c>
      <c r="U377" s="14"/>
    </row>
    <row r="378" spans="1:21" ht="15.75" customHeight="1">
      <c r="A378" s="14"/>
      <c r="B378" s="14"/>
      <c r="C378" s="14"/>
      <c r="D378" s="14"/>
      <c r="E378" s="14"/>
      <c r="F378" s="14"/>
      <c r="G378" s="14" t="str">
        <f t="shared" si="38"/>
        <v/>
      </c>
      <c r="H378" s="14"/>
      <c r="I378" s="14"/>
      <c r="J378" s="24"/>
      <c r="K378" s="24"/>
      <c r="L378" s="24"/>
      <c r="M378" s="24"/>
      <c r="N378" s="16" t="str">
        <f t="shared" si="36"/>
        <v/>
      </c>
      <c r="O378" s="16" t="str">
        <f t="shared" si="39"/>
        <v/>
      </c>
      <c r="P378" s="16" t="str">
        <f t="shared" si="40"/>
        <v/>
      </c>
      <c r="Q378" s="16" t="str">
        <f t="shared" si="41"/>
        <v/>
      </c>
      <c r="R378" s="16">
        <f t="shared" si="37"/>
        <v>0</v>
      </c>
      <c r="S378" s="16" t="str">
        <f>IF(OR($B378="",NOT(ISNUMBER($F378))),"",SUMIFS(community_cores_FS!$P$5:$P$597,community_cores_FS!$B$5:$B$597,$B378,community_cores_FS!$F$5:$F$597,"&lt;="&amp;$F378))</f>
        <v/>
      </c>
      <c r="T378" s="16" t="str">
        <f>IF(AND($A378="",$B378="",$E378=""),"",IF(AND($B378&lt;&gt;"",COUNTIF('2. Core Log'!$A$5:$A$124,$B378)=0),"Core ID not in Core Log. ","")&amp;IF(AND($A378&lt;&gt;"",COUNTIF('1. Plot &amp; Site Log'!$A$5:$A$64,$A378)=0),"Plot ID not in Plot &amp; Site Log. ","")&amp;IF(AND(ISNUMBER($E378),ISNUMBER($F378),$F378&lt;=$E378),"Bottom depth is not below top depth. ","")&amp;IF($I378="","Say which bulk-density basis the lab reported. ","")&amp;IF(AND(ISNUMBER($J378),OR($J378&lt;QC_BD_MIN,$J378&gt;QC_BD_MAX)),"Bulk density outside "&amp;QC_BD_MIN&amp;"–"&amp;QC_BD_MAX&amp;" g/cm³ for peat. Above the top of that range usually means the mineral contact has been passed. ","")&amp;IF(AND(ISNUMBER($N378),$N378&gt;QC_CARBON_PCT_MAX),"Carbon above "&amp;QC_CARBON_PCT_MAX&amp;"% — check units; this may be organic matter rather than carbon. ","")&amp;IF(AND($L378&lt;&gt;"",$M378&lt;&gt;""),"Both LOI and measured carbon given — the measured value is used. ","")&amp;IF(AND($M378="",$L378&lt;&gt;"",OM_FACTOR_IS_LOCAL&lt;&gt;"Yes"),"Carbon derived from LOI using the default factor of "&amp;CARBON_FRACTION_OM&amp;", which has not been calibrated locally. See R1. Reference. ","")&amp;IF(AND(ISNUMBER($O378),$O378=0,ISNUMBER($E378)),"Section lies entirely below the reference depth — it counts to the full-profile stock only. ",""))</f>
        <v/>
      </c>
      <c r="U378" s="14"/>
    </row>
    <row r="379" spans="1:21" ht="15.75" customHeight="1">
      <c r="A379" s="14"/>
      <c r="B379" s="14"/>
      <c r="C379" s="14"/>
      <c r="D379" s="14"/>
      <c r="E379" s="14"/>
      <c r="F379" s="14"/>
      <c r="G379" s="14" t="str">
        <f t="shared" si="38"/>
        <v/>
      </c>
      <c r="H379" s="14"/>
      <c r="I379" s="14"/>
      <c r="J379" s="24"/>
      <c r="K379" s="24"/>
      <c r="L379" s="24"/>
      <c r="M379" s="24"/>
      <c r="N379" s="16" t="str">
        <f t="shared" si="36"/>
        <v/>
      </c>
      <c r="O379" s="16" t="str">
        <f t="shared" si="39"/>
        <v/>
      </c>
      <c r="P379" s="16" t="str">
        <f t="shared" si="40"/>
        <v/>
      </c>
      <c r="Q379" s="16" t="str">
        <f t="shared" si="41"/>
        <v/>
      </c>
      <c r="R379" s="16">
        <f t="shared" si="37"/>
        <v>0</v>
      </c>
      <c r="S379" s="16" t="str">
        <f>IF(OR($B379="",NOT(ISNUMBER($F379))),"",SUMIFS(community_cores_FS!$P$5:$P$597,community_cores_FS!$B$5:$B$597,$B379,community_cores_FS!$F$5:$F$597,"&lt;="&amp;$F379))</f>
        <v/>
      </c>
      <c r="T379" s="16" t="str">
        <f>IF(AND($A379="",$B379="",$E379=""),"",IF(AND($B379&lt;&gt;"",COUNTIF('2. Core Log'!$A$5:$A$124,$B379)=0),"Core ID not in Core Log. ","")&amp;IF(AND($A379&lt;&gt;"",COUNTIF('1. Plot &amp; Site Log'!$A$5:$A$64,$A379)=0),"Plot ID not in Plot &amp; Site Log. ","")&amp;IF(AND(ISNUMBER($E379),ISNUMBER($F379),$F379&lt;=$E379),"Bottom depth is not below top depth. ","")&amp;IF($I379="","Say which bulk-density basis the lab reported. ","")&amp;IF(AND(ISNUMBER($J379),OR($J379&lt;QC_BD_MIN,$J379&gt;QC_BD_MAX)),"Bulk density outside "&amp;QC_BD_MIN&amp;"–"&amp;QC_BD_MAX&amp;" g/cm³ for peat. Above the top of that range usually means the mineral contact has been passed. ","")&amp;IF(AND(ISNUMBER($N379),$N379&gt;QC_CARBON_PCT_MAX),"Carbon above "&amp;QC_CARBON_PCT_MAX&amp;"% — check units; this may be organic matter rather than carbon. ","")&amp;IF(AND($L379&lt;&gt;"",$M379&lt;&gt;""),"Both LOI and measured carbon given — the measured value is used. ","")&amp;IF(AND($M379="",$L379&lt;&gt;"",OM_FACTOR_IS_LOCAL&lt;&gt;"Yes"),"Carbon derived from LOI using the default factor of "&amp;CARBON_FRACTION_OM&amp;", which has not been calibrated locally. See R1. Reference. ","")&amp;IF(AND(ISNUMBER($O379),$O379=0,ISNUMBER($E379)),"Section lies entirely below the reference depth — it counts to the full-profile stock only. ",""))</f>
        <v/>
      </c>
      <c r="U379" s="14"/>
    </row>
    <row r="380" spans="1:21" ht="15.75" customHeight="1">
      <c r="A380" s="14"/>
      <c r="B380" s="14"/>
      <c r="C380" s="14"/>
      <c r="D380" s="14"/>
      <c r="E380" s="14"/>
      <c r="F380" s="14"/>
      <c r="G380" s="14" t="str">
        <f t="shared" si="38"/>
        <v/>
      </c>
      <c r="H380" s="14"/>
      <c r="I380" s="14"/>
      <c r="J380" s="24"/>
      <c r="K380" s="24"/>
      <c r="L380" s="24"/>
      <c r="M380" s="24"/>
      <c r="N380" s="16" t="str">
        <f t="shared" si="36"/>
        <v/>
      </c>
      <c r="O380" s="16" t="str">
        <f t="shared" si="39"/>
        <v/>
      </c>
      <c r="P380" s="16" t="str">
        <f t="shared" si="40"/>
        <v/>
      </c>
      <c r="Q380" s="16" t="str">
        <f t="shared" si="41"/>
        <v/>
      </c>
      <c r="R380" s="16">
        <f t="shared" si="37"/>
        <v>0</v>
      </c>
      <c r="S380" s="16" t="str">
        <f>IF(OR($B380="",NOT(ISNUMBER($F380))),"",SUMIFS(community_cores_FS!$P$5:$P$597,community_cores_FS!$B$5:$B$597,$B380,community_cores_FS!$F$5:$F$597,"&lt;="&amp;$F380))</f>
        <v/>
      </c>
      <c r="T380" s="16" t="str">
        <f>IF(AND($A380="",$B380="",$E380=""),"",IF(AND($B380&lt;&gt;"",COUNTIF('2. Core Log'!$A$5:$A$124,$B380)=0),"Core ID not in Core Log. ","")&amp;IF(AND($A380&lt;&gt;"",COUNTIF('1. Plot &amp; Site Log'!$A$5:$A$64,$A380)=0),"Plot ID not in Plot &amp; Site Log. ","")&amp;IF(AND(ISNUMBER($E380),ISNUMBER($F380),$F380&lt;=$E380),"Bottom depth is not below top depth. ","")&amp;IF($I380="","Say which bulk-density basis the lab reported. ","")&amp;IF(AND(ISNUMBER($J380),OR($J380&lt;QC_BD_MIN,$J380&gt;QC_BD_MAX)),"Bulk density outside "&amp;QC_BD_MIN&amp;"–"&amp;QC_BD_MAX&amp;" g/cm³ for peat. Above the top of that range usually means the mineral contact has been passed. ","")&amp;IF(AND(ISNUMBER($N380),$N380&gt;QC_CARBON_PCT_MAX),"Carbon above "&amp;QC_CARBON_PCT_MAX&amp;"% — check units; this may be organic matter rather than carbon. ","")&amp;IF(AND($L380&lt;&gt;"",$M380&lt;&gt;""),"Both LOI and measured carbon given — the measured value is used. ","")&amp;IF(AND($M380="",$L380&lt;&gt;"",OM_FACTOR_IS_LOCAL&lt;&gt;"Yes"),"Carbon derived from LOI using the default factor of "&amp;CARBON_FRACTION_OM&amp;", which has not been calibrated locally. See R1. Reference. ","")&amp;IF(AND(ISNUMBER($O380),$O380=0,ISNUMBER($E380)),"Section lies entirely below the reference depth — it counts to the full-profile stock only. ",""))</f>
        <v/>
      </c>
      <c r="U380" s="14"/>
    </row>
    <row r="381" spans="1:21" ht="15.75" customHeight="1">
      <c r="A381" s="14"/>
      <c r="B381" s="14"/>
      <c r="C381" s="14"/>
      <c r="D381" s="14"/>
      <c r="E381" s="14"/>
      <c r="F381" s="14"/>
      <c r="G381" s="14" t="str">
        <f t="shared" si="38"/>
        <v/>
      </c>
      <c r="H381" s="14"/>
      <c r="I381" s="14"/>
      <c r="J381" s="24"/>
      <c r="K381" s="24"/>
      <c r="L381" s="24"/>
      <c r="M381" s="24"/>
      <c r="N381" s="16" t="str">
        <f t="shared" si="36"/>
        <v/>
      </c>
      <c r="O381" s="16" t="str">
        <f t="shared" si="39"/>
        <v/>
      </c>
      <c r="P381" s="16" t="str">
        <f t="shared" si="40"/>
        <v/>
      </c>
      <c r="Q381" s="16" t="str">
        <f t="shared" si="41"/>
        <v/>
      </c>
      <c r="R381" s="16">
        <f t="shared" si="37"/>
        <v>0</v>
      </c>
      <c r="S381" s="16" t="str">
        <f>IF(OR($B381="",NOT(ISNUMBER($F381))),"",SUMIFS(community_cores_FS!$P$5:$P$597,community_cores_FS!$B$5:$B$597,$B381,community_cores_FS!$F$5:$F$597,"&lt;="&amp;$F381))</f>
        <v/>
      </c>
      <c r="T381" s="16" t="str">
        <f>IF(AND($A381="",$B381="",$E381=""),"",IF(AND($B381&lt;&gt;"",COUNTIF('2. Core Log'!$A$5:$A$124,$B381)=0),"Core ID not in Core Log. ","")&amp;IF(AND($A381&lt;&gt;"",COUNTIF('1. Plot &amp; Site Log'!$A$5:$A$64,$A381)=0),"Plot ID not in Plot &amp; Site Log. ","")&amp;IF(AND(ISNUMBER($E381),ISNUMBER($F381),$F381&lt;=$E381),"Bottom depth is not below top depth. ","")&amp;IF($I381="","Say which bulk-density basis the lab reported. ","")&amp;IF(AND(ISNUMBER($J381),OR($J381&lt;QC_BD_MIN,$J381&gt;QC_BD_MAX)),"Bulk density outside "&amp;QC_BD_MIN&amp;"–"&amp;QC_BD_MAX&amp;" g/cm³ for peat. Above the top of that range usually means the mineral contact has been passed. ","")&amp;IF(AND(ISNUMBER($N381),$N381&gt;QC_CARBON_PCT_MAX),"Carbon above "&amp;QC_CARBON_PCT_MAX&amp;"% — check units; this may be organic matter rather than carbon. ","")&amp;IF(AND($L381&lt;&gt;"",$M381&lt;&gt;""),"Both LOI and measured carbon given — the measured value is used. ","")&amp;IF(AND($M381="",$L381&lt;&gt;"",OM_FACTOR_IS_LOCAL&lt;&gt;"Yes"),"Carbon derived from LOI using the default factor of "&amp;CARBON_FRACTION_OM&amp;", which has not been calibrated locally. See R1. Reference. ","")&amp;IF(AND(ISNUMBER($O381),$O381=0,ISNUMBER($E381)),"Section lies entirely below the reference depth — it counts to the full-profile stock only. ",""))</f>
        <v/>
      </c>
      <c r="U381" s="14"/>
    </row>
    <row r="382" spans="1:21" ht="15.75" customHeight="1">
      <c r="A382" s="14"/>
      <c r="B382" s="14"/>
      <c r="C382" s="14"/>
      <c r="D382" s="14"/>
      <c r="E382" s="14"/>
      <c r="F382" s="14"/>
      <c r="G382" s="14" t="str">
        <f t="shared" si="38"/>
        <v/>
      </c>
      <c r="H382" s="14"/>
      <c r="I382" s="14"/>
      <c r="J382" s="24"/>
      <c r="K382" s="24"/>
      <c r="L382" s="24"/>
      <c r="M382" s="24"/>
      <c r="N382" s="16" t="str">
        <f t="shared" ref="N382:N445" si="42">IF($M382&lt;&gt;"",$M382,IF($L382&lt;&gt;"",$L382*CARBON_FRACTION_OM,""))</f>
        <v/>
      </c>
      <c r="O382" s="16" t="str">
        <f t="shared" si="39"/>
        <v/>
      </c>
      <c r="P382" s="16" t="str">
        <f t="shared" si="40"/>
        <v/>
      </c>
      <c r="Q382" s="16" t="str">
        <f t="shared" si="41"/>
        <v/>
      </c>
      <c r="R382" s="16">
        <f t="shared" ref="R382:R445" si="43">IF(OR(NOT(ISNUMBER($P382)),NOT(ISNUMBER($G382)),$G382=0),0,$P382/$G382)</f>
        <v>0</v>
      </c>
      <c r="S382" s="16" t="str">
        <f>IF(OR($B382="",NOT(ISNUMBER($F382))),"",SUMIFS(community_cores_FS!$P$5:$P$597,community_cores_FS!$B$5:$B$597,$B382,community_cores_FS!$F$5:$F$597,"&lt;="&amp;$F382))</f>
        <v/>
      </c>
      <c r="T382" s="16" t="str">
        <f>IF(AND($A382="",$B382="",$E382=""),"",IF(AND($B382&lt;&gt;"",COUNTIF('2. Core Log'!$A$5:$A$124,$B382)=0),"Core ID not in Core Log. ","")&amp;IF(AND($A382&lt;&gt;"",COUNTIF('1. Plot &amp; Site Log'!$A$5:$A$64,$A382)=0),"Plot ID not in Plot &amp; Site Log. ","")&amp;IF(AND(ISNUMBER($E382),ISNUMBER($F382),$F382&lt;=$E382),"Bottom depth is not below top depth. ","")&amp;IF($I382="","Say which bulk-density basis the lab reported. ","")&amp;IF(AND(ISNUMBER($J382),OR($J382&lt;QC_BD_MIN,$J382&gt;QC_BD_MAX)),"Bulk density outside "&amp;QC_BD_MIN&amp;"–"&amp;QC_BD_MAX&amp;" g/cm³ for peat. Above the top of that range usually means the mineral contact has been passed. ","")&amp;IF(AND(ISNUMBER($N382),$N382&gt;QC_CARBON_PCT_MAX),"Carbon above "&amp;QC_CARBON_PCT_MAX&amp;"% — check units; this may be organic matter rather than carbon. ","")&amp;IF(AND($L382&lt;&gt;"",$M382&lt;&gt;""),"Both LOI and measured carbon given — the measured value is used. ","")&amp;IF(AND($M382="",$L382&lt;&gt;"",OM_FACTOR_IS_LOCAL&lt;&gt;"Yes"),"Carbon derived from LOI using the default factor of "&amp;CARBON_FRACTION_OM&amp;", which has not been calibrated locally. See R1. Reference. ","")&amp;IF(AND(ISNUMBER($O382),$O382=0,ISNUMBER($E382)),"Section lies entirely below the reference depth — it counts to the full-profile stock only. ",""))</f>
        <v/>
      </c>
      <c r="U382" s="14"/>
    </row>
    <row r="383" spans="1:21" ht="15.75" customHeight="1">
      <c r="A383" s="14"/>
      <c r="B383" s="14"/>
      <c r="C383" s="14"/>
      <c r="D383" s="14"/>
      <c r="E383" s="14"/>
      <c r="F383" s="14"/>
      <c r="G383" s="14" t="str">
        <f t="shared" si="38"/>
        <v/>
      </c>
      <c r="H383" s="14"/>
      <c r="I383" s="14"/>
      <c r="J383" s="24"/>
      <c r="K383" s="24"/>
      <c r="L383" s="24"/>
      <c r="M383" s="24"/>
      <c r="N383" s="16" t="str">
        <f t="shared" si="42"/>
        <v/>
      </c>
      <c r="O383" s="16" t="str">
        <f t="shared" si="39"/>
        <v/>
      </c>
      <c r="P383" s="16" t="str">
        <f t="shared" si="40"/>
        <v/>
      </c>
      <c r="Q383" s="16" t="str">
        <f t="shared" si="41"/>
        <v/>
      </c>
      <c r="R383" s="16">
        <f t="shared" si="43"/>
        <v>0</v>
      </c>
      <c r="S383" s="16" t="str">
        <f>IF(OR($B383="",NOT(ISNUMBER($F383))),"",SUMIFS(community_cores_FS!$P$5:$P$597,community_cores_FS!$B$5:$B$597,$B383,community_cores_FS!$F$5:$F$597,"&lt;="&amp;$F383))</f>
        <v/>
      </c>
      <c r="T383" s="16" t="str">
        <f>IF(AND($A383="",$B383="",$E383=""),"",IF(AND($B383&lt;&gt;"",COUNTIF('2. Core Log'!$A$5:$A$124,$B383)=0),"Core ID not in Core Log. ","")&amp;IF(AND($A383&lt;&gt;"",COUNTIF('1. Plot &amp; Site Log'!$A$5:$A$64,$A383)=0),"Plot ID not in Plot &amp; Site Log. ","")&amp;IF(AND(ISNUMBER($E383),ISNUMBER($F383),$F383&lt;=$E383),"Bottom depth is not below top depth. ","")&amp;IF($I383="","Say which bulk-density basis the lab reported. ","")&amp;IF(AND(ISNUMBER($J383),OR($J383&lt;QC_BD_MIN,$J383&gt;QC_BD_MAX)),"Bulk density outside "&amp;QC_BD_MIN&amp;"–"&amp;QC_BD_MAX&amp;" g/cm³ for peat. Above the top of that range usually means the mineral contact has been passed. ","")&amp;IF(AND(ISNUMBER($N383),$N383&gt;QC_CARBON_PCT_MAX),"Carbon above "&amp;QC_CARBON_PCT_MAX&amp;"% — check units; this may be organic matter rather than carbon. ","")&amp;IF(AND($L383&lt;&gt;"",$M383&lt;&gt;""),"Both LOI and measured carbon given — the measured value is used. ","")&amp;IF(AND($M383="",$L383&lt;&gt;"",OM_FACTOR_IS_LOCAL&lt;&gt;"Yes"),"Carbon derived from LOI using the default factor of "&amp;CARBON_FRACTION_OM&amp;", which has not been calibrated locally. See R1. Reference. ","")&amp;IF(AND(ISNUMBER($O383),$O383=0,ISNUMBER($E383)),"Section lies entirely below the reference depth — it counts to the full-profile stock only. ",""))</f>
        <v/>
      </c>
      <c r="U383" s="14"/>
    </row>
    <row r="384" spans="1:21" ht="15.75" customHeight="1">
      <c r="A384" s="14"/>
      <c r="B384" s="14"/>
      <c r="C384" s="14"/>
      <c r="D384" s="14"/>
      <c r="E384" s="14"/>
      <c r="F384" s="14"/>
      <c r="G384" s="14" t="str">
        <f t="shared" si="38"/>
        <v/>
      </c>
      <c r="H384" s="14"/>
      <c r="I384" s="14"/>
      <c r="J384" s="24"/>
      <c r="K384" s="24"/>
      <c r="L384" s="24"/>
      <c r="M384" s="24"/>
      <c r="N384" s="16" t="str">
        <f t="shared" si="42"/>
        <v/>
      </c>
      <c r="O384" s="16" t="str">
        <f t="shared" si="39"/>
        <v/>
      </c>
      <c r="P384" s="16" t="str">
        <f t="shared" si="40"/>
        <v/>
      </c>
      <c r="Q384" s="16" t="str">
        <f t="shared" si="41"/>
        <v/>
      </c>
      <c r="R384" s="16">
        <f t="shared" si="43"/>
        <v>0</v>
      </c>
      <c r="S384" s="16" t="str">
        <f>IF(OR($B384="",NOT(ISNUMBER($F384))),"",SUMIFS(community_cores_FS!$P$5:$P$597,community_cores_FS!$B$5:$B$597,$B384,community_cores_FS!$F$5:$F$597,"&lt;="&amp;$F384))</f>
        <v/>
      </c>
      <c r="T384" s="16" t="str">
        <f>IF(AND($A384="",$B384="",$E384=""),"",IF(AND($B384&lt;&gt;"",COUNTIF('2. Core Log'!$A$5:$A$124,$B384)=0),"Core ID not in Core Log. ","")&amp;IF(AND($A384&lt;&gt;"",COUNTIF('1. Plot &amp; Site Log'!$A$5:$A$64,$A384)=0),"Plot ID not in Plot &amp; Site Log. ","")&amp;IF(AND(ISNUMBER($E384),ISNUMBER($F384),$F384&lt;=$E384),"Bottom depth is not below top depth. ","")&amp;IF($I384="","Say which bulk-density basis the lab reported. ","")&amp;IF(AND(ISNUMBER($J384),OR($J384&lt;QC_BD_MIN,$J384&gt;QC_BD_MAX)),"Bulk density outside "&amp;QC_BD_MIN&amp;"–"&amp;QC_BD_MAX&amp;" g/cm³ for peat. Above the top of that range usually means the mineral contact has been passed. ","")&amp;IF(AND(ISNUMBER($N384),$N384&gt;QC_CARBON_PCT_MAX),"Carbon above "&amp;QC_CARBON_PCT_MAX&amp;"% — check units; this may be organic matter rather than carbon. ","")&amp;IF(AND($L384&lt;&gt;"",$M384&lt;&gt;""),"Both LOI and measured carbon given — the measured value is used. ","")&amp;IF(AND($M384="",$L384&lt;&gt;"",OM_FACTOR_IS_LOCAL&lt;&gt;"Yes"),"Carbon derived from LOI using the default factor of "&amp;CARBON_FRACTION_OM&amp;", which has not been calibrated locally. See R1. Reference. ","")&amp;IF(AND(ISNUMBER($O384),$O384=0,ISNUMBER($E384)),"Section lies entirely below the reference depth — it counts to the full-profile stock only. ",""))</f>
        <v/>
      </c>
      <c r="U384" s="14"/>
    </row>
    <row r="385" spans="1:21" ht="15.75" customHeight="1">
      <c r="A385" s="14"/>
      <c r="B385" s="14"/>
      <c r="C385" s="14"/>
      <c r="D385" s="14"/>
      <c r="E385" s="14"/>
      <c r="F385" s="14"/>
      <c r="G385" s="14" t="str">
        <f t="shared" si="38"/>
        <v/>
      </c>
      <c r="H385" s="14"/>
      <c r="I385" s="14"/>
      <c r="J385" s="24"/>
      <c r="K385" s="24"/>
      <c r="L385" s="24"/>
      <c r="M385" s="24"/>
      <c r="N385" s="16" t="str">
        <f t="shared" si="42"/>
        <v/>
      </c>
      <c r="O385" s="16" t="str">
        <f t="shared" si="39"/>
        <v/>
      </c>
      <c r="P385" s="16" t="str">
        <f t="shared" si="40"/>
        <v/>
      </c>
      <c r="Q385" s="16" t="str">
        <f t="shared" si="41"/>
        <v/>
      </c>
      <c r="R385" s="16">
        <f t="shared" si="43"/>
        <v>0</v>
      </c>
      <c r="S385" s="16" t="str">
        <f>IF(OR($B385="",NOT(ISNUMBER($F385))),"",SUMIFS(community_cores_FS!$P$5:$P$597,community_cores_FS!$B$5:$B$597,$B385,community_cores_FS!$F$5:$F$597,"&lt;="&amp;$F385))</f>
        <v/>
      </c>
      <c r="T385" s="16" t="str">
        <f>IF(AND($A385="",$B385="",$E385=""),"",IF(AND($B385&lt;&gt;"",COUNTIF('2. Core Log'!$A$5:$A$124,$B385)=0),"Core ID not in Core Log. ","")&amp;IF(AND($A385&lt;&gt;"",COUNTIF('1. Plot &amp; Site Log'!$A$5:$A$64,$A385)=0),"Plot ID not in Plot &amp; Site Log. ","")&amp;IF(AND(ISNUMBER($E385),ISNUMBER($F385),$F385&lt;=$E385),"Bottom depth is not below top depth. ","")&amp;IF($I385="","Say which bulk-density basis the lab reported. ","")&amp;IF(AND(ISNUMBER($J385),OR($J385&lt;QC_BD_MIN,$J385&gt;QC_BD_MAX)),"Bulk density outside "&amp;QC_BD_MIN&amp;"–"&amp;QC_BD_MAX&amp;" g/cm³ for peat. Above the top of that range usually means the mineral contact has been passed. ","")&amp;IF(AND(ISNUMBER($N385),$N385&gt;QC_CARBON_PCT_MAX),"Carbon above "&amp;QC_CARBON_PCT_MAX&amp;"% — check units; this may be organic matter rather than carbon. ","")&amp;IF(AND($L385&lt;&gt;"",$M385&lt;&gt;""),"Both LOI and measured carbon given — the measured value is used. ","")&amp;IF(AND($M385="",$L385&lt;&gt;"",OM_FACTOR_IS_LOCAL&lt;&gt;"Yes"),"Carbon derived from LOI using the default factor of "&amp;CARBON_FRACTION_OM&amp;", which has not been calibrated locally. See R1. Reference. ","")&amp;IF(AND(ISNUMBER($O385),$O385=0,ISNUMBER($E385)),"Section lies entirely below the reference depth — it counts to the full-profile stock only. ",""))</f>
        <v/>
      </c>
      <c r="U385" s="14"/>
    </row>
    <row r="386" spans="1:21" ht="15.75" customHeight="1">
      <c r="A386" s="14"/>
      <c r="B386" s="14"/>
      <c r="C386" s="14"/>
      <c r="D386" s="14"/>
      <c r="E386" s="14"/>
      <c r="F386" s="14"/>
      <c r="G386" s="14" t="str">
        <f t="shared" si="38"/>
        <v/>
      </c>
      <c r="H386" s="14"/>
      <c r="I386" s="14"/>
      <c r="J386" s="24"/>
      <c r="K386" s="24"/>
      <c r="L386" s="24"/>
      <c r="M386" s="24"/>
      <c r="N386" s="16" t="str">
        <f t="shared" si="42"/>
        <v/>
      </c>
      <c r="O386" s="16" t="str">
        <f t="shared" si="39"/>
        <v/>
      </c>
      <c r="P386" s="16" t="str">
        <f t="shared" si="40"/>
        <v/>
      </c>
      <c r="Q386" s="16" t="str">
        <f t="shared" si="41"/>
        <v/>
      </c>
      <c r="R386" s="16">
        <f t="shared" si="43"/>
        <v>0</v>
      </c>
      <c r="S386" s="16" t="str">
        <f>IF(OR($B386="",NOT(ISNUMBER($F386))),"",SUMIFS(community_cores_FS!$P$5:$P$597,community_cores_FS!$B$5:$B$597,$B386,community_cores_FS!$F$5:$F$597,"&lt;="&amp;$F386))</f>
        <v/>
      </c>
      <c r="T386" s="16" t="str">
        <f>IF(AND($A386="",$B386="",$E386=""),"",IF(AND($B386&lt;&gt;"",COUNTIF('2. Core Log'!$A$5:$A$124,$B386)=0),"Core ID not in Core Log. ","")&amp;IF(AND($A386&lt;&gt;"",COUNTIF('1. Plot &amp; Site Log'!$A$5:$A$64,$A386)=0),"Plot ID not in Plot &amp; Site Log. ","")&amp;IF(AND(ISNUMBER($E386),ISNUMBER($F386),$F386&lt;=$E386),"Bottom depth is not below top depth. ","")&amp;IF($I386="","Say which bulk-density basis the lab reported. ","")&amp;IF(AND(ISNUMBER($J386),OR($J386&lt;QC_BD_MIN,$J386&gt;QC_BD_MAX)),"Bulk density outside "&amp;QC_BD_MIN&amp;"–"&amp;QC_BD_MAX&amp;" g/cm³ for peat. Above the top of that range usually means the mineral contact has been passed. ","")&amp;IF(AND(ISNUMBER($N386),$N386&gt;QC_CARBON_PCT_MAX),"Carbon above "&amp;QC_CARBON_PCT_MAX&amp;"% — check units; this may be organic matter rather than carbon. ","")&amp;IF(AND($L386&lt;&gt;"",$M386&lt;&gt;""),"Both LOI and measured carbon given — the measured value is used. ","")&amp;IF(AND($M386="",$L386&lt;&gt;"",OM_FACTOR_IS_LOCAL&lt;&gt;"Yes"),"Carbon derived from LOI using the default factor of "&amp;CARBON_FRACTION_OM&amp;", which has not been calibrated locally. See R1. Reference. ","")&amp;IF(AND(ISNUMBER($O386),$O386=0,ISNUMBER($E386)),"Section lies entirely below the reference depth — it counts to the full-profile stock only. ",""))</f>
        <v/>
      </c>
      <c r="U386" s="14"/>
    </row>
    <row r="387" spans="1:21" ht="15.75" customHeight="1">
      <c r="A387" s="14"/>
      <c r="B387" s="14"/>
      <c r="C387" s="14"/>
      <c r="D387" s="14"/>
      <c r="E387" s="14"/>
      <c r="F387" s="14"/>
      <c r="G387" s="14" t="str">
        <f t="shared" si="38"/>
        <v/>
      </c>
      <c r="H387" s="14"/>
      <c r="I387" s="14"/>
      <c r="J387" s="24"/>
      <c r="K387" s="24"/>
      <c r="L387" s="24"/>
      <c r="M387" s="24"/>
      <c r="N387" s="16" t="str">
        <f t="shared" si="42"/>
        <v/>
      </c>
      <c r="O387" s="16" t="str">
        <f t="shared" si="39"/>
        <v/>
      </c>
      <c r="P387" s="16" t="str">
        <f t="shared" si="40"/>
        <v/>
      </c>
      <c r="Q387" s="16" t="str">
        <f t="shared" si="41"/>
        <v/>
      </c>
      <c r="R387" s="16">
        <f t="shared" si="43"/>
        <v>0</v>
      </c>
      <c r="S387" s="16" t="str">
        <f>IF(OR($B387="",NOT(ISNUMBER($F387))),"",SUMIFS(community_cores_FS!$P$5:$P$597,community_cores_FS!$B$5:$B$597,$B387,community_cores_FS!$F$5:$F$597,"&lt;="&amp;$F387))</f>
        <v/>
      </c>
      <c r="T387" s="16" t="str">
        <f>IF(AND($A387="",$B387="",$E387=""),"",IF(AND($B387&lt;&gt;"",COUNTIF('2. Core Log'!$A$5:$A$124,$B387)=0),"Core ID not in Core Log. ","")&amp;IF(AND($A387&lt;&gt;"",COUNTIF('1. Plot &amp; Site Log'!$A$5:$A$64,$A387)=0),"Plot ID not in Plot &amp; Site Log. ","")&amp;IF(AND(ISNUMBER($E387),ISNUMBER($F387),$F387&lt;=$E387),"Bottom depth is not below top depth. ","")&amp;IF($I387="","Say which bulk-density basis the lab reported. ","")&amp;IF(AND(ISNUMBER($J387),OR($J387&lt;QC_BD_MIN,$J387&gt;QC_BD_MAX)),"Bulk density outside "&amp;QC_BD_MIN&amp;"–"&amp;QC_BD_MAX&amp;" g/cm³ for peat. Above the top of that range usually means the mineral contact has been passed. ","")&amp;IF(AND(ISNUMBER($N387),$N387&gt;QC_CARBON_PCT_MAX),"Carbon above "&amp;QC_CARBON_PCT_MAX&amp;"% — check units; this may be organic matter rather than carbon. ","")&amp;IF(AND($L387&lt;&gt;"",$M387&lt;&gt;""),"Both LOI and measured carbon given — the measured value is used. ","")&amp;IF(AND($M387="",$L387&lt;&gt;"",OM_FACTOR_IS_LOCAL&lt;&gt;"Yes"),"Carbon derived from LOI using the default factor of "&amp;CARBON_FRACTION_OM&amp;", which has not been calibrated locally. See R1. Reference. ","")&amp;IF(AND(ISNUMBER($O387),$O387=0,ISNUMBER($E387)),"Section lies entirely below the reference depth — it counts to the full-profile stock only. ",""))</f>
        <v/>
      </c>
      <c r="U387" s="14"/>
    </row>
    <row r="388" spans="1:21" ht="15.75" customHeight="1">
      <c r="A388" s="14"/>
      <c r="B388" s="14"/>
      <c r="C388" s="14"/>
      <c r="D388" s="14"/>
      <c r="E388" s="14"/>
      <c r="F388" s="14"/>
      <c r="G388" s="14" t="str">
        <f t="shared" si="38"/>
        <v/>
      </c>
      <c r="H388" s="14"/>
      <c r="I388" s="14"/>
      <c r="J388" s="24"/>
      <c r="K388" s="24"/>
      <c r="L388" s="24"/>
      <c r="M388" s="24"/>
      <c r="N388" s="16" t="str">
        <f t="shared" si="42"/>
        <v/>
      </c>
      <c r="O388" s="16" t="str">
        <f t="shared" si="39"/>
        <v/>
      </c>
      <c r="P388" s="16" t="str">
        <f t="shared" si="40"/>
        <v/>
      </c>
      <c r="Q388" s="16" t="str">
        <f t="shared" si="41"/>
        <v/>
      </c>
      <c r="R388" s="16">
        <f t="shared" si="43"/>
        <v>0</v>
      </c>
      <c r="S388" s="16" t="str">
        <f>IF(OR($B388="",NOT(ISNUMBER($F388))),"",SUMIFS(community_cores_FS!$P$5:$P$597,community_cores_FS!$B$5:$B$597,$B388,community_cores_FS!$F$5:$F$597,"&lt;="&amp;$F388))</f>
        <v/>
      </c>
      <c r="T388" s="16" t="str">
        <f>IF(AND($A388="",$B388="",$E388=""),"",IF(AND($B388&lt;&gt;"",COUNTIF('2. Core Log'!$A$5:$A$124,$B388)=0),"Core ID not in Core Log. ","")&amp;IF(AND($A388&lt;&gt;"",COUNTIF('1. Plot &amp; Site Log'!$A$5:$A$64,$A388)=0),"Plot ID not in Plot &amp; Site Log. ","")&amp;IF(AND(ISNUMBER($E388),ISNUMBER($F388),$F388&lt;=$E388),"Bottom depth is not below top depth. ","")&amp;IF($I388="","Say which bulk-density basis the lab reported. ","")&amp;IF(AND(ISNUMBER($J388),OR($J388&lt;QC_BD_MIN,$J388&gt;QC_BD_MAX)),"Bulk density outside "&amp;QC_BD_MIN&amp;"–"&amp;QC_BD_MAX&amp;" g/cm³ for peat. Above the top of that range usually means the mineral contact has been passed. ","")&amp;IF(AND(ISNUMBER($N388),$N388&gt;QC_CARBON_PCT_MAX),"Carbon above "&amp;QC_CARBON_PCT_MAX&amp;"% — check units; this may be organic matter rather than carbon. ","")&amp;IF(AND($L388&lt;&gt;"",$M388&lt;&gt;""),"Both LOI and measured carbon given — the measured value is used. ","")&amp;IF(AND($M388="",$L388&lt;&gt;"",OM_FACTOR_IS_LOCAL&lt;&gt;"Yes"),"Carbon derived from LOI using the default factor of "&amp;CARBON_FRACTION_OM&amp;", which has not been calibrated locally. See R1. Reference. ","")&amp;IF(AND(ISNUMBER($O388),$O388=0,ISNUMBER($E388)),"Section lies entirely below the reference depth — it counts to the full-profile stock only. ",""))</f>
        <v/>
      </c>
      <c r="U388" s="14"/>
    </row>
    <row r="389" spans="1:21" ht="15.75" customHeight="1">
      <c r="A389" s="14"/>
      <c r="B389" s="14"/>
      <c r="C389" s="14"/>
      <c r="D389" s="14"/>
      <c r="E389" s="14"/>
      <c r="F389" s="14"/>
      <c r="G389" s="14" t="str">
        <f t="shared" si="38"/>
        <v/>
      </c>
      <c r="H389" s="14"/>
      <c r="I389" s="14"/>
      <c r="J389" s="24"/>
      <c r="K389" s="24"/>
      <c r="L389" s="24"/>
      <c r="M389" s="24"/>
      <c r="N389" s="16" t="str">
        <f t="shared" si="42"/>
        <v/>
      </c>
      <c r="O389" s="16" t="str">
        <f t="shared" si="39"/>
        <v/>
      </c>
      <c r="P389" s="16" t="str">
        <f t="shared" si="40"/>
        <v/>
      </c>
      <c r="Q389" s="16" t="str">
        <f t="shared" si="41"/>
        <v/>
      </c>
      <c r="R389" s="16">
        <f t="shared" si="43"/>
        <v>0</v>
      </c>
      <c r="S389" s="16" t="str">
        <f>IF(OR($B389="",NOT(ISNUMBER($F389))),"",SUMIFS(community_cores_FS!$P$5:$P$597,community_cores_FS!$B$5:$B$597,$B389,community_cores_FS!$F$5:$F$597,"&lt;="&amp;$F389))</f>
        <v/>
      </c>
      <c r="T389" s="16" t="str">
        <f>IF(AND($A389="",$B389="",$E389=""),"",IF(AND($B389&lt;&gt;"",COUNTIF('2. Core Log'!$A$5:$A$124,$B389)=0),"Core ID not in Core Log. ","")&amp;IF(AND($A389&lt;&gt;"",COUNTIF('1. Plot &amp; Site Log'!$A$5:$A$64,$A389)=0),"Plot ID not in Plot &amp; Site Log. ","")&amp;IF(AND(ISNUMBER($E389),ISNUMBER($F389),$F389&lt;=$E389),"Bottom depth is not below top depth. ","")&amp;IF($I389="","Say which bulk-density basis the lab reported. ","")&amp;IF(AND(ISNUMBER($J389),OR($J389&lt;QC_BD_MIN,$J389&gt;QC_BD_MAX)),"Bulk density outside "&amp;QC_BD_MIN&amp;"–"&amp;QC_BD_MAX&amp;" g/cm³ for peat. Above the top of that range usually means the mineral contact has been passed. ","")&amp;IF(AND(ISNUMBER($N389),$N389&gt;QC_CARBON_PCT_MAX),"Carbon above "&amp;QC_CARBON_PCT_MAX&amp;"% — check units; this may be organic matter rather than carbon. ","")&amp;IF(AND($L389&lt;&gt;"",$M389&lt;&gt;""),"Both LOI and measured carbon given — the measured value is used. ","")&amp;IF(AND($M389="",$L389&lt;&gt;"",OM_FACTOR_IS_LOCAL&lt;&gt;"Yes"),"Carbon derived from LOI using the default factor of "&amp;CARBON_FRACTION_OM&amp;", which has not been calibrated locally. See R1. Reference. ","")&amp;IF(AND(ISNUMBER($O389),$O389=0,ISNUMBER($E389)),"Section lies entirely below the reference depth — it counts to the full-profile stock only. ",""))</f>
        <v/>
      </c>
      <c r="U389" s="14"/>
    </row>
    <row r="390" spans="1:21" ht="15.75" customHeight="1">
      <c r="A390" s="14"/>
      <c r="B390" s="14"/>
      <c r="C390" s="14"/>
      <c r="D390" s="14"/>
      <c r="E390" s="14"/>
      <c r="F390" s="14"/>
      <c r="G390" s="14" t="str">
        <f t="shared" si="38"/>
        <v/>
      </c>
      <c r="H390" s="14"/>
      <c r="I390" s="14"/>
      <c r="J390" s="24"/>
      <c r="K390" s="24"/>
      <c r="L390" s="24"/>
      <c r="M390" s="24"/>
      <c r="N390" s="16" t="str">
        <f t="shared" si="42"/>
        <v/>
      </c>
      <c r="O390" s="16" t="str">
        <f t="shared" si="39"/>
        <v/>
      </c>
      <c r="P390" s="16" t="str">
        <f t="shared" si="40"/>
        <v/>
      </c>
      <c r="Q390" s="16" t="str">
        <f t="shared" si="41"/>
        <v/>
      </c>
      <c r="R390" s="16">
        <f t="shared" si="43"/>
        <v>0</v>
      </c>
      <c r="S390" s="16" t="str">
        <f>IF(OR($B390="",NOT(ISNUMBER($F390))),"",SUMIFS(community_cores_FS!$P$5:$P$597,community_cores_FS!$B$5:$B$597,$B390,community_cores_FS!$F$5:$F$597,"&lt;="&amp;$F390))</f>
        <v/>
      </c>
      <c r="T390" s="16" t="str">
        <f>IF(AND($A390="",$B390="",$E390=""),"",IF(AND($B390&lt;&gt;"",COUNTIF('2. Core Log'!$A$5:$A$124,$B390)=0),"Core ID not in Core Log. ","")&amp;IF(AND($A390&lt;&gt;"",COUNTIF('1. Plot &amp; Site Log'!$A$5:$A$64,$A390)=0),"Plot ID not in Plot &amp; Site Log. ","")&amp;IF(AND(ISNUMBER($E390),ISNUMBER($F390),$F390&lt;=$E390),"Bottom depth is not below top depth. ","")&amp;IF($I390="","Say which bulk-density basis the lab reported. ","")&amp;IF(AND(ISNUMBER($J390),OR($J390&lt;QC_BD_MIN,$J390&gt;QC_BD_MAX)),"Bulk density outside "&amp;QC_BD_MIN&amp;"–"&amp;QC_BD_MAX&amp;" g/cm³ for peat. Above the top of that range usually means the mineral contact has been passed. ","")&amp;IF(AND(ISNUMBER($N390),$N390&gt;QC_CARBON_PCT_MAX),"Carbon above "&amp;QC_CARBON_PCT_MAX&amp;"% — check units; this may be organic matter rather than carbon. ","")&amp;IF(AND($L390&lt;&gt;"",$M390&lt;&gt;""),"Both LOI and measured carbon given — the measured value is used. ","")&amp;IF(AND($M390="",$L390&lt;&gt;"",OM_FACTOR_IS_LOCAL&lt;&gt;"Yes"),"Carbon derived from LOI using the default factor of "&amp;CARBON_FRACTION_OM&amp;", which has not been calibrated locally. See R1. Reference. ","")&amp;IF(AND(ISNUMBER($O390),$O390=0,ISNUMBER($E390)),"Section lies entirely below the reference depth — it counts to the full-profile stock only. ",""))</f>
        <v/>
      </c>
      <c r="U390" s="14"/>
    </row>
    <row r="391" spans="1:21" ht="15.75" customHeight="1">
      <c r="A391" s="14"/>
      <c r="B391" s="14"/>
      <c r="C391" s="14"/>
      <c r="D391" s="14"/>
      <c r="E391" s="14"/>
      <c r="F391" s="14"/>
      <c r="G391" s="14" t="str">
        <f t="shared" si="38"/>
        <v/>
      </c>
      <c r="H391" s="14"/>
      <c r="I391" s="14"/>
      <c r="J391" s="24"/>
      <c r="K391" s="24"/>
      <c r="L391" s="24"/>
      <c r="M391" s="24"/>
      <c r="N391" s="16" t="str">
        <f t="shared" si="42"/>
        <v/>
      </c>
      <c r="O391" s="16" t="str">
        <f t="shared" si="39"/>
        <v/>
      </c>
      <c r="P391" s="16" t="str">
        <f t="shared" si="40"/>
        <v/>
      </c>
      <c r="Q391" s="16" t="str">
        <f t="shared" si="41"/>
        <v/>
      </c>
      <c r="R391" s="16">
        <f t="shared" si="43"/>
        <v>0</v>
      </c>
      <c r="S391" s="16" t="str">
        <f>IF(OR($B391="",NOT(ISNUMBER($F391))),"",SUMIFS(community_cores_FS!$P$5:$P$597,community_cores_FS!$B$5:$B$597,$B391,community_cores_FS!$F$5:$F$597,"&lt;="&amp;$F391))</f>
        <v/>
      </c>
      <c r="T391" s="16" t="str">
        <f>IF(AND($A391="",$B391="",$E391=""),"",IF(AND($B391&lt;&gt;"",COUNTIF('2. Core Log'!$A$5:$A$124,$B391)=0),"Core ID not in Core Log. ","")&amp;IF(AND($A391&lt;&gt;"",COUNTIF('1. Plot &amp; Site Log'!$A$5:$A$64,$A391)=0),"Plot ID not in Plot &amp; Site Log. ","")&amp;IF(AND(ISNUMBER($E391),ISNUMBER($F391),$F391&lt;=$E391),"Bottom depth is not below top depth. ","")&amp;IF($I391="","Say which bulk-density basis the lab reported. ","")&amp;IF(AND(ISNUMBER($J391),OR($J391&lt;QC_BD_MIN,$J391&gt;QC_BD_MAX)),"Bulk density outside "&amp;QC_BD_MIN&amp;"–"&amp;QC_BD_MAX&amp;" g/cm³ for peat. Above the top of that range usually means the mineral contact has been passed. ","")&amp;IF(AND(ISNUMBER($N391),$N391&gt;QC_CARBON_PCT_MAX),"Carbon above "&amp;QC_CARBON_PCT_MAX&amp;"% — check units; this may be organic matter rather than carbon. ","")&amp;IF(AND($L391&lt;&gt;"",$M391&lt;&gt;""),"Both LOI and measured carbon given — the measured value is used. ","")&amp;IF(AND($M391="",$L391&lt;&gt;"",OM_FACTOR_IS_LOCAL&lt;&gt;"Yes"),"Carbon derived from LOI using the default factor of "&amp;CARBON_FRACTION_OM&amp;", which has not been calibrated locally. See R1. Reference. ","")&amp;IF(AND(ISNUMBER($O391),$O391=0,ISNUMBER($E391)),"Section lies entirely below the reference depth — it counts to the full-profile stock only. ",""))</f>
        <v/>
      </c>
      <c r="U391" s="14"/>
    </row>
    <row r="392" spans="1:21" ht="15.75" customHeight="1">
      <c r="A392" s="14"/>
      <c r="B392" s="14"/>
      <c r="C392" s="14"/>
      <c r="D392" s="14"/>
      <c r="E392" s="14"/>
      <c r="F392" s="14"/>
      <c r="G392" s="14" t="str">
        <f t="shared" si="38"/>
        <v/>
      </c>
      <c r="H392" s="14"/>
      <c r="I392" s="14"/>
      <c r="J392" s="24"/>
      <c r="K392" s="24"/>
      <c r="L392" s="24"/>
      <c r="M392" s="24"/>
      <c r="N392" s="16" t="str">
        <f t="shared" si="42"/>
        <v/>
      </c>
      <c r="O392" s="16" t="str">
        <f t="shared" si="39"/>
        <v/>
      </c>
      <c r="P392" s="16" t="str">
        <f t="shared" si="40"/>
        <v/>
      </c>
      <c r="Q392" s="16" t="str">
        <f t="shared" si="41"/>
        <v/>
      </c>
      <c r="R392" s="16">
        <f t="shared" si="43"/>
        <v>0</v>
      </c>
      <c r="S392" s="16" t="str">
        <f>IF(OR($B392="",NOT(ISNUMBER($F392))),"",SUMIFS(community_cores_FS!$P$5:$P$597,community_cores_FS!$B$5:$B$597,$B392,community_cores_FS!$F$5:$F$597,"&lt;="&amp;$F392))</f>
        <v/>
      </c>
      <c r="T392" s="16" t="str">
        <f>IF(AND($A392="",$B392="",$E392=""),"",IF(AND($B392&lt;&gt;"",COUNTIF('2. Core Log'!$A$5:$A$124,$B392)=0),"Core ID not in Core Log. ","")&amp;IF(AND($A392&lt;&gt;"",COUNTIF('1. Plot &amp; Site Log'!$A$5:$A$64,$A392)=0),"Plot ID not in Plot &amp; Site Log. ","")&amp;IF(AND(ISNUMBER($E392),ISNUMBER($F392),$F392&lt;=$E392),"Bottom depth is not below top depth. ","")&amp;IF($I392="","Say which bulk-density basis the lab reported. ","")&amp;IF(AND(ISNUMBER($J392),OR($J392&lt;QC_BD_MIN,$J392&gt;QC_BD_MAX)),"Bulk density outside "&amp;QC_BD_MIN&amp;"–"&amp;QC_BD_MAX&amp;" g/cm³ for peat. Above the top of that range usually means the mineral contact has been passed. ","")&amp;IF(AND(ISNUMBER($N392),$N392&gt;QC_CARBON_PCT_MAX),"Carbon above "&amp;QC_CARBON_PCT_MAX&amp;"% — check units; this may be organic matter rather than carbon. ","")&amp;IF(AND($L392&lt;&gt;"",$M392&lt;&gt;""),"Both LOI and measured carbon given — the measured value is used. ","")&amp;IF(AND($M392="",$L392&lt;&gt;"",OM_FACTOR_IS_LOCAL&lt;&gt;"Yes"),"Carbon derived from LOI using the default factor of "&amp;CARBON_FRACTION_OM&amp;", which has not been calibrated locally. See R1. Reference. ","")&amp;IF(AND(ISNUMBER($O392),$O392=0,ISNUMBER($E392)),"Section lies entirely below the reference depth — it counts to the full-profile stock only. ",""))</f>
        <v/>
      </c>
      <c r="U392" s="14"/>
    </row>
    <row r="393" spans="1:21" ht="15.75" customHeight="1">
      <c r="A393" s="14"/>
      <c r="B393" s="14"/>
      <c r="C393" s="14"/>
      <c r="D393" s="14"/>
      <c r="E393" s="14"/>
      <c r="F393" s="14"/>
      <c r="G393" s="14" t="str">
        <f t="shared" si="38"/>
        <v/>
      </c>
      <c r="H393" s="14"/>
      <c r="I393" s="14"/>
      <c r="J393" s="24"/>
      <c r="K393" s="24"/>
      <c r="L393" s="24"/>
      <c r="M393" s="24"/>
      <c r="N393" s="16" t="str">
        <f t="shared" si="42"/>
        <v/>
      </c>
      <c r="O393" s="16" t="str">
        <f t="shared" si="39"/>
        <v/>
      </c>
      <c r="P393" s="16" t="str">
        <f t="shared" si="40"/>
        <v/>
      </c>
      <c r="Q393" s="16" t="str">
        <f t="shared" si="41"/>
        <v/>
      </c>
      <c r="R393" s="16">
        <f t="shared" si="43"/>
        <v>0</v>
      </c>
      <c r="S393" s="16" t="str">
        <f>IF(OR($B393="",NOT(ISNUMBER($F393))),"",SUMIFS(community_cores_FS!$P$5:$P$597,community_cores_FS!$B$5:$B$597,$B393,community_cores_FS!$F$5:$F$597,"&lt;="&amp;$F393))</f>
        <v/>
      </c>
      <c r="T393" s="16" t="str">
        <f>IF(AND($A393="",$B393="",$E393=""),"",IF(AND($B393&lt;&gt;"",COUNTIF('2. Core Log'!$A$5:$A$124,$B393)=0),"Core ID not in Core Log. ","")&amp;IF(AND($A393&lt;&gt;"",COUNTIF('1. Plot &amp; Site Log'!$A$5:$A$64,$A393)=0),"Plot ID not in Plot &amp; Site Log. ","")&amp;IF(AND(ISNUMBER($E393),ISNUMBER($F393),$F393&lt;=$E393),"Bottom depth is not below top depth. ","")&amp;IF($I393="","Say which bulk-density basis the lab reported. ","")&amp;IF(AND(ISNUMBER($J393),OR($J393&lt;QC_BD_MIN,$J393&gt;QC_BD_MAX)),"Bulk density outside "&amp;QC_BD_MIN&amp;"–"&amp;QC_BD_MAX&amp;" g/cm³ for peat. Above the top of that range usually means the mineral contact has been passed. ","")&amp;IF(AND(ISNUMBER($N393),$N393&gt;QC_CARBON_PCT_MAX),"Carbon above "&amp;QC_CARBON_PCT_MAX&amp;"% — check units; this may be organic matter rather than carbon. ","")&amp;IF(AND($L393&lt;&gt;"",$M393&lt;&gt;""),"Both LOI and measured carbon given — the measured value is used. ","")&amp;IF(AND($M393="",$L393&lt;&gt;"",OM_FACTOR_IS_LOCAL&lt;&gt;"Yes"),"Carbon derived from LOI using the default factor of "&amp;CARBON_FRACTION_OM&amp;", which has not been calibrated locally. See R1. Reference. ","")&amp;IF(AND(ISNUMBER($O393),$O393=0,ISNUMBER($E393)),"Section lies entirely below the reference depth — it counts to the full-profile stock only. ",""))</f>
        <v/>
      </c>
      <c r="U393" s="14"/>
    </row>
    <row r="394" spans="1:21" ht="15.75" customHeight="1">
      <c r="A394" s="14"/>
      <c r="B394" s="14"/>
      <c r="C394" s="14"/>
      <c r="D394" s="14"/>
      <c r="E394" s="14"/>
      <c r="F394" s="14"/>
      <c r="G394" s="14" t="str">
        <f t="shared" si="38"/>
        <v/>
      </c>
      <c r="H394" s="14"/>
      <c r="I394" s="14"/>
      <c r="J394" s="24"/>
      <c r="K394" s="24"/>
      <c r="L394" s="24"/>
      <c r="M394" s="24"/>
      <c r="N394" s="16" t="str">
        <f t="shared" si="42"/>
        <v/>
      </c>
      <c r="O394" s="16" t="str">
        <f t="shared" si="39"/>
        <v/>
      </c>
      <c r="P394" s="16" t="str">
        <f t="shared" si="40"/>
        <v/>
      </c>
      <c r="Q394" s="16" t="str">
        <f t="shared" si="41"/>
        <v/>
      </c>
      <c r="R394" s="16">
        <f t="shared" si="43"/>
        <v>0</v>
      </c>
      <c r="S394" s="16" t="str">
        <f>IF(OR($B394="",NOT(ISNUMBER($F394))),"",SUMIFS(community_cores_FS!$P$5:$P$597,community_cores_FS!$B$5:$B$597,$B394,community_cores_FS!$F$5:$F$597,"&lt;="&amp;$F394))</f>
        <v/>
      </c>
      <c r="T394" s="16" t="str">
        <f>IF(AND($A394="",$B394="",$E394=""),"",IF(AND($B394&lt;&gt;"",COUNTIF('2. Core Log'!$A$5:$A$124,$B394)=0),"Core ID not in Core Log. ","")&amp;IF(AND($A394&lt;&gt;"",COUNTIF('1. Plot &amp; Site Log'!$A$5:$A$64,$A394)=0),"Plot ID not in Plot &amp; Site Log. ","")&amp;IF(AND(ISNUMBER($E394),ISNUMBER($F394),$F394&lt;=$E394),"Bottom depth is not below top depth. ","")&amp;IF($I394="","Say which bulk-density basis the lab reported. ","")&amp;IF(AND(ISNUMBER($J394),OR($J394&lt;QC_BD_MIN,$J394&gt;QC_BD_MAX)),"Bulk density outside "&amp;QC_BD_MIN&amp;"–"&amp;QC_BD_MAX&amp;" g/cm³ for peat. Above the top of that range usually means the mineral contact has been passed. ","")&amp;IF(AND(ISNUMBER($N394),$N394&gt;QC_CARBON_PCT_MAX),"Carbon above "&amp;QC_CARBON_PCT_MAX&amp;"% — check units; this may be organic matter rather than carbon. ","")&amp;IF(AND($L394&lt;&gt;"",$M394&lt;&gt;""),"Both LOI and measured carbon given — the measured value is used. ","")&amp;IF(AND($M394="",$L394&lt;&gt;"",OM_FACTOR_IS_LOCAL&lt;&gt;"Yes"),"Carbon derived from LOI using the default factor of "&amp;CARBON_FRACTION_OM&amp;", which has not been calibrated locally. See R1. Reference. ","")&amp;IF(AND(ISNUMBER($O394),$O394=0,ISNUMBER($E394)),"Section lies entirely below the reference depth — it counts to the full-profile stock only. ",""))</f>
        <v/>
      </c>
      <c r="U394" s="14"/>
    </row>
    <row r="395" spans="1:21" ht="15.75" customHeight="1">
      <c r="A395" s="14"/>
      <c r="B395" s="14"/>
      <c r="C395" s="14"/>
      <c r="D395" s="14"/>
      <c r="E395" s="14"/>
      <c r="F395" s="14"/>
      <c r="G395" s="14" t="str">
        <f t="shared" si="38"/>
        <v/>
      </c>
      <c r="H395" s="14"/>
      <c r="I395" s="14"/>
      <c r="J395" s="24"/>
      <c r="K395" s="24"/>
      <c r="L395" s="24"/>
      <c r="M395" s="24"/>
      <c r="N395" s="16" t="str">
        <f t="shared" si="42"/>
        <v/>
      </c>
      <c r="O395" s="16" t="str">
        <f t="shared" si="39"/>
        <v/>
      </c>
      <c r="P395" s="16" t="str">
        <f t="shared" si="40"/>
        <v/>
      </c>
      <c r="Q395" s="16" t="str">
        <f t="shared" si="41"/>
        <v/>
      </c>
      <c r="R395" s="16">
        <f t="shared" si="43"/>
        <v>0</v>
      </c>
      <c r="S395" s="16" t="str">
        <f>IF(OR($B395="",NOT(ISNUMBER($F395))),"",SUMIFS(community_cores_FS!$P$5:$P$597,community_cores_FS!$B$5:$B$597,$B395,community_cores_FS!$F$5:$F$597,"&lt;="&amp;$F395))</f>
        <v/>
      </c>
      <c r="T395" s="16" t="str">
        <f>IF(AND($A395="",$B395="",$E395=""),"",IF(AND($B395&lt;&gt;"",COUNTIF('2. Core Log'!$A$5:$A$124,$B395)=0),"Core ID not in Core Log. ","")&amp;IF(AND($A395&lt;&gt;"",COUNTIF('1. Plot &amp; Site Log'!$A$5:$A$64,$A395)=0),"Plot ID not in Plot &amp; Site Log. ","")&amp;IF(AND(ISNUMBER($E395),ISNUMBER($F395),$F395&lt;=$E395),"Bottom depth is not below top depth. ","")&amp;IF($I395="","Say which bulk-density basis the lab reported. ","")&amp;IF(AND(ISNUMBER($J395),OR($J395&lt;QC_BD_MIN,$J395&gt;QC_BD_MAX)),"Bulk density outside "&amp;QC_BD_MIN&amp;"–"&amp;QC_BD_MAX&amp;" g/cm³ for peat. Above the top of that range usually means the mineral contact has been passed. ","")&amp;IF(AND(ISNUMBER($N395),$N395&gt;QC_CARBON_PCT_MAX),"Carbon above "&amp;QC_CARBON_PCT_MAX&amp;"% — check units; this may be organic matter rather than carbon. ","")&amp;IF(AND($L395&lt;&gt;"",$M395&lt;&gt;""),"Both LOI and measured carbon given — the measured value is used. ","")&amp;IF(AND($M395="",$L395&lt;&gt;"",OM_FACTOR_IS_LOCAL&lt;&gt;"Yes"),"Carbon derived from LOI using the default factor of "&amp;CARBON_FRACTION_OM&amp;", which has not been calibrated locally. See R1. Reference. ","")&amp;IF(AND(ISNUMBER($O395),$O395=0,ISNUMBER($E395)),"Section lies entirely below the reference depth — it counts to the full-profile stock only. ",""))</f>
        <v/>
      </c>
      <c r="U395" s="14"/>
    </row>
    <row r="396" spans="1:21" ht="15.75" customHeight="1">
      <c r="A396" s="14"/>
      <c r="B396" s="14"/>
      <c r="C396" s="14"/>
      <c r="D396" s="14"/>
      <c r="E396" s="14"/>
      <c r="F396" s="14"/>
      <c r="G396" s="14" t="str">
        <f t="shared" si="38"/>
        <v/>
      </c>
      <c r="H396" s="14"/>
      <c r="I396" s="14"/>
      <c r="J396" s="24"/>
      <c r="K396" s="24"/>
      <c r="L396" s="24"/>
      <c r="M396" s="24"/>
      <c r="N396" s="16" t="str">
        <f t="shared" si="42"/>
        <v/>
      </c>
      <c r="O396" s="16" t="str">
        <f t="shared" si="39"/>
        <v/>
      </c>
      <c r="P396" s="16" t="str">
        <f t="shared" si="40"/>
        <v/>
      </c>
      <c r="Q396" s="16" t="str">
        <f t="shared" si="41"/>
        <v/>
      </c>
      <c r="R396" s="16">
        <f t="shared" si="43"/>
        <v>0</v>
      </c>
      <c r="S396" s="16" t="str">
        <f>IF(OR($B396="",NOT(ISNUMBER($F396))),"",SUMIFS(community_cores_FS!$P$5:$P$597,community_cores_FS!$B$5:$B$597,$B396,community_cores_FS!$F$5:$F$597,"&lt;="&amp;$F396))</f>
        <v/>
      </c>
      <c r="T396" s="16" t="str">
        <f>IF(AND($A396="",$B396="",$E396=""),"",IF(AND($B396&lt;&gt;"",COUNTIF('2. Core Log'!$A$5:$A$124,$B396)=0),"Core ID not in Core Log. ","")&amp;IF(AND($A396&lt;&gt;"",COUNTIF('1. Plot &amp; Site Log'!$A$5:$A$64,$A396)=0),"Plot ID not in Plot &amp; Site Log. ","")&amp;IF(AND(ISNUMBER($E396),ISNUMBER($F396),$F396&lt;=$E396),"Bottom depth is not below top depth. ","")&amp;IF($I396="","Say which bulk-density basis the lab reported. ","")&amp;IF(AND(ISNUMBER($J396),OR($J396&lt;QC_BD_MIN,$J396&gt;QC_BD_MAX)),"Bulk density outside "&amp;QC_BD_MIN&amp;"–"&amp;QC_BD_MAX&amp;" g/cm³ for peat. Above the top of that range usually means the mineral contact has been passed. ","")&amp;IF(AND(ISNUMBER($N396),$N396&gt;QC_CARBON_PCT_MAX),"Carbon above "&amp;QC_CARBON_PCT_MAX&amp;"% — check units; this may be organic matter rather than carbon. ","")&amp;IF(AND($L396&lt;&gt;"",$M396&lt;&gt;""),"Both LOI and measured carbon given — the measured value is used. ","")&amp;IF(AND($M396="",$L396&lt;&gt;"",OM_FACTOR_IS_LOCAL&lt;&gt;"Yes"),"Carbon derived from LOI using the default factor of "&amp;CARBON_FRACTION_OM&amp;", which has not been calibrated locally. See R1. Reference. ","")&amp;IF(AND(ISNUMBER($O396),$O396=0,ISNUMBER($E396)),"Section lies entirely below the reference depth — it counts to the full-profile stock only. ",""))</f>
        <v/>
      </c>
      <c r="U396" s="14"/>
    </row>
    <row r="397" spans="1:21" ht="15.75" customHeight="1">
      <c r="A397" s="14"/>
      <c r="B397" s="14"/>
      <c r="C397" s="14"/>
      <c r="D397" s="14"/>
      <c r="E397" s="14"/>
      <c r="F397" s="14"/>
      <c r="G397" s="14" t="str">
        <f t="shared" si="38"/>
        <v/>
      </c>
      <c r="H397" s="14"/>
      <c r="I397" s="14"/>
      <c r="J397" s="24"/>
      <c r="K397" s="24"/>
      <c r="L397" s="24"/>
      <c r="M397" s="24"/>
      <c r="N397" s="16" t="str">
        <f t="shared" si="42"/>
        <v/>
      </c>
      <c r="O397" s="16" t="str">
        <f t="shared" si="39"/>
        <v/>
      </c>
      <c r="P397" s="16" t="str">
        <f t="shared" si="40"/>
        <v/>
      </c>
      <c r="Q397" s="16" t="str">
        <f t="shared" si="41"/>
        <v/>
      </c>
      <c r="R397" s="16">
        <f t="shared" si="43"/>
        <v>0</v>
      </c>
      <c r="S397" s="16" t="str">
        <f>IF(OR($B397="",NOT(ISNUMBER($F397))),"",SUMIFS(community_cores_FS!$P$5:$P$597,community_cores_FS!$B$5:$B$597,$B397,community_cores_FS!$F$5:$F$597,"&lt;="&amp;$F397))</f>
        <v/>
      </c>
      <c r="T397" s="16" t="str">
        <f>IF(AND($A397="",$B397="",$E397=""),"",IF(AND($B397&lt;&gt;"",COUNTIF('2. Core Log'!$A$5:$A$124,$B397)=0),"Core ID not in Core Log. ","")&amp;IF(AND($A397&lt;&gt;"",COUNTIF('1. Plot &amp; Site Log'!$A$5:$A$64,$A397)=0),"Plot ID not in Plot &amp; Site Log. ","")&amp;IF(AND(ISNUMBER($E397),ISNUMBER($F397),$F397&lt;=$E397),"Bottom depth is not below top depth. ","")&amp;IF($I397="","Say which bulk-density basis the lab reported. ","")&amp;IF(AND(ISNUMBER($J397),OR($J397&lt;QC_BD_MIN,$J397&gt;QC_BD_MAX)),"Bulk density outside "&amp;QC_BD_MIN&amp;"–"&amp;QC_BD_MAX&amp;" g/cm³ for peat. Above the top of that range usually means the mineral contact has been passed. ","")&amp;IF(AND(ISNUMBER($N397),$N397&gt;QC_CARBON_PCT_MAX),"Carbon above "&amp;QC_CARBON_PCT_MAX&amp;"% — check units; this may be organic matter rather than carbon. ","")&amp;IF(AND($L397&lt;&gt;"",$M397&lt;&gt;""),"Both LOI and measured carbon given — the measured value is used. ","")&amp;IF(AND($M397="",$L397&lt;&gt;"",OM_FACTOR_IS_LOCAL&lt;&gt;"Yes"),"Carbon derived from LOI using the default factor of "&amp;CARBON_FRACTION_OM&amp;", which has not been calibrated locally. See R1. Reference. ","")&amp;IF(AND(ISNUMBER($O397),$O397=0,ISNUMBER($E397)),"Section lies entirely below the reference depth — it counts to the full-profile stock only. ",""))</f>
        <v/>
      </c>
      <c r="U397" s="14"/>
    </row>
    <row r="398" spans="1:21" ht="15.75" customHeight="1">
      <c r="A398" s="14"/>
      <c r="B398" s="14"/>
      <c r="C398" s="14"/>
      <c r="D398" s="14"/>
      <c r="E398" s="14"/>
      <c r="F398" s="14"/>
      <c r="G398" s="14" t="str">
        <f t="shared" si="38"/>
        <v/>
      </c>
      <c r="H398" s="14"/>
      <c r="I398" s="14"/>
      <c r="J398" s="24"/>
      <c r="K398" s="24"/>
      <c r="L398" s="24"/>
      <c r="M398" s="24"/>
      <c r="N398" s="16" t="str">
        <f t="shared" si="42"/>
        <v/>
      </c>
      <c r="O398" s="16" t="str">
        <f t="shared" si="39"/>
        <v/>
      </c>
      <c r="P398" s="16" t="str">
        <f t="shared" si="40"/>
        <v/>
      </c>
      <c r="Q398" s="16" t="str">
        <f t="shared" si="41"/>
        <v/>
      </c>
      <c r="R398" s="16">
        <f t="shared" si="43"/>
        <v>0</v>
      </c>
      <c r="S398" s="16" t="str">
        <f>IF(OR($B398="",NOT(ISNUMBER($F398))),"",SUMIFS(community_cores_FS!$P$5:$P$597,community_cores_FS!$B$5:$B$597,$B398,community_cores_FS!$F$5:$F$597,"&lt;="&amp;$F398))</f>
        <v/>
      </c>
      <c r="T398" s="16" t="str">
        <f>IF(AND($A398="",$B398="",$E398=""),"",IF(AND($B398&lt;&gt;"",COUNTIF('2. Core Log'!$A$5:$A$124,$B398)=0),"Core ID not in Core Log. ","")&amp;IF(AND($A398&lt;&gt;"",COUNTIF('1. Plot &amp; Site Log'!$A$5:$A$64,$A398)=0),"Plot ID not in Plot &amp; Site Log. ","")&amp;IF(AND(ISNUMBER($E398),ISNUMBER($F398),$F398&lt;=$E398),"Bottom depth is not below top depth. ","")&amp;IF($I398="","Say which bulk-density basis the lab reported. ","")&amp;IF(AND(ISNUMBER($J398),OR($J398&lt;QC_BD_MIN,$J398&gt;QC_BD_MAX)),"Bulk density outside "&amp;QC_BD_MIN&amp;"–"&amp;QC_BD_MAX&amp;" g/cm³ for peat. Above the top of that range usually means the mineral contact has been passed. ","")&amp;IF(AND(ISNUMBER($N398),$N398&gt;QC_CARBON_PCT_MAX),"Carbon above "&amp;QC_CARBON_PCT_MAX&amp;"% — check units; this may be organic matter rather than carbon. ","")&amp;IF(AND($L398&lt;&gt;"",$M398&lt;&gt;""),"Both LOI and measured carbon given — the measured value is used. ","")&amp;IF(AND($M398="",$L398&lt;&gt;"",OM_FACTOR_IS_LOCAL&lt;&gt;"Yes"),"Carbon derived from LOI using the default factor of "&amp;CARBON_FRACTION_OM&amp;", which has not been calibrated locally. See R1. Reference. ","")&amp;IF(AND(ISNUMBER($O398),$O398=0,ISNUMBER($E398)),"Section lies entirely below the reference depth — it counts to the full-profile stock only. ",""))</f>
        <v/>
      </c>
      <c r="U398" s="14"/>
    </row>
    <row r="399" spans="1:21" ht="15.75" customHeight="1">
      <c r="A399" s="14"/>
      <c r="B399" s="14"/>
      <c r="C399" s="14"/>
      <c r="D399" s="14"/>
      <c r="E399" s="14"/>
      <c r="F399" s="14"/>
      <c r="G399" s="14" t="str">
        <f t="shared" si="38"/>
        <v/>
      </c>
      <c r="H399" s="14"/>
      <c r="I399" s="14"/>
      <c r="J399" s="24"/>
      <c r="K399" s="24"/>
      <c r="L399" s="24"/>
      <c r="M399" s="24"/>
      <c r="N399" s="16" t="str">
        <f t="shared" si="42"/>
        <v/>
      </c>
      <c r="O399" s="16" t="str">
        <f t="shared" si="39"/>
        <v/>
      </c>
      <c r="P399" s="16" t="str">
        <f t="shared" si="40"/>
        <v/>
      </c>
      <c r="Q399" s="16" t="str">
        <f t="shared" si="41"/>
        <v/>
      </c>
      <c r="R399" s="16">
        <f t="shared" si="43"/>
        <v>0</v>
      </c>
      <c r="S399" s="16" t="str">
        <f>IF(OR($B399="",NOT(ISNUMBER($F399))),"",SUMIFS(community_cores_FS!$P$5:$P$597,community_cores_FS!$B$5:$B$597,$B399,community_cores_FS!$F$5:$F$597,"&lt;="&amp;$F399))</f>
        <v/>
      </c>
      <c r="T399" s="16" t="str">
        <f>IF(AND($A399="",$B399="",$E399=""),"",IF(AND($B399&lt;&gt;"",COUNTIF('2. Core Log'!$A$5:$A$124,$B399)=0),"Core ID not in Core Log. ","")&amp;IF(AND($A399&lt;&gt;"",COUNTIF('1. Plot &amp; Site Log'!$A$5:$A$64,$A399)=0),"Plot ID not in Plot &amp; Site Log. ","")&amp;IF(AND(ISNUMBER($E399),ISNUMBER($F399),$F399&lt;=$E399),"Bottom depth is not below top depth. ","")&amp;IF($I399="","Say which bulk-density basis the lab reported. ","")&amp;IF(AND(ISNUMBER($J399),OR($J399&lt;QC_BD_MIN,$J399&gt;QC_BD_MAX)),"Bulk density outside "&amp;QC_BD_MIN&amp;"–"&amp;QC_BD_MAX&amp;" g/cm³ for peat. Above the top of that range usually means the mineral contact has been passed. ","")&amp;IF(AND(ISNUMBER($N399),$N399&gt;QC_CARBON_PCT_MAX),"Carbon above "&amp;QC_CARBON_PCT_MAX&amp;"% — check units; this may be organic matter rather than carbon. ","")&amp;IF(AND($L399&lt;&gt;"",$M399&lt;&gt;""),"Both LOI and measured carbon given — the measured value is used. ","")&amp;IF(AND($M399="",$L399&lt;&gt;"",OM_FACTOR_IS_LOCAL&lt;&gt;"Yes"),"Carbon derived from LOI using the default factor of "&amp;CARBON_FRACTION_OM&amp;", which has not been calibrated locally. See R1. Reference. ","")&amp;IF(AND(ISNUMBER($O399),$O399=0,ISNUMBER($E399)),"Section lies entirely below the reference depth — it counts to the full-profile stock only. ",""))</f>
        <v/>
      </c>
      <c r="U399" s="14"/>
    </row>
    <row r="400" spans="1:21" ht="15.75" customHeight="1">
      <c r="A400" s="14"/>
      <c r="B400" s="14"/>
      <c r="C400" s="14"/>
      <c r="D400" s="14"/>
      <c r="E400" s="14"/>
      <c r="F400" s="14"/>
      <c r="G400" s="14" t="str">
        <f t="shared" si="38"/>
        <v/>
      </c>
      <c r="H400" s="14"/>
      <c r="I400" s="14"/>
      <c r="J400" s="24"/>
      <c r="K400" s="24"/>
      <c r="L400" s="24"/>
      <c r="M400" s="24"/>
      <c r="N400" s="16" t="str">
        <f t="shared" si="42"/>
        <v/>
      </c>
      <c r="O400" s="16" t="str">
        <f t="shared" si="39"/>
        <v/>
      </c>
      <c r="P400" s="16" t="str">
        <f t="shared" si="40"/>
        <v/>
      </c>
      <c r="Q400" s="16" t="str">
        <f t="shared" si="41"/>
        <v/>
      </c>
      <c r="R400" s="16">
        <f t="shared" si="43"/>
        <v>0</v>
      </c>
      <c r="S400" s="16" t="str">
        <f>IF(OR($B400="",NOT(ISNUMBER($F400))),"",SUMIFS(community_cores_FS!$P$5:$P$597,community_cores_FS!$B$5:$B$597,$B400,community_cores_FS!$F$5:$F$597,"&lt;="&amp;$F400))</f>
        <v/>
      </c>
      <c r="T400" s="16" t="str">
        <f>IF(AND($A400="",$B400="",$E400=""),"",IF(AND($B400&lt;&gt;"",COUNTIF('2. Core Log'!$A$5:$A$124,$B400)=0),"Core ID not in Core Log. ","")&amp;IF(AND($A400&lt;&gt;"",COUNTIF('1. Plot &amp; Site Log'!$A$5:$A$64,$A400)=0),"Plot ID not in Plot &amp; Site Log. ","")&amp;IF(AND(ISNUMBER($E400),ISNUMBER($F400),$F400&lt;=$E400),"Bottom depth is not below top depth. ","")&amp;IF($I400="","Say which bulk-density basis the lab reported. ","")&amp;IF(AND(ISNUMBER($J400),OR($J400&lt;QC_BD_MIN,$J400&gt;QC_BD_MAX)),"Bulk density outside "&amp;QC_BD_MIN&amp;"–"&amp;QC_BD_MAX&amp;" g/cm³ for peat. Above the top of that range usually means the mineral contact has been passed. ","")&amp;IF(AND(ISNUMBER($N400),$N400&gt;QC_CARBON_PCT_MAX),"Carbon above "&amp;QC_CARBON_PCT_MAX&amp;"% — check units; this may be organic matter rather than carbon. ","")&amp;IF(AND($L400&lt;&gt;"",$M400&lt;&gt;""),"Both LOI and measured carbon given — the measured value is used. ","")&amp;IF(AND($M400="",$L400&lt;&gt;"",OM_FACTOR_IS_LOCAL&lt;&gt;"Yes"),"Carbon derived from LOI using the default factor of "&amp;CARBON_FRACTION_OM&amp;", which has not been calibrated locally. See R1. Reference. ","")&amp;IF(AND(ISNUMBER($O400),$O400=0,ISNUMBER($E400)),"Section lies entirely below the reference depth — it counts to the full-profile stock only. ",""))</f>
        <v/>
      </c>
      <c r="U400" s="14"/>
    </row>
    <row r="401" spans="1:21" ht="15.75" customHeight="1">
      <c r="A401" s="14"/>
      <c r="B401" s="14"/>
      <c r="C401" s="14"/>
      <c r="D401" s="14"/>
      <c r="E401" s="14"/>
      <c r="F401" s="14"/>
      <c r="G401" s="14" t="str">
        <f t="shared" si="38"/>
        <v/>
      </c>
      <c r="H401" s="14"/>
      <c r="I401" s="14"/>
      <c r="J401" s="24"/>
      <c r="K401" s="24"/>
      <c r="L401" s="24"/>
      <c r="M401" s="24"/>
      <c r="N401" s="16" t="str">
        <f t="shared" si="42"/>
        <v/>
      </c>
      <c r="O401" s="16" t="str">
        <f t="shared" si="39"/>
        <v/>
      </c>
      <c r="P401" s="16" t="str">
        <f t="shared" si="40"/>
        <v/>
      </c>
      <c r="Q401" s="16" t="str">
        <f t="shared" si="41"/>
        <v/>
      </c>
      <c r="R401" s="16">
        <f t="shared" si="43"/>
        <v>0</v>
      </c>
      <c r="S401" s="16" t="str">
        <f>IF(OR($B401="",NOT(ISNUMBER($F401))),"",SUMIFS(community_cores_FS!$P$5:$P$597,community_cores_FS!$B$5:$B$597,$B401,community_cores_FS!$F$5:$F$597,"&lt;="&amp;$F401))</f>
        <v/>
      </c>
      <c r="T401" s="16" t="str">
        <f>IF(AND($A401="",$B401="",$E401=""),"",IF(AND($B401&lt;&gt;"",COUNTIF('2. Core Log'!$A$5:$A$124,$B401)=0),"Core ID not in Core Log. ","")&amp;IF(AND($A401&lt;&gt;"",COUNTIF('1. Plot &amp; Site Log'!$A$5:$A$64,$A401)=0),"Plot ID not in Plot &amp; Site Log. ","")&amp;IF(AND(ISNUMBER($E401),ISNUMBER($F401),$F401&lt;=$E401),"Bottom depth is not below top depth. ","")&amp;IF($I401="","Say which bulk-density basis the lab reported. ","")&amp;IF(AND(ISNUMBER($J401),OR($J401&lt;QC_BD_MIN,$J401&gt;QC_BD_MAX)),"Bulk density outside "&amp;QC_BD_MIN&amp;"–"&amp;QC_BD_MAX&amp;" g/cm³ for peat. Above the top of that range usually means the mineral contact has been passed. ","")&amp;IF(AND(ISNUMBER($N401),$N401&gt;QC_CARBON_PCT_MAX),"Carbon above "&amp;QC_CARBON_PCT_MAX&amp;"% — check units; this may be organic matter rather than carbon. ","")&amp;IF(AND($L401&lt;&gt;"",$M401&lt;&gt;""),"Both LOI and measured carbon given — the measured value is used. ","")&amp;IF(AND($M401="",$L401&lt;&gt;"",OM_FACTOR_IS_LOCAL&lt;&gt;"Yes"),"Carbon derived from LOI using the default factor of "&amp;CARBON_FRACTION_OM&amp;", which has not been calibrated locally. See R1. Reference. ","")&amp;IF(AND(ISNUMBER($O401),$O401=0,ISNUMBER($E401)),"Section lies entirely below the reference depth — it counts to the full-profile stock only. ",""))</f>
        <v/>
      </c>
      <c r="U401" s="14"/>
    </row>
    <row r="402" spans="1:21" ht="15.75" customHeight="1">
      <c r="A402" s="14"/>
      <c r="B402" s="14"/>
      <c r="C402" s="14"/>
      <c r="D402" s="14"/>
      <c r="E402" s="14"/>
      <c r="F402" s="14"/>
      <c r="G402" s="14" t="str">
        <f t="shared" si="38"/>
        <v/>
      </c>
      <c r="H402" s="14"/>
      <c r="I402" s="14"/>
      <c r="J402" s="24"/>
      <c r="K402" s="24"/>
      <c r="L402" s="24"/>
      <c r="M402" s="24"/>
      <c r="N402" s="16" t="str">
        <f t="shared" si="42"/>
        <v/>
      </c>
      <c r="O402" s="16" t="str">
        <f t="shared" si="39"/>
        <v/>
      </c>
      <c r="P402" s="16" t="str">
        <f t="shared" si="40"/>
        <v/>
      </c>
      <c r="Q402" s="16" t="str">
        <f t="shared" si="41"/>
        <v/>
      </c>
      <c r="R402" s="16">
        <f t="shared" si="43"/>
        <v>0</v>
      </c>
      <c r="S402" s="16" t="str">
        <f>IF(OR($B402="",NOT(ISNUMBER($F402))),"",SUMIFS(community_cores_FS!$P$5:$P$597,community_cores_FS!$B$5:$B$597,$B402,community_cores_FS!$F$5:$F$597,"&lt;="&amp;$F402))</f>
        <v/>
      </c>
      <c r="T402" s="16" t="str">
        <f>IF(AND($A402="",$B402="",$E402=""),"",IF(AND($B402&lt;&gt;"",COUNTIF('2. Core Log'!$A$5:$A$124,$B402)=0),"Core ID not in Core Log. ","")&amp;IF(AND($A402&lt;&gt;"",COUNTIF('1. Plot &amp; Site Log'!$A$5:$A$64,$A402)=0),"Plot ID not in Plot &amp; Site Log. ","")&amp;IF(AND(ISNUMBER($E402),ISNUMBER($F402),$F402&lt;=$E402),"Bottom depth is not below top depth. ","")&amp;IF($I402="","Say which bulk-density basis the lab reported. ","")&amp;IF(AND(ISNUMBER($J402),OR($J402&lt;QC_BD_MIN,$J402&gt;QC_BD_MAX)),"Bulk density outside "&amp;QC_BD_MIN&amp;"–"&amp;QC_BD_MAX&amp;" g/cm³ for peat. Above the top of that range usually means the mineral contact has been passed. ","")&amp;IF(AND(ISNUMBER($N402),$N402&gt;QC_CARBON_PCT_MAX),"Carbon above "&amp;QC_CARBON_PCT_MAX&amp;"% — check units; this may be organic matter rather than carbon. ","")&amp;IF(AND($L402&lt;&gt;"",$M402&lt;&gt;""),"Both LOI and measured carbon given — the measured value is used. ","")&amp;IF(AND($M402="",$L402&lt;&gt;"",OM_FACTOR_IS_LOCAL&lt;&gt;"Yes"),"Carbon derived from LOI using the default factor of "&amp;CARBON_FRACTION_OM&amp;", which has not been calibrated locally. See R1. Reference. ","")&amp;IF(AND(ISNUMBER($O402),$O402=0,ISNUMBER($E402)),"Section lies entirely below the reference depth — it counts to the full-profile stock only. ",""))</f>
        <v/>
      </c>
      <c r="U402" s="14"/>
    </row>
    <row r="403" spans="1:21" ht="15.75" customHeight="1">
      <c r="A403" s="14"/>
      <c r="B403" s="14"/>
      <c r="C403" s="14"/>
      <c r="D403" s="14"/>
      <c r="E403" s="14"/>
      <c r="F403" s="14"/>
      <c r="G403" s="14" t="str">
        <f t="shared" si="38"/>
        <v/>
      </c>
      <c r="H403" s="14"/>
      <c r="I403" s="14"/>
      <c r="J403" s="24"/>
      <c r="K403" s="24"/>
      <c r="L403" s="24"/>
      <c r="M403" s="24"/>
      <c r="N403" s="16" t="str">
        <f t="shared" si="42"/>
        <v/>
      </c>
      <c r="O403" s="16" t="str">
        <f t="shared" si="39"/>
        <v/>
      </c>
      <c r="P403" s="16" t="str">
        <f t="shared" si="40"/>
        <v/>
      </c>
      <c r="Q403" s="16" t="str">
        <f t="shared" si="41"/>
        <v/>
      </c>
      <c r="R403" s="16">
        <f t="shared" si="43"/>
        <v>0</v>
      </c>
      <c r="S403" s="16" t="str">
        <f>IF(OR($B403="",NOT(ISNUMBER($F403))),"",SUMIFS(community_cores_FS!$P$5:$P$597,community_cores_FS!$B$5:$B$597,$B403,community_cores_FS!$F$5:$F$597,"&lt;="&amp;$F403))</f>
        <v/>
      </c>
      <c r="T403" s="16" t="str">
        <f>IF(AND($A403="",$B403="",$E403=""),"",IF(AND($B403&lt;&gt;"",COUNTIF('2. Core Log'!$A$5:$A$124,$B403)=0),"Core ID not in Core Log. ","")&amp;IF(AND($A403&lt;&gt;"",COUNTIF('1. Plot &amp; Site Log'!$A$5:$A$64,$A403)=0),"Plot ID not in Plot &amp; Site Log. ","")&amp;IF(AND(ISNUMBER($E403),ISNUMBER($F403),$F403&lt;=$E403),"Bottom depth is not below top depth. ","")&amp;IF($I403="","Say which bulk-density basis the lab reported. ","")&amp;IF(AND(ISNUMBER($J403),OR($J403&lt;QC_BD_MIN,$J403&gt;QC_BD_MAX)),"Bulk density outside "&amp;QC_BD_MIN&amp;"–"&amp;QC_BD_MAX&amp;" g/cm³ for peat. Above the top of that range usually means the mineral contact has been passed. ","")&amp;IF(AND(ISNUMBER($N403),$N403&gt;QC_CARBON_PCT_MAX),"Carbon above "&amp;QC_CARBON_PCT_MAX&amp;"% — check units; this may be organic matter rather than carbon. ","")&amp;IF(AND($L403&lt;&gt;"",$M403&lt;&gt;""),"Both LOI and measured carbon given — the measured value is used. ","")&amp;IF(AND($M403="",$L403&lt;&gt;"",OM_FACTOR_IS_LOCAL&lt;&gt;"Yes"),"Carbon derived from LOI using the default factor of "&amp;CARBON_FRACTION_OM&amp;", which has not been calibrated locally. See R1. Reference. ","")&amp;IF(AND(ISNUMBER($O403),$O403=0,ISNUMBER($E403)),"Section lies entirely below the reference depth — it counts to the full-profile stock only. ",""))</f>
        <v/>
      </c>
      <c r="U403" s="14"/>
    </row>
    <row r="404" spans="1:21" ht="15.75" customHeight="1">
      <c r="A404" s="14"/>
      <c r="B404" s="14"/>
      <c r="C404" s="14"/>
      <c r="D404" s="14"/>
      <c r="E404" s="14"/>
      <c r="F404" s="14"/>
      <c r="G404" s="14" t="str">
        <f t="shared" si="38"/>
        <v/>
      </c>
      <c r="H404" s="14"/>
      <c r="I404" s="14"/>
      <c r="J404" s="24"/>
      <c r="K404" s="24"/>
      <c r="L404" s="24"/>
      <c r="M404" s="24"/>
      <c r="N404" s="16" t="str">
        <f t="shared" si="42"/>
        <v/>
      </c>
      <c r="O404" s="16" t="str">
        <f t="shared" si="39"/>
        <v/>
      </c>
      <c r="P404" s="16" t="str">
        <f t="shared" si="40"/>
        <v/>
      </c>
      <c r="Q404" s="16" t="str">
        <f t="shared" si="41"/>
        <v/>
      </c>
      <c r="R404" s="16">
        <f t="shared" si="43"/>
        <v>0</v>
      </c>
      <c r="S404" s="16" t="str">
        <f>IF(OR($B404="",NOT(ISNUMBER($F404))),"",SUMIFS(community_cores_FS!$P$5:$P$597,community_cores_FS!$B$5:$B$597,$B404,community_cores_FS!$F$5:$F$597,"&lt;="&amp;$F404))</f>
        <v/>
      </c>
      <c r="T404" s="16" t="str">
        <f>IF(AND($A404="",$B404="",$E404=""),"",IF(AND($B404&lt;&gt;"",COUNTIF('2. Core Log'!$A$5:$A$124,$B404)=0),"Core ID not in Core Log. ","")&amp;IF(AND($A404&lt;&gt;"",COUNTIF('1. Plot &amp; Site Log'!$A$5:$A$64,$A404)=0),"Plot ID not in Plot &amp; Site Log. ","")&amp;IF(AND(ISNUMBER($E404),ISNUMBER($F404),$F404&lt;=$E404),"Bottom depth is not below top depth. ","")&amp;IF($I404="","Say which bulk-density basis the lab reported. ","")&amp;IF(AND(ISNUMBER($J404),OR($J404&lt;QC_BD_MIN,$J404&gt;QC_BD_MAX)),"Bulk density outside "&amp;QC_BD_MIN&amp;"–"&amp;QC_BD_MAX&amp;" g/cm³ for peat. Above the top of that range usually means the mineral contact has been passed. ","")&amp;IF(AND(ISNUMBER($N404),$N404&gt;QC_CARBON_PCT_MAX),"Carbon above "&amp;QC_CARBON_PCT_MAX&amp;"% — check units; this may be organic matter rather than carbon. ","")&amp;IF(AND($L404&lt;&gt;"",$M404&lt;&gt;""),"Both LOI and measured carbon given — the measured value is used. ","")&amp;IF(AND($M404="",$L404&lt;&gt;"",OM_FACTOR_IS_LOCAL&lt;&gt;"Yes"),"Carbon derived from LOI using the default factor of "&amp;CARBON_FRACTION_OM&amp;", which has not been calibrated locally. See R1. Reference. ","")&amp;IF(AND(ISNUMBER($O404),$O404=0,ISNUMBER($E404)),"Section lies entirely below the reference depth — it counts to the full-profile stock only. ",""))</f>
        <v/>
      </c>
      <c r="U404" s="14"/>
    </row>
    <row r="405" spans="1:21" ht="15.75" customHeight="1">
      <c r="A405" s="14"/>
      <c r="B405" s="14"/>
      <c r="C405" s="14"/>
      <c r="D405" s="14"/>
      <c r="E405" s="14"/>
      <c r="F405" s="14"/>
      <c r="G405" s="14" t="str">
        <f t="shared" si="38"/>
        <v/>
      </c>
      <c r="H405" s="14"/>
      <c r="I405" s="14"/>
      <c r="J405" s="24"/>
      <c r="K405" s="24"/>
      <c r="L405" s="24"/>
      <c r="M405" s="24"/>
      <c r="N405" s="16" t="str">
        <f t="shared" si="42"/>
        <v/>
      </c>
      <c r="O405" s="16" t="str">
        <f t="shared" si="39"/>
        <v/>
      </c>
      <c r="P405" s="16" t="str">
        <f t="shared" si="40"/>
        <v/>
      </c>
      <c r="Q405" s="16" t="str">
        <f t="shared" si="41"/>
        <v/>
      </c>
      <c r="R405" s="16">
        <f t="shared" si="43"/>
        <v>0</v>
      </c>
      <c r="S405" s="16" t="str">
        <f>IF(OR($B405="",NOT(ISNUMBER($F405))),"",SUMIFS(community_cores_FS!$P$5:$P$597,community_cores_FS!$B$5:$B$597,$B405,community_cores_FS!$F$5:$F$597,"&lt;="&amp;$F405))</f>
        <v/>
      </c>
      <c r="T405" s="16" t="str">
        <f>IF(AND($A405="",$B405="",$E405=""),"",IF(AND($B405&lt;&gt;"",COUNTIF('2. Core Log'!$A$5:$A$124,$B405)=0),"Core ID not in Core Log. ","")&amp;IF(AND($A405&lt;&gt;"",COUNTIF('1. Plot &amp; Site Log'!$A$5:$A$64,$A405)=0),"Plot ID not in Plot &amp; Site Log. ","")&amp;IF(AND(ISNUMBER($E405),ISNUMBER($F405),$F405&lt;=$E405),"Bottom depth is not below top depth. ","")&amp;IF($I405="","Say which bulk-density basis the lab reported. ","")&amp;IF(AND(ISNUMBER($J405),OR($J405&lt;QC_BD_MIN,$J405&gt;QC_BD_MAX)),"Bulk density outside "&amp;QC_BD_MIN&amp;"–"&amp;QC_BD_MAX&amp;" g/cm³ for peat. Above the top of that range usually means the mineral contact has been passed. ","")&amp;IF(AND(ISNUMBER($N405),$N405&gt;QC_CARBON_PCT_MAX),"Carbon above "&amp;QC_CARBON_PCT_MAX&amp;"% — check units; this may be organic matter rather than carbon. ","")&amp;IF(AND($L405&lt;&gt;"",$M405&lt;&gt;""),"Both LOI and measured carbon given — the measured value is used. ","")&amp;IF(AND($M405="",$L405&lt;&gt;"",OM_FACTOR_IS_LOCAL&lt;&gt;"Yes"),"Carbon derived from LOI using the default factor of "&amp;CARBON_FRACTION_OM&amp;", which has not been calibrated locally. See R1. Reference. ","")&amp;IF(AND(ISNUMBER($O405),$O405=0,ISNUMBER($E405)),"Section lies entirely below the reference depth — it counts to the full-profile stock only. ",""))</f>
        <v/>
      </c>
      <c r="U405" s="14"/>
    </row>
    <row r="406" spans="1:21" ht="15.75" customHeight="1">
      <c r="A406" s="14"/>
      <c r="B406" s="14"/>
      <c r="C406" s="14"/>
      <c r="D406" s="14"/>
      <c r="E406" s="14"/>
      <c r="F406" s="14"/>
      <c r="G406" s="14" t="str">
        <f t="shared" si="38"/>
        <v/>
      </c>
      <c r="H406" s="14"/>
      <c r="I406" s="14"/>
      <c r="J406" s="24"/>
      <c r="K406" s="24"/>
      <c r="L406" s="24"/>
      <c r="M406" s="24"/>
      <c r="N406" s="16" t="str">
        <f t="shared" si="42"/>
        <v/>
      </c>
      <c r="O406" s="16" t="str">
        <f t="shared" si="39"/>
        <v/>
      </c>
      <c r="P406" s="16" t="str">
        <f t="shared" si="40"/>
        <v/>
      </c>
      <c r="Q406" s="16" t="str">
        <f t="shared" si="41"/>
        <v/>
      </c>
      <c r="R406" s="16">
        <f t="shared" si="43"/>
        <v>0</v>
      </c>
      <c r="S406" s="16" t="str">
        <f>IF(OR($B406="",NOT(ISNUMBER($F406))),"",SUMIFS(community_cores_FS!$P$5:$P$597,community_cores_FS!$B$5:$B$597,$B406,community_cores_FS!$F$5:$F$597,"&lt;="&amp;$F406))</f>
        <v/>
      </c>
      <c r="T406" s="16" t="str">
        <f>IF(AND($A406="",$B406="",$E406=""),"",IF(AND($B406&lt;&gt;"",COUNTIF('2. Core Log'!$A$5:$A$124,$B406)=0),"Core ID not in Core Log. ","")&amp;IF(AND($A406&lt;&gt;"",COUNTIF('1. Plot &amp; Site Log'!$A$5:$A$64,$A406)=0),"Plot ID not in Plot &amp; Site Log. ","")&amp;IF(AND(ISNUMBER($E406),ISNUMBER($F406),$F406&lt;=$E406),"Bottom depth is not below top depth. ","")&amp;IF($I406="","Say which bulk-density basis the lab reported. ","")&amp;IF(AND(ISNUMBER($J406),OR($J406&lt;QC_BD_MIN,$J406&gt;QC_BD_MAX)),"Bulk density outside "&amp;QC_BD_MIN&amp;"–"&amp;QC_BD_MAX&amp;" g/cm³ for peat. Above the top of that range usually means the mineral contact has been passed. ","")&amp;IF(AND(ISNUMBER($N406),$N406&gt;QC_CARBON_PCT_MAX),"Carbon above "&amp;QC_CARBON_PCT_MAX&amp;"% — check units; this may be organic matter rather than carbon. ","")&amp;IF(AND($L406&lt;&gt;"",$M406&lt;&gt;""),"Both LOI and measured carbon given — the measured value is used. ","")&amp;IF(AND($M406="",$L406&lt;&gt;"",OM_FACTOR_IS_LOCAL&lt;&gt;"Yes"),"Carbon derived from LOI using the default factor of "&amp;CARBON_FRACTION_OM&amp;", which has not been calibrated locally. See R1. Reference. ","")&amp;IF(AND(ISNUMBER($O406),$O406=0,ISNUMBER($E406)),"Section lies entirely below the reference depth — it counts to the full-profile stock only. ",""))</f>
        <v/>
      </c>
      <c r="U406" s="14"/>
    </row>
    <row r="407" spans="1:21" ht="15.75" customHeight="1">
      <c r="A407" s="14"/>
      <c r="B407" s="14"/>
      <c r="C407" s="14"/>
      <c r="D407" s="14"/>
      <c r="E407" s="14"/>
      <c r="F407" s="14"/>
      <c r="G407" s="14" t="str">
        <f t="shared" si="38"/>
        <v/>
      </c>
      <c r="H407" s="14"/>
      <c r="I407" s="14"/>
      <c r="J407" s="24"/>
      <c r="K407" s="24"/>
      <c r="L407" s="24"/>
      <c r="M407" s="24"/>
      <c r="N407" s="16" t="str">
        <f t="shared" si="42"/>
        <v/>
      </c>
      <c r="O407" s="16" t="str">
        <f t="shared" si="39"/>
        <v/>
      </c>
      <c r="P407" s="16" t="str">
        <f t="shared" si="40"/>
        <v/>
      </c>
      <c r="Q407" s="16" t="str">
        <f t="shared" si="41"/>
        <v/>
      </c>
      <c r="R407" s="16">
        <f t="shared" si="43"/>
        <v>0</v>
      </c>
      <c r="S407" s="16" t="str">
        <f>IF(OR($B407="",NOT(ISNUMBER($F407))),"",SUMIFS(community_cores_FS!$P$5:$P$597,community_cores_FS!$B$5:$B$597,$B407,community_cores_FS!$F$5:$F$597,"&lt;="&amp;$F407))</f>
        <v/>
      </c>
      <c r="T407" s="16" t="str">
        <f>IF(AND($A407="",$B407="",$E407=""),"",IF(AND($B407&lt;&gt;"",COUNTIF('2. Core Log'!$A$5:$A$124,$B407)=0),"Core ID not in Core Log. ","")&amp;IF(AND($A407&lt;&gt;"",COUNTIF('1. Plot &amp; Site Log'!$A$5:$A$64,$A407)=0),"Plot ID not in Plot &amp; Site Log. ","")&amp;IF(AND(ISNUMBER($E407),ISNUMBER($F407),$F407&lt;=$E407),"Bottom depth is not below top depth. ","")&amp;IF($I407="","Say which bulk-density basis the lab reported. ","")&amp;IF(AND(ISNUMBER($J407),OR($J407&lt;QC_BD_MIN,$J407&gt;QC_BD_MAX)),"Bulk density outside "&amp;QC_BD_MIN&amp;"–"&amp;QC_BD_MAX&amp;" g/cm³ for peat. Above the top of that range usually means the mineral contact has been passed. ","")&amp;IF(AND(ISNUMBER($N407),$N407&gt;QC_CARBON_PCT_MAX),"Carbon above "&amp;QC_CARBON_PCT_MAX&amp;"% — check units; this may be organic matter rather than carbon. ","")&amp;IF(AND($L407&lt;&gt;"",$M407&lt;&gt;""),"Both LOI and measured carbon given — the measured value is used. ","")&amp;IF(AND($M407="",$L407&lt;&gt;"",OM_FACTOR_IS_LOCAL&lt;&gt;"Yes"),"Carbon derived from LOI using the default factor of "&amp;CARBON_FRACTION_OM&amp;", which has not been calibrated locally. See R1. Reference. ","")&amp;IF(AND(ISNUMBER($O407),$O407=0,ISNUMBER($E407)),"Section lies entirely below the reference depth — it counts to the full-profile stock only. ",""))</f>
        <v/>
      </c>
      <c r="U407" s="14"/>
    </row>
    <row r="408" spans="1:21" ht="15.75" customHeight="1">
      <c r="A408" s="14"/>
      <c r="B408" s="14"/>
      <c r="C408" s="14"/>
      <c r="D408" s="14"/>
      <c r="E408" s="14"/>
      <c r="F408" s="14"/>
      <c r="G408" s="14" t="str">
        <f t="shared" si="38"/>
        <v/>
      </c>
      <c r="H408" s="14"/>
      <c r="I408" s="14"/>
      <c r="J408" s="24"/>
      <c r="K408" s="24"/>
      <c r="L408" s="24"/>
      <c r="M408" s="24"/>
      <c r="N408" s="16" t="str">
        <f t="shared" si="42"/>
        <v/>
      </c>
      <c r="O408" s="16" t="str">
        <f t="shared" si="39"/>
        <v/>
      </c>
      <c r="P408" s="16" t="str">
        <f t="shared" si="40"/>
        <v/>
      </c>
      <c r="Q408" s="16" t="str">
        <f t="shared" si="41"/>
        <v/>
      </c>
      <c r="R408" s="16">
        <f t="shared" si="43"/>
        <v>0</v>
      </c>
      <c r="S408" s="16" t="str">
        <f>IF(OR($B408="",NOT(ISNUMBER($F408))),"",SUMIFS(community_cores_FS!$P$5:$P$597,community_cores_FS!$B$5:$B$597,$B408,community_cores_FS!$F$5:$F$597,"&lt;="&amp;$F408))</f>
        <v/>
      </c>
      <c r="T408" s="16" t="str">
        <f>IF(AND($A408="",$B408="",$E408=""),"",IF(AND($B408&lt;&gt;"",COUNTIF('2. Core Log'!$A$5:$A$124,$B408)=0),"Core ID not in Core Log. ","")&amp;IF(AND($A408&lt;&gt;"",COUNTIF('1. Plot &amp; Site Log'!$A$5:$A$64,$A408)=0),"Plot ID not in Plot &amp; Site Log. ","")&amp;IF(AND(ISNUMBER($E408),ISNUMBER($F408),$F408&lt;=$E408),"Bottom depth is not below top depth. ","")&amp;IF($I408="","Say which bulk-density basis the lab reported. ","")&amp;IF(AND(ISNUMBER($J408),OR($J408&lt;QC_BD_MIN,$J408&gt;QC_BD_MAX)),"Bulk density outside "&amp;QC_BD_MIN&amp;"–"&amp;QC_BD_MAX&amp;" g/cm³ for peat. Above the top of that range usually means the mineral contact has been passed. ","")&amp;IF(AND(ISNUMBER($N408),$N408&gt;QC_CARBON_PCT_MAX),"Carbon above "&amp;QC_CARBON_PCT_MAX&amp;"% — check units; this may be organic matter rather than carbon. ","")&amp;IF(AND($L408&lt;&gt;"",$M408&lt;&gt;""),"Both LOI and measured carbon given — the measured value is used. ","")&amp;IF(AND($M408="",$L408&lt;&gt;"",OM_FACTOR_IS_LOCAL&lt;&gt;"Yes"),"Carbon derived from LOI using the default factor of "&amp;CARBON_FRACTION_OM&amp;", which has not been calibrated locally. See R1. Reference. ","")&amp;IF(AND(ISNUMBER($O408),$O408=0,ISNUMBER($E408)),"Section lies entirely below the reference depth — it counts to the full-profile stock only. ",""))</f>
        <v/>
      </c>
      <c r="U408" s="14"/>
    </row>
    <row r="409" spans="1:21" ht="15.75" customHeight="1">
      <c r="A409" s="14"/>
      <c r="B409" s="14"/>
      <c r="C409" s="14"/>
      <c r="D409" s="14"/>
      <c r="E409" s="14"/>
      <c r="F409" s="14"/>
      <c r="G409" s="14" t="str">
        <f t="shared" si="38"/>
        <v/>
      </c>
      <c r="H409" s="14"/>
      <c r="I409" s="14"/>
      <c r="J409" s="24"/>
      <c r="K409" s="24"/>
      <c r="L409" s="24"/>
      <c r="M409" s="24"/>
      <c r="N409" s="16" t="str">
        <f t="shared" si="42"/>
        <v/>
      </c>
      <c r="O409" s="16" t="str">
        <f t="shared" si="39"/>
        <v/>
      </c>
      <c r="P409" s="16" t="str">
        <f t="shared" si="40"/>
        <v/>
      </c>
      <c r="Q409" s="16" t="str">
        <f t="shared" si="41"/>
        <v/>
      </c>
      <c r="R409" s="16">
        <f t="shared" si="43"/>
        <v>0</v>
      </c>
      <c r="S409" s="16" t="str">
        <f>IF(OR($B409="",NOT(ISNUMBER($F409))),"",SUMIFS(community_cores_FS!$P$5:$P$597,community_cores_FS!$B$5:$B$597,$B409,community_cores_FS!$F$5:$F$597,"&lt;="&amp;$F409))</f>
        <v/>
      </c>
      <c r="T409" s="16" t="str">
        <f>IF(AND($A409="",$B409="",$E409=""),"",IF(AND($B409&lt;&gt;"",COUNTIF('2. Core Log'!$A$5:$A$124,$B409)=0),"Core ID not in Core Log. ","")&amp;IF(AND($A409&lt;&gt;"",COUNTIF('1. Plot &amp; Site Log'!$A$5:$A$64,$A409)=0),"Plot ID not in Plot &amp; Site Log. ","")&amp;IF(AND(ISNUMBER($E409),ISNUMBER($F409),$F409&lt;=$E409),"Bottom depth is not below top depth. ","")&amp;IF($I409="","Say which bulk-density basis the lab reported. ","")&amp;IF(AND(ISNUMBER($J409),OR($J409&lt;QC_BD_MIN,$J409&gt;QC_BD_MAX)),"Bulk density outside "&amp;QC_BD_MIN&amp;"–"&amp;QC_BD_MAX&amp;" g/cm³ for peat. Above the top of that range usually means the mineral contact has been passed. ","")&amp;IF(AND(ISNUMBER($N409),$N409&gt;QC_CARBON_PCT_MAX),"Carbon above "&amp;QC_CARBON_PCT_MAX&amp;"% — check units; this may be organic matter rather than carbon. ","")&amp;IF(AND($L409&lt;&gt;"",$M409&lt;&gt;""),"Both LOI and measured carbon given — the measured value is used. ","")&amp;IF(AND($M409="",$L409&lt;&gt;"",OM_FACTOR_IS_LOCAL&lt;&gt;"Yes"),"Carbon derived from LOI using the default factor of "&amp;CARBON_FRACTION_OM&amp;", which has not been calibrated locally. See R1. Reference. ","")&amp;IF(AND(ISNUMBER($O409),$O409=0,ISNUMBER($E409)),"Section lies entirely below the reference depth — it counts to the full-profile stock only. ",""))</f>
        <v/>
      </c>
      <c r="U409" s="14"/>
    </row>
    <row r="410" spans="1:21" ht="15.75" customHeight="1">
      <c r="A410" s="14"/>
      <c r="B410" s="14"/>
      <c r="C410" s="14"/>
      <c r="D410" s="14"/>
      <c r="E410" s="14"/>
      <c r="F410" s="14"/>
      <c r="G410" s="14" t="str">
        <f t="shared" si="38"/>
        <v/>
      </c>
      <c r="H410" s="14"/>
      <c r="I410" s="14"/>
      <c r="J410" s="24"/>
      <c r="K410" s="24"/>
      <c r="L410" s="24"/>
      <c r="M410" s="24"/>
      <c r="N410" s="16" t="str">
        <f t="shared" si="42"/>
        <v/>
      </c>
      <c r="O410" s="16" t="str">
        <f t="shared" si="39"/>
        <v/>
      </c>
      <c r="P410" s="16" t="str">
        <f t="shared" si="40"/>
        <v/>
      </c>
      <c r="Q410" s="16" t="str">
        <f t="shared" si="41"/>
        <v/>
      </c>
      <c r="R410" s="16">
        <f t="shared" si="43"/>
        <v>0</v>
      </c>
      <c r="S410" s="16" t="str">
        <f>IF(OR($B410="",NOT(ISNUMBER($F410))),"",SUMIFS(community_cores_FS!$P$5:$P$597,community_cores_FS!$B$5:$B$597,$B410,community_cores_FS!$F$5:$F$597,"&lt;="&amp;$F410))</f>
        <v/>
      </c>
      <c r="T410" s="16" t="str">
        <f>IF(AND($A410="",$B410="",$E410=""),"",IF(AND($B410&lt;&gt;"",COUNTIF('2. Core Log'!$A$5:$A$124,$B410)=0),"Core ID not in Core Log. ","")&amp;IF(AND($A410&lt;&gt;"",COUNTIF('1. Plot &amp; Site Log'!$A$5:$A$64,$A410)=0),"Plot ID not in Plot &amp; Site Log. ","")&amp;IF(AND(ISNUMBER($E410),ISNUMBER($F410),$F410&lt;=$E410),"Bottom depth is not below top depth. ","")&amp;IF($I410="","Say which bulk-density basis the lab reported. ","")&amp;IF(AND(ISNUMBER($J410),OR($J410&lt;QC_BD_MIN,$J410&gt;QC_BD_MAX)),"Bulk density outside "&amp;QC_BD_MIN&amp;"–"&amp;QC_BD_MAX&amp;" g/cm³ for peat. Above the top of that range usually means the mineral contact has been passed. ","")&amp;IF(AND(ISNUMBER($N410),$N410&gt;QC_CARBON_PCT_MAX),"Carbon above "&amp;QC_CARBON_PCT_MAX&amp;"% — check units; this may be organic matter rather than carbon. ","")&amp;IF(AND($L410&lt;&gt;"",$M410&lt;&gt;""),"Both LOI and measured carbon given — the measured value is used. ","")&amp;IF(AND($M410="",$L410&lt;&gt;"",OM_FACTOR_IS_LOCAL&lt;&gt;"Yes"),"Carbon derived from LOI using the default factor of "&amp;CARBON_FRACTION_OM&amp;", which has not been calibrated locally. See R1. Reference. ","")&amp;IF(AND(ISNUMBER($O410),$O410=0,ISNUMBER($E410)),"Section lies entirely below the reference depth — it counts to the full-profile stock only. ",""))</f>
        <v/>
      </c>
      <c r="U410" s="14"/>
    </row>
    <row r="411" spans="1:21" ht="15.75" customHeight="1">
      <c r="A411" s="14"/>
      <c r="B411" s="14"/>
      <c r="C411" s="14"/>
      <c r="D411" s="14"/>
      <c r="E411" s="14"/>
      <c r="F411" s="14"/>
      <c r="G411" s="14" t="str">
        <f t="shared" ref="G411:G474" si="44">IF(OR($E411="",$F411=""),"",$F411-$E411)</f>
        <v/>
      </c>
      <c r="H411" s="14"/>
      <c r="I411" s="14"/>
      <c r="J411" s="24"/>
      <c r="K411" s="24"/>
      <c r="L411" s="24"/>
      <c r="M411" s="24"/>
      <c r="N411" s="16" t="str">
        <f t="shared" si="42"/>
        <v/>
      </c>
      <c r="O411" s="16" t="str">
        <f t="shared" ref="O411:O474" si="45">IF(OR($E411="",$F411=""),"",MAX(0,MIN($F411,REFERENCE_DEPTH_CM)-MIN($E411,REFERENCE_DEPTH_CM)))</f>
        <v/>
      </c>
      <c r="P411" s="16" t="str">
        <f t="shared" ref="P411:P474" si="46">IF(OR($J411="",$N411="",$G411=""),"",$J411*($N411/100)*$G411*10)</f>
        <v/>
      </c>
      <c r="Q411" s="16" t="str">
        <f t="shared" ref="Q411:Q474" si="47">IF(OR($J411="",$N411="",$O411=""),"",$J411*($N411/100)*$O411*10)</f>
        <v/>
      </c>
      <c r="R411" s="16">
        <f t="shared" si="43"/>
        <v>0</v>
      </c>
      <c r="S411" s="16" t="str">
        <f>IF(OR($B411="",NOT(ISNUMBER($F411))),"",SUMIFS(community_cores_FS!$P$5:$P$597,community_cores_FS!$B$5:$B$597,$B411,community_cores_FS!$F$5:$F$597,"&lt;="&amp;$F411))</f>
        <v/>
      </c>
      <c r="T411" s="16" t="str">
        <f>IF(AND($A411="",$B411="",$E411=""),"",IF(AND($B411&lt;&gt;"",COUNTIF('2. Core Log'!$A$5:$A$124,$B411)=0),"Core ID not in Core Log. ","")&amp;IF(AND($A411&lt;&gt;"",COUNTIF('1. Plot &amp; Site Log'!$A$5:$A$64,$A411)=0),"Plot ID not in Plot &amp; Site Log. ","")&amp;IF(AND(ISNUMBER($E411),ISNUMBER($F411),$F411&lt;=$E411),"Bottom depth is not below top depth. ","")&amp;IF($I411="","Say which bulk-density basis the lab reported. ","")&amp;IF(AND(ISNUMBER($J411),OR($J411&lt;QC_BD_MIN,$J411&gt;QC_BD_MAX)),"Bulk density outside "&amp;QC_BD_MIN&amp;"–"&amp;QC_BD_MAX&amp;" g/cm³ for peat. Above the top of that range usually means the mineral contact has been passed. ","")&amp;IF(AND(ISNUMBER($N411),$N411&gt;QC_CARBON_PCT_MAX),"Carbon above "&amp;QC_CARBON_PCT_MAX&amp;"% — check units; this may be organic matter rather than carbon. ","")&amp;IF(AND($L411&lt;&gt;"",$M411&lt;&gt;""),"Both LOI and measured carbon given — the measured value is used. ","")&amp;IF(AND($M411="",$L411&lt;&gt;"",OM_FACTOR_IS_LOCAL&lt;&gt;"Yes"),"Carbon derived from LOI using the default factor of "&amp;CARBON_FRACTION_OM&amp;", which has not been calibrated locally. See R1. Reference. ","")&amp;IF(AND(ISNUMBER($O411),$O411=0,ISNUMBER($E411)),"Section lies entirely below the reference depth — it counts to the full-profile stock only. ",""))</f>
        <v/>
      </c>
      <c r="U411" s="14"/>
    </row>
    <row r="412" spans="1:21" ht="15.75" customHeight="1">
      <c r="A412" s="14"/>
      <c r="B412" s="14"/>
      <c r="C412" s="14"/>
      <c r="D412" s="14"/>
      <c r="E412" s="14"/>
      <c r="F412" s="14"/>
      <c r="G412" s="14" t="str">
        <f t="shared" si="44"/>
        <v/>
      </c>
      <c r="H412" s="14"/>
      <c r="I412" s="14"/>
      <c r="J412" s="24"/>
      <c r="K412" s="24"/>
      <c r="L412" s="24"/>
      <c r="M412" s="24"/>
      <c r="N412" s="16" t="str">
        <f t="shared" si="42"/>
        <v/>
      </c>
      <c r="O412" s="16" t="str">
        <f t="shared" si="45"/>
        <v/>
      </c>
      <c r="P412" s="16" t="str">
        <f t="shared" si="46"/>
        <v/>
      </c>
      <c r="Q412" s="16" t="str">
        <f t="shared" si="47"/>
        <v/>
      </c>
      <c r="R412" s="16">
        <f t="shared" si="43"/>
        <v>0</v>
      </c>
      <c r="S412" s="16" t="str">
        <f>IF(OR($B412="",NOT(ISNUMBER($F412))),"",SUMIFS(community_cores_FS!$P$5:$P$597,community_cores_FS!$B$5:$B$597,$B412,community_cores_FS!$F$5:$F$597,"&lt;="&amp;$F412))</f>
        <v/>
      </c>
      <c r="T412" s="16" t="str">
        <f>IF(AND($A412="",$B412="",$E412=""),"",IF(AND($B412&lt;&gt;"",COUNTIF('2. Core Log'!$A$5:$A$124,$B412)=0),"Core ID not in Core Log. ","")&amp;IF(AND($A412&lt;&gt;"",COUNTIF('1. Plot &amp; Site Log'!$A$5:$A$64,$A412)=0),"Plot ID not in Plot &amp; Site Log. ","")&amp;IF(AND(ISNUMBER($E412),ISNUMBER($F412),$F412&lt;=$E412),"Bottom depth is not below top depth. ","")&amp;IF($I412="","Say which bulk-density basis the lab reported. ","")&amp;IF(AND(ISNUMBER($J412),OR($J412&lt;QC_BD_MIN,$J412&gt;QC_BD_MAX)),"Bulk density outside "&amp;QC_BD_MIN&amp;"–"&amp;QC_BD_MAX&amp;" g/cm³ for peat. Above the top of that range usually means the mineral contact has been passed. ","")&amp;IF(AND(ISNUMBER($N412),$N412&gt;QC_CARBON_PCT_MAX),"Carbon above "&amp;QC_CARBON_PCT_MAX&amp;"% — check units; this may be organic matter rather than carbon. ","")&amp;IF(AND($L412&lt;&gt;"",$M412&lt;&gt;""),"Both LOI and measured carbon given — the measured value is used. ","")&amp;IF(AND($M412="",$L412&lt;&gt;"",OM_FACTOR_IS_LOCAL&lt;&gt;"Yes"),"Carbon derived from LOI using the default factor of "&amp;CARBON_FRACTION_OM&amp;", which has not been calibrated locally. See R1. Reference. ","")&amp;IF(AND(ISNUMBER($O412),$O412=0,ISNUMBER($E412)),"Section lies entirely below the reference depth — it counts to the full-profile stock only. ",""))</f>
        <v/>
      </c>
      <c r="U412" s="14"/>
    </row>
    <row r="413" spans="1:21" ht="15.75" customHeight="1">
      <c r="A413" s="14"/>
      <c r="B413" s="14"/>
      <c r="C413" s="14"/>
      <c r="D413" s="14"/>
      <c r="E413" s="14"/>
      <c r="F413" s="14"/>
      <c r="G413" s="14" t="str">
        <f t="shared" si="44"/>
        <v/>
      </c>
      <c r="H413" s="14"/>
      <c r="I413" s="14"/>
      <c r="J413" s="24"/>
      <c r="K413" s="24"/>
      <c r="L413" s="24"/>
      <c r="M413" s="24"/>
      <c r="N413" s="16" t="str">
        <f t="shared" si="42"/>
        <v/>
      </c>
      <c r="O413" s="16" t="str">
        <f t="shared" si="45"/>
        <v/>
      </c>
      <c r="P413" s="16" t="str">
        <f t="shared" si="46"/>
        <v/>
      </c>
      <c r="Q413" s="16" t="str">
        <f t="shared" si="47"/>
        <v/>
      </c>
      <c r="R413" s="16">
        <f t="shared" si="43"/>
        <v>0</v>
      </c>
      <c r="S413" s="16" t="str">
        <f>IF(OR($B413="",NOT(ISNUMBER($F413))),"",SUMIFS(community_cores_FS!$P$5:$P$597,community_cores_FS!$B$5:$B$597,$B413,community_cores_FS!$F$5:$F$597,"&lt;="&amp;$F413))</f>
        <v/>
      </c>
      <c r="T413" s="16" t="str">
        <f>IF(AND($A413="",$B413="",$E413=""),"",IF(AND($B413&lt;&gt;"",COUNTIF('2. Core Log'!$A$5:$A$124,$B413)=0),"Core ID not in Core Log. ","")&amp;IF(AND($A413&lt;&gt;"",COUNTIF('1. Plot &amp; Site Log'!$A$5:$A$64,$A413)=0),"Plot ID not in Plot &amp; Site Log. ","")&amp;IF(AND(ISNUMBER($E413),ISNUMBER($F413),$F413&lt;=$E413),"Bottom depth is not below top depth. ","")&amp;IF($I413="","Say which bulk-density basis the lab reported. ","")&amp;IF(AND(ISNUMBER($J413),OR($J413&lt;QC_BD_MIN,$J413&gt;QC_BD_MAX)),"Bulk density outside "&amp;QC_BD_MIN&amp;"–"&amp;QC_BD_MAX&amp;" g/cm³ for peat. Above the top of that range usually means the mineral contact has been passed. ","")&amp;IF(AND(ISNUMBER($N413),$N413&gt;QC_CARBON_PCT_MAX),"Carbon above "&amp;QC_CARBON_PCT_MAX&amp;"% — check units; this may be organic matter rather than carbon. ","")&amp;IF(AND($L413&lt;&gt;"",$M413&lt;&gt;""),"Both LOI and measured carbon given — the measured value is used. ","")&amp;IF(AND($M413="",$L413&lt;&gt;"",OM_FACTOR_IS_LOCAL&lt;&gt;"Yes"),"Carbon derived from LOI using the default factor of "&amp;CARBON_FRACTION_OM&amp;", which has not been calibrated locally. See R1. Reference. ","")&amp;IF(AND(ISNUMBER($O413),$O413=0,ISNUMBER($E413)),"Section lies entirely below the reference depth — it counts to the full-profile stock only. ",""))</f>
        <v/>
      </c>
      <c r="U413" s="14"/>
    </row>
    <row r="414" spans="1:21" ht="15.75" customHeight="1">
      <c r="A414" s="14"/>
      <c r="B414" s="14"/>
      <c r="C414" s="14"/>
      <c r="D414" s="14"/>
      <c r="E414" s="14"/>
      <c r="F414" s="14"/>
      <c r="G414" s="14" t="str">
        <f t="shared" si="44"/>
        <v/>
      </c>
      <c r="H414" s="14"/>
      <c r="I414" s="14"/>
      <c r="J414" s="24"/>
      <c r="K414" s="24"/>
      <c r="L414" s="24"/>
      <c r="M414" s="24"/>
      <c r="N414" s="16" t="str">
        <f t="shared" si="42"/>
        <v/>
      </c>
      <c r="O414" s="16" t="str">
        <f t="shared" si="45"/>
        <v/>
      </c>
      <c r="P414" s="16" t="str">
        <f t="shared" si="46"/>
        <v/>
      </c>
      <c r="Q414" s="16" t="str">
        <f t="shared" si="47"/>
        <v/>
      </c>
      <c r="R414" s="16">
        <f t="shared" si="43"/>
        <v>0</v>
      </c>
      <c r="S414" s="16" t="str">
        <f>IF(OR($B414="",NOT(ISNUMBER($F414))),"",SUMIFS(community_cores_FS!$P$5:$P$597,community_cores_FS!$B$5:$B$597,$B414,community_cores_FS!$F$5:$F$597,"&lt;="&amp;$F414))</f>
        <v/>
      </c>
      <c r="T414" s="16" t="str">
        <f>IF(AND($A414="",$B414="",$E414=""),"",IF(AND($B414&lt;&gt;"",COUNTIF('2. Core Log'!$A$5:$A$124,$B414)=0),"Core ID not in Core Log. ","")&amp;IF(AND($A414&lt;&gt;"",COUNTIF('1. Plot &amp; Site Log'!$A$5:$A$64,$A414)=0),"Plot ID not in Plot &amp; Site Log. ","")&amp;IF(AND(ISNUMBER($E414),ISNUMBER($F414),$F414&lt;=$E414),"Bottom depth is not below top depth. ","")&amp;IF($I414="","Say which bulk-density basis the lab reported. ","")&amp;IF(AND(ISNUMBER($J414),OR($J414&lt;QC_BD_MIN,$J414&gt;QC_BD_MAX)),"Bulk density outside "&amp;QC_BD_MIN&amp;"–"&amp;QC_BD_MAX&amp;" g/cm³ for peat. Above the top of that range usually means the mineral contact has been passed. ","")&amp;IF(AND(ISNUMBER($N414),$N414&gt;QC_CARBON_PCT_MAX),"Carbon above "&amp;QC_CARBON_PCT_MAX&amp;"% — check units; this may be organic matter rather than carbon. ","")&amp;IF(AND($L414&lt;&gt;"",$M414&lt;&gt;""),"Both LOI and measured carbon given — the measured value is used. ","")&amp;IF(AND($M414="",$L414&lt;&gt;"",OM_FACTOR_IS_LOCAL&lt;&gt;"Yes"),"Carbon derived from LOI using the default factor of "&amp;CARBON_FRACTION_OM&amp;", which has not been calibrated locally. See R1. Reference. ","")&amp;IF(AND(ISNUMBER($O414),$O414=0,ISNUMBER($E414)),"Section lies entirely below the reference depth — it counts to the full-profile stock only. ",""))</f>
        <v/>
      </c>
      <c r="U414" s="14"/>
    </row>
    <row r="415" spans="1:21" ht="15.75" customHeight="1">
      <c r="A415" s="14"/>
      <c r="B415" s="14"/>
      <c r="C415" s="14"/>
      <c r="D415" s="14"/>
      <c r="E415" s="14"/>
      <c r="F415" s="14"/>
      <c r="G415" s="14" t="str">
        <f t="shared" si="44"/>
        <v/>
      </c>
      <c r="H415" s="14"/>
      <c r="I415" s="14"/>
      <c r="J415" s="24"/>
      <c r="K415" s="24"/>
      <c r="L415" s="24"/>
      <c r="M415" s="24"/>
      <c r="N415" s="16" t="str">
        <f t="shared" si="42"/>
        <v/>
      </c>
      <c r="O415" s="16" t="str">
        <f t="shared" si="45"/>
        <v/>
      </c>
      <c r="P415" s="16" t="str">
        <f t="shared" si="46"/>
        <v/>
      </c>
      <c r="Q415" s="16" t="str">
        <f t="shared" si="47"/>
        <v/>
      </c>
      <c r="R415" s="16">
        <f t="shared" si="43"/>
        <v>0</v>
      </c>
      <c r="S415" s="16" t="str">
        <f>IF(OR($B415="",NOT(ISNUMBER($F415))),"",SUMIFS(community_cores_FS!$P$5:$P$597,community_cores_FS!$B$5:$B$597,$B415,community_cores_FS!$F$5:$F$597,"&lt;="&amp;$F415))</f>
        <v/>
      </c>
      <c r="T415" s="16" t="str">
        <f>IF(AND($A415="",$B415="",$E415=""),"",IF(AND($B415&lt;&gt;"",COUNTIF('2. Core Log'!$A$5:$A$124,$B415)=0),"Core ID not in Core Log. ","")&amp;IF(AND($A415&lt;&gt;"",COUNTIF('1. Plot &amp; Site Log'!$A$5:$A$64,$A415)=0),"Plot ID not in Plot &amp; Site Log. ","")&amp;IF(AND(ISNUMBER($E415),ISNUMBER($F415),$F415&lt;=$E415),"Bottom depth is not below top depth. ","")&amp;IF($I415="","Say which bulk-density basis the lab reported. ","")&amp;IF(AND(ISNUMBER($J415),OR($J415&lt;QC_BD_MIN,$J415&gt;QC_BD_MAX)),"Bulk density outside "&amp;QC_BD_MIN&amp;"–"&amp;QC_BD_MAX&amp;" g/cm³ for peat. Above the top of that range usually means the mineral contact has been passed. ","")&amp;IF(AND(ISNUMBER($N415),$N415&gt;QC_CARBON_PCT_MAX),"Carbon above "&amp;QC_CARBON_PCT_MAX&amp;"% — check units; this may be organic matter rather than carbon. ","")&amp;IF(AND($L415&lt;&gt;"",$M415&lt;&gt;""),"Both LOI and measured carbon given — the measured value is used. ","")&amp;IF(AND($M415="",$L415&lt;&gt;"",OM_FACTOR_IS_LOCAL&lt;&gt;"Yes"),"Carbon derived from LOI using the default factor of "&amp;CARBON_FRACTION_OM&amp;", which has not been calibrated locally. See R1. Reference. ","")&amp;IF(AND(ISNUMBER($O415),$O415=0,ISNUMBER($E415)),"Section lies entirely below the reference depth — it counts to the full-profile stock only. ",""))</f>
        <v/>
      </c>
      <c r="U415" s="14"/>
    </row>
    <row r="416" spans="1:21" ht="15.75" customHeight="1">
      <c r="A416" s="14"/>
      <c r="B416" s="14"/>
      <c r="C416" s="14"/>
      <c r="D416" s="14"/>
      <c r="E416" s="14"/>
      <c r="F416" s="14"/>
      <c r="G416" s="14" t="str">
        <f t="shared" si="44"/>
        <v/>
      </c>
      <c r="H416" s="14"/>
      <c r="I416" s="14"/>
      <c r="J416" s="24"/>
      <c r="K416" s="24"/>
      <c r="L416" s="24"/>
      <c r="M416" s="24"/>
      <c r="N416" s="16" t="str">
        <f t="shared" si="42"/>
        <v/>
      </c>
      <c r="O416" s="16" t="str">
        <f t="shared" si="45"/>
        <v/>
      </c>
      <c r="P416" s="16" t="str">
        <f t="shared" si="46"/>
        <v/>
      </c>
      <c r="Q416" s="16" t="str">
        <f t="shared" si="47"/>
        <v/>
      </c>
      <c r="R416" s="16">
        <f t="shared" si="43"/>
        <v>0</v>
      </c>
      <c r="S416" s="16" t="str">
        <f>IF(OR($B416="",NOT(ISNUMBER($F416))),"",SUMIFS(community_cores_FS!$P$5:$P$597,community_cores_FS!$B$5:$B$597,$B416,community_cores_FS!$F$5:$F$597,"&lt;="&amp;$F416))</f>
        <v/>
      </c>
      <c r="T416" s="16" t="str">
        <f>IF(AND($A416="",$B416="",$E416=""),"",IF(AND($B416&lt;&gt;"",COUNTIF('2. Core Log'!$A$5:$A$124,$B416)=0),"Core ID not in Core Log. ","")&amp;IF(AND($A416&lt;&gt;"",COUNTIF('1. Plot &amp; Site Log'!$A$5:$A$64,$A416)=0),"Plot ID not in Plot &amp; Site Log. ","")&amp;IF(AND(ISNUMBER($E416),ISNUMBER($F416),$F416&lt;=$E416),"Bottom depth is not below top depth. ","")&amp;IF($I416="","Say which bulk-density basis the lab reported. ","")&amp;IF(AND(ISNUMBER($J416),OR($J416&lt;QC_BD_MIN,$J416&gt;QC_BD_MAX)),"Bulk density outside "&amp;QC_BD_MIN&amp;"–"&amp;QC_BD_MAX&amp;" g/cm³ for peat. Above the top of that range usually means the mineral contact has been passed. ","")&amp;IF(AND(ISNUMBER($N416),$N416&gt;QC_CARBON_PCT_MAX),"Carbon above "&amp;QC_CARBON_PCT_MAX&amp;"% — check units; this may be organic matter rather than carbon. ","")&amp;IF(AND($L416&lt;&gt;"",$M416&lt;&gt;""),"Both LOI and measured carbon given — the measured value is used. ","")&amp;IF(AND($M416="",$L416&lt;&gt;"",OM_FACTOR_IS_LOCAL&lt;&gt;"Yes"),"Carbon derived from LOI using the default factor of "&amp;CARBON_FRACTION_OM&amp;", which has not been calibrated locally. See R1. Reference. ","")&amp;IF(AND(ISNUMBER($O416),$O416=0,ISNUMBER($E416)),"Section lies entirely below the reference depth — it counts to the full-profile stock only. ",""))</f>
        <v/>
      </c>
      <c r="U416" s="14"/>
    </row>
    <row r="417" spans="1:21" ht="15.75" customHeight="1">
      <c r="A417" s="14"/>
      <c r="B417" s="14"/>
      <c r="C417" s="14"/>
      <c r="D417" s="14"/>
      <c r="E417" s="14"/>
      <c r="F417" s="14"/>
      <c r="G417" s="14" t="str">
        <f t="shared" si="44"/>
        <v/>
      </c>
      <c r="H417" s="14"/>
      <c r="I417" s="14"/>
      <c r="J417" s="24"/>
      <c r="K417" s="24"/>
      <c r="L417" s="24"/>
      <c r="M417" s="24"/>
      <c r="N417" s="16" t="str">
        <f t="shared" si="42"/>
        <v/>
      </c>
      <c r="O417" s="16" t="str">
        <f t="shared" si="45"/>
        <v/>
      </c>
      <c r="P417" s="16" t="str">
        <f t="shared" si="46"/>
        <v/>
      </c>
      <c r="Q417" s="16" t="str">
        <f t="shared" si="47"/>
        <v/>
      </c>
      <c r="R417" s="16">
        <f t="shared" si="43"/>
        <v>0</v>
      </c>
      <c r="S417" s="16" t="str">
        <f>IF(OR($B417="",NOT(ISNUMBER($F417))),"",SUMIFS(community_cores_FS!$P$5:$P$597,community_cores_FS!$B$5:$B$597,$B417,community_cores_FS!$F$5:$F$597,"&lt;="&amp;$F417))</f>
        <v/>
      </c>
      <c r="T417" s="16" t="str">
        <f>IF(AND($A417="",$B417="",$E417=""),"",IF(AND($B417&lt;&gt;"",COUNTIF('2. Core Log'!$A$5:$A$124,$B417)=0),"Core ID not in Core Log. ","")&amp;IF(AND($A417&lt;&gt;"",COUNTIF('1. Plot &amp; Site Log'!$A$5:$A$64,$A417)=0),"Plot ID not in Plot &amp; Site Log. ","")&amp;IF(AND(ISNUMBER($E417),ISNUMBER($F417),$F417&lt;=$E417),"Bottom depth is not below top depth. ","")&amp;IF($I417="","Say which bulk-density basis the lab reported. ","")&amp;IF(AND(ISNUMBER($J417),OR($J417&lt;QC_BD_MIN,$J417&gt;QC_BD_MAX)),"Bulk density outside "&amp;QC_BD_MIN&amp;"–"&amp;QC_BD_MAX&amp;" g/cm³ for peat. Above the top of that range usually means the mineral contact has been passed. ","")&amp;IF(AND(ISNUMBER($N417),$N417&gt;QC_CARBON_PCT_MAX),"Carbon above "&amp;QC_CARBON_PCT_MAX&amp;"% — check units; this may be organic matter rather than carbon. ","")&amp;IF(AND($L417&lt;&gt;"",$M417&lt;&gt;""),"Both LOI and measured carbon given — the measured value is used. ","")&amp;IF(AND($M417="",$L417&lt;&gt;"",OM_FACTOR_IS_LOCAL&lt;&gt;"Yes"),"Carbon derived from LOI using the default factor of "&amp;CARBON_FRACTION_OM&amp;", which has not been calibrated locally. See R1. Reference. ","")&amp;IF(AND(ISNUMBER($O417),$O417=0,ISNUMBER($E417)),"Section lies entirely below the reference depth — it counts to the full-profile stock only. ",""))</f>
        <v/>
      </c>
      <c r="U417" s="14"/>
    </row>
    <row r="418" spans="1:21" ht="15.75" customHeight="1">
      <c r="A418" s="14"/>
      <c r="B418" s="14"/>
      <c r="C418" s="14"/>
      <c r="D418" s="14"/>
      <c r="E418" s="14"/>
      <c r="F418" s="14"/>
      <c r="G418" s="14" t="str">
        <f t="shared" si="44"/>
        <v/>
      </c>
      <c r="H418" s="14"/>
      <c r="I418" s="14"/>
      <c r="J418" s="24"/>
      <c r="K418" s="24"/>
      <c r="L418" s="24"/>
      <c r="M418" s="24"/>
      <c r="N418" s="16" t="str">
        <f t="shared" si="42"/>
        <v/>
      </c>
      <c r="O418" s="16" t="str">
        <f t="shared" si="45"/>
        <v/>
      </c>
      <c r="P418" s="16" t="str">
        <f t="shared" si="46"/>
        <v/>
      </c>
      <c r="Q418" s="16" t="str">
        <f t="shared" si="47"/>
        <v/>
      </c>
      <c r="R418" s="16">
        <f t="shared" si="43"/>
        <v>0</v>
      </c>
      <c r="S418" s="16" t="str">
        <f>IF(OR($B418="",NOT(ISNUMBER($F418))),"",SUMIFS(community_cores_FS!$P$5:$P$597,community_cores_FS!$B$5:$B$597,$B418,community_cores_FS!$F$5:$F$597,"&lt;="&amp;$F418))</f>
        <v/>
      </c>
      <c r="T418" s="16" t="str">
        <f>IF(AND($A418="",$B418="",$E418=""),"",IF(AND($B418&lt;&gt;"",COUNTIF('2. Core Log'!$A$5:$A$124,$B418)=0),"Core ID not in Core Log. ","")&amp;IF(AND($A418&lt;&gt;"",COUNTIF('1. Plot &amp; Site Log'!$A$5:$A$64,$A418)=0),"Plot ID not in Plot &amp; Site Log. ","")&amp;IF(AND(ISNUMBER($E418),ISNUMBER($F418),$F418&lt;=$E418),"Bottom depth is not below top depth. ","")&amp;IF($I418="","Say which bulk-density basis the lab reported. ","")&amp;IF(AND(ISNUMBER($J418),OR($J418&lt;QC_BD_MIN,$J418&gt;QC_BD_MAX)),"Bulk density outside "&amp;QC_BD_MIN&amp;"–"&amp;QC_BD_MAX&amp;" g/cm³ for peat. Above the top of that range usually means the mineral contact has been passed. ","")&amp;IF(AND(ISNUMBER($N418),$N418&gt;QC_CARBON_PCT_MAX),"Carbon above "&amp;QC_CARBON_PCT_MAX&amp;"% — check units; this may be organic matter rather than carbon. ","")&amp;IF(AND($L418&lt;&gt;"",$M418&lt;&gt;""),"Both LOI and measured carbon given — the measured value is used. ","")&amp;IF(AND($M418="",$L418&lt;&gt;"",OM_FACTOR_IS_LOCAL&lt;&gt;"Yes"),"Carbon derived from LOI using the default factor of "&amp;CARBON_FRACTION_OM&amp;", which has not been calibrated locally. See R1. Reference. ","")&amp;IF(AND(ISNUMBER($O418),$O418=0,ISNUMBER($E418)),"Section lies entirely below the reference depth — it counts to the full-profile stock only. ",""))</f>
        <v/>
      </c>
      <c r="U418" s="14"/>
    </row>
    <row r="419" spans="1:21" ht="15.75" customHeight="1">
      <c r="A419" s="14"/>
      <c r="B419" s="14"/>
      <c r="C419" s="14"/>
      <c r="D419" s="14"/>
      <c r="E419" s="14"/>
      <c r="F419" s="14"/>
      <c r="G419" s="14" t="str">
        <f t="shared" si="44"/>
        <v/>
      </c>
      <c r="H419" s="14"/>
      <c r="I419" s="14"/>
      <c r="J419" s="24"/>
      <c r="K419" s="24"/>
      <c r="L419" s="24"/>
      <c r="M419" s="24"/>
      <c r="N419" s="16" t="str">
        <f t="shared" si="42"/>
        <v/>
      </c>
      <c r="O419" s="16" t="str">
        <f t="shared" si="45"/>
        <v/>
      </c>
      <c r="P419" s="16" t="str">
        <f t="shared" si="46"/>
        <v/>
      </c>
      <c r="Q419" s="16" t="str">
        <f t="shared" si="47"/>
        <v/>
      </c>
      <c r="R419" s="16">
        <f t="shared" si="43"/>
        <v>0</v>
      </c>
      <c r="S419" s="16" t="str">
        <f>IF(OR($B419="",NOT(ISNUMBER($F419))),"",SUMIFS(community_cores_FS!$P$5:$P$597,community_cores_FS!$B$5:$B$597,$B419,community_cores_FS!$F$5:$F$597,"&lt;="&amp;$F419))</f>
        <v/>
      </c>
      <c r="T419" s="16" t="str">
        <f>IF(AND($A419="",$B419="",$E419=""),"",IF(AND($B419&lt;&gt;"",COUNTIF('2. Core Log'!$A$5:$A$124,$B419)=0),"Core ID not in Core Log. ","")&amp;IF(AND($A419&lt;&gt;"",COUNTIF('1. Plot &amp; Site Log'!$A$5:$A$64,$A419)=0),"Plot ID not in Plot &amp; Site Log. ","")&amp;IF(AND(ISNUMBER($E419),ISNUMBER($F419),$F419&lt;=$E419),"Bottom depth is not below top depth. ","")&amp;IF($I419="","Say which bulk-density basis the lab reported. ","")&amp;IF(AND(ISNUMBER($J419),OR($J419&lt;QC_BD_MIN,$J419&gt;QC_BD_MAX)),"Bulk density outside "&amp;QC_BD_MIN&amp;"–"&amp;QC_BD_MAX&amp;" g/cm³ for peat. Above the top of that range usually means the mineral contact has been passed. ","")&amp;IF(AND(ISNUMBER($N419),$N419&gt;QC_CARBON_PCT_MAX),"Carbon above "&amp;QC_CARBON_PCT_MAX&amp;"% — check units; this may be organic matter rather than carbon. ","")&amp;IF(AND($L419&lt;&gt;"",$M419&lt;&gt;""),"Both LOI and measured carbon given — the measured value is used. ","")&amp;IF(AND($M419="",$L419&lt;&gt;"",OM_FACTOR_IS_LOCAL&lt;&gt;"Yes"),"Carbon derived from LOI using the default factor of "&amp;CARBON_FRACTION_OM&amp;", which has not been calibrated locally. See R1. Reference. ","")&amp;IF(AND(ISNUMBER($O419),$O419=0,ISNUMBER($E419)),"Section lies entirely below the reference depth — it counts to the full-profile stock only. ",""))</f>
        <v/>
      </c>
      <c r="U419" s="14"/>
    </row>
    <row r="420" spans="1:21" ht="15.75" customHeight="1">
      <c r="A420" s="14"/>
      <c r="B420" s="14"/>
      <c r="C420" s="14"/>
      <c r="D420" s="14"/>
      <c r="E420" s="14"/>
      <c r="F420" s="14"/>
      <c r="G420" s="14" t="str">
        <f t="shared" si="44"/>
        <v/>
      </c>
      <c r="H420" s="14"/>
      <c r="I420" s="14"/>
      <c r="J420" s="24"/>
      <c r="K420" s="24"/>
      <c r="L420" s="24"/>
      <c r="M420" s="24"/>
      <c r="N420" s="16" t="str">
        <f t="shared" si="42"/>
        <v/>
      </c>
      <c r="O420" s="16" t="str">
        <f t="shared" si="45"/>
        <v/>
      </c>
      <c r="P420" s="16" t="str">
        <f t="shared" si="46"/>
        <v/>
      </c>
      <c r="Q420" s="16" t="str">
        <f t="shared" si="47"/>
        <v/>
      </c>
      <c r="R420" s="16">
        <f t="shared" si="43"/>
        <v>0</v>
      </c>
      <c r="S420" s="16" t="str">
        <f>IF(OR($B420="",NOT(ISNUMBER($F420))),"",SUMIFS(community_cores_FS!$P$5:$P$597,community_cores_FS!$B$5:$B$597,$B420,community_cores_FS!$F$5:$F$597,"&lt;="&amp;$F420))</f>
        <v/>
      </c>
      <c r="T420" s="16" t="str">
        <f>IF(AND($A420="",$B420="",$E420=""),"",IF(AND($B420&lt;&gt;"",COUNTIF('2. Core Log'!$A$5:$A$124,$B420)=0),"Core ID not in Core Log. ","")&amp;IF(AND($A420&lt;&gt;"",COUNTIF('1. Plot &amp; Site Log'!$A$5:$A$64,$A420)=0),"Plot ID not in Plot &amp; Site Log. ","")&amp;IF(AND(ISNUMBER($E420),ISNUMBER($F420),$F420&lt;=$E420),"Bottom depth is not below top depth. ","")&amp;IF($I420="","Say which bulk-density basis the lab reported. ","")&amp;IF(AND(ISNUMBER($J420),OR($J420&lt;QC_BD_MIN,$J420&gt;QC_BD_MAX)),"Bulk density outside "&amp;QC_BD_MIN&amp;"–"&amp;QC_BD_MAX&amp;" g/cm³ for peat. Above the top of that range usually means the mineral contact has been passed. ","")&amp;IF(AND(ISNUMBER($N420),$N420&gt;QC_CARBON_PCT_MAX),"Carbon above "&amp;QC_CARBON_PCT_MAX&amp;"% — check units; this may be organic matter rather than carbon. ","")&amp;IF(AND($L420&lt;&gt;"",$M420&lt;&gt;""),"Both LOI and measured carbon given — the measured value is used. ","")&amp;IF(AND($M420="",$L420&lt;&gt;"",OM_FACTOR_IS_LOCAL&lt;&gt;"Yes"),"Carbon derived from LOI using the default factor of "&amp;CARBON_FRACTION_OM&amp;", which has not been calibrated locally. See R1. Reference. ","")&amp;IF(AND(ISNUMBER($O420),$O420=0,ISNUMBER($E420)),"Section lies entirely below the reference depth — it counts to the full-profile stock only. ",""))</f>
        <v/>
      </c>
      <c r="U420" s="14"/>
    </row>
    <row r="421" spans="1:21" ht="15.75" customHeight="1">
      <c r="A421" s="14"/>
      <c r="B421" s="14"/>
      <c r="C421" s="14"/>
      <c r="D421" s="14"/>
      <c r="E421" s="14"/>
      <c r="F421" s="14"/>
      <c r="G421" s="14" t="str">
        <f t="shared" si="44"/>
        <v/>
      </c>
      <c r="H421" s="14"/>
      <c r="I421" s="14"/>
      <c r="J421" s="24"/>
      <c r="K421" s="24"/>
      <c r="L421" s="24"/>
      <c r="M421" s="24"/>
      <c r="N421" s="16" t="str">
        <f t="shared" si="42"/>
        <v/>
      </c>
      <c r="O421" s="16" t="str">
        <f t="shared" si="45"/>
        <v/>
      </c>
      <c r="P421" s="16" t="str">
        <f t="shared" si="46"/>
        <v/>
      </c>
      <c r="Q421" s="16" t="str">
        <f t="shared" si="47"/>
        <v/>
      </c>
      <c r="R421" s="16">
        <f t="shared" si="43"/>
        <v>0</v>
      </c>
      <c r="S421" s="16" t="str">
        <f>IF(OR($B421="",NOT(ISNUMBER($F421))),"",SUMIFS(community_cores_FS!$P$5:$P$597,community_cores_FS!$B$5:$B$597,$B421,community_cores_FS!$F$5:$F$597,"&lt;="&amp;$F421))</f>
        <v/>
      </c>
      <c r="T421" s="16" t="str">
        <f>IF(AND($A421="",$B421="",$E421=""),"",IF(AND($B421&lt;&gt;"",COUNTIF('2. Core Log'!$A$5:$A$124,$B421)=0),"Core ID not in Core Log. ","")&amp;IF(AND($A421&lt;&gt;"",COUNTIF('1. Plot &amp; Site Log'!$A$5:$A$64,$A421)=0),"Plot ID not in Plot &amp; Site Log. ","")&amp;IF(AND(ISNUMBER($E421),ISNUMBER($F421),$F421&lt;=$E421),"Bottom depth is not below top depth. ","")&amp;IF($I421="","Say which bulk-density basis the lab reported. ","")&amp;IF(AND(ISNUMBER($J421),OR($J421&lt;QC_BD_MIN,$J421&gt;QC_BD_MAX)),"Bulk density outside "&amp;QC_BD_MIN&amp;"–"&amp;QC_BD_MAX&amp;" g/cm³ for peat. Above the top of that range usually means the mineral contact has been passed. ","")&amp;IF(AND(ISNUMBER($N421),$N421&gt;QC_CARBON_PCT_MAX),"Carbon above "&amp;QC_CARBON_PCT_MAX&amp;"% — check units; this may be organic matter rather than carbon. ","")&amp;IF(AND($L421&lt;&gt;"",$M421&lt;&gt;""),"Both LOI and measured carbon given — the measured value is used. ","")&amp;IF(AND($M421="",$L421&lt;&gt;"",OM_FACTOR_IS_LOCAL&lt;&gt;"Yes"),"Carbon derived from LOI using the default factor of "&amp;CARBON_FRACTION_OM&amp;", which has not been calibrated locally. See R1. Reference. ","")&amp;IF(AND(ISNUMBER($O421),$O421=0,ISNUMBER($E421)),"Section lies entirely below the reference depth — it counts to the full-profile stock only. ",""))</f>
        <v/>
      </c>
      <c r="U421" s="14"/>
    </row>
    <row r="422" spans="1:21" ht="15.75" customHeight="1">
      <c r="A422" s="14"/>
      <c r="B422" s="14"/>
      <c r="C422" s="14"/>
      <c r="D422" s="14"/>
      <c r="E422" s="14"/>
      <c r="F422" s="14"/>
      <c r="G422" s="14" t="str">
        <f t="shared" si="44"/>
        <v/>
      </c>
      <c r="H422" s="14"/>
      <c r="I422" s="14"/>
      <c r="J422" s="24"/>
      <c r="K422" s="24"/>
      <c r="L422" s="24"/>
      <c r="M422" s="24"/>
      <c r="N422" s="16" t="str">
        <f t="shared" si="42"/>
        <v/>
      </c>
      <c r="O422" s="16" t="str">
        <f t="shared" si="45"/>
        <v/>
      </c>
      <c r="P422" s="16" t="str">
        <f t="shared" si="46"/>
        <v/>
      </c>
      <c r="Q422" s="16" t="str">
        <f t="shared" si="47"/>
        <v/>
      </c>
      <c r="R422" s="16">
        <f t="shared" si="43"/>
        <v>0</v>
      </c>
      <c r="S422" s="16" t="str">
        <f>IF(OR($B422="",NOT(ISNUMBER($F422))),"",SUMIFS(community_cores_FS!$P$5:$P$597,community_cores_FS!$B$5:$B$597,$B422,community_cores_FS!$F$5:$F$597,"&lt;="&amp;$F422))</f>
        <v/>
      </c>
      <c r="T422" s="16" t="str">
        <f>IF(AND($A422="",$B422="",$E422=""),"",IF(AND($B422&lt;&gt;"",COUNTIF('2. Core Log'!$A$5:$A$124,$B422)=0),"Core ID not in Core Log. ","")&amp;IF(AND($A422&lt;&gt;"",COUNTIF('1. Plot &amp; Site Log'!$A$5:$A$64,$A422)=0),"Plot ID not in Plot &amp; Site Log. ","")&amp;IF(AND(ISNUMBER($E422),ISNUMBER($F422),$F422&lt;=$E422),"Bottom depth is not below top depth. ","")&amp;IF($I422="","Say which bulk-density basis the lab reported. ","")&amp;IF(AND(ISNUMBER($J422),OR($J422&lt;QC_BD_MIN,$J422&gt;QC_BD_MAX)),"Bulk density outside "&amp;QC_BD_MIN&amp;"–"&amp;QC_BD_MAX&amp;" g/cm³ for peat. Above the top of that range usually means the mineral contact has been passed. ","")&amp;IF(AND(ISNUMBER($N422),$N422&gt;QC_CARBON_PCT_MAX),"Carbon above "&amp;QC_CARBON_PCT_MAX&amp;"% — check units; this may be organic matter rather than carbon. ","")&amp;IF(AND($L422&lt;&gt;"",$M422&lt;&gt;""),"Both LOI and measured carbon given — the measured value is used. ","")&amp;IF(AND($M422="",$L422&lt;&gt;"",OM_FACTOR_IS_LOCAL&lt;&gt;"Yes"),"Carbon derived from LOI using the default factor of "&amp;CARBON_FRACTION_OM&amp;", which has not been calibrated locally. See R1. Reference. ","")&amp;IF(AND(ISNUMBER($O422),$O422=0,ISNUMBER($E422)),"Section lies entirely below the reference depth — it counts to the full-profile stock only. ",""))</f>
        <v/>
      </c>
      <c r="U422" s="14"/>
    </row>
    <row r="423" spans="1:21" ht="15.75" customHeight="1">
      <c r="A423" s="14"/>
      <c r="B423" s="14"/>
      <c r="C423" s="14"/>
      <c r="D423" s="14"/>
      <c r="E423" s="14"/>
      <c r="F423" s="14"/>
      <c r="G423" s="14" t="str">
        <f t="shared" si="44"/>
        <v/>
      </c>
      <c r="H423" s="14"/>
      <c r="I423" s="14"/>
      <c r="J423" s="24"/>
      <c r="K423" s="24"/>
      <c r="L423" s="24"/>
      <c r="M423" s="24"/>
      <c r="N423" s="16" t="str">
        <f t="shared" si="42"/>
        <v/>
      </c>
      <c r="O423" s="16" t="str">
        <f t="shared" si="45"/>
        <v/>
      </c>
      <c r="P423" s="16" t="str">
        <f t="shared" si="46"/>
        <v/>
      </c>
      <c r="Q423" s="16" t="str">
        <f t="shared" si="47"/>
        <v/>
      </c>
      <c r="R423" s="16">
        <f t="shared" si="43"/>
        <v>0</v>
      </c>
      <c r="S423" s="16" t="str">
        <f>IF(OR($B423="",NOT(ISNUMBER($F423))),"",SUMIFS(community_cores_FS!$P$5:$P$597,community_cores_FS!$B$5:$B$597,$B423,community_cores_FS!$F$5:$F$597,"&lt;="&amp;$F423))</f>
        <v/>
      </c>
      <c r="T423" s="16" t="str">
        <f>IF(AND($A423="",$B423="",$E423=""),"",IF(AND($B423&lt;&gt;"",COUNTIF('2. Core Log'!$A$5:$A$124,$B423)=0),"Core ID not in Core Log. ","")&amp;IF(AND($A423&lt;&gt;"",COUNTIF('1. Plot &amp; Site Log'!$A$5:$A$64,$A423)=0),"Plot ID not in Plot &amp; Site Log. ","")&amp;IF(AND(ISNUMBER($E423),ISNUMBER($F423),$F423&lt;=$E423),"Bottom depth is not below top depth. ","")&amp;IF($I423="","Say which bulk-density basis the lab reported. ","")&amp;IF(AND(ISNUMBER($J423),OR($J423&lt;QC_BD_MIN,$J423&gt;QC_BD_MAX)),"Bulk density outside "&amp;QC_BD_MIN&amp;"–"&amp;QC_BD_MAX&amp;" g/cm³ for peat. Above the top of that range usually means the mineral contact has been passed. ","")&amp;IF(AND(ISNUMBER($N423),$N423&gt;QC_CARBON_PCT_MAX),"Carbon above "&amp;QC_CARBON_PCT_MAX&amp;"% — check units; this may be organic matter rather than carbon. ","")&amp;IF(AND($L423&lt;&gt;"",$M423&lt;&gt;""),"Both LOI and measured carbon given — the measured value is used. ","")&amp;IF(AND($M423="",$L423&lt;&gt;"",OM_FACTOR_IS_LOCAL&lt;&gt;"Yes"),"Carbon derived from LOI using the default factor of "&amp;CARBON_FRACTION_OM&amp;", which has not been calibrated locally. See R1. Reference. ","")&amp;IF(AND(ISNUMBER($O423),$O423=0,ISNUMBER($E423)),"Section lies entirely below the reference depth — it counts to the full-profile stock only. ",""))</f>
        <v/>
      </c>
      <c r="U423" s="14"/>
    </row>
    <row r="424" spans="1:21" ht="15.75" customHeight="1">
      <c r="A424" s="14"/>
      <c r="B424" s="14"/>
      <c r="C424" s="14"/>
      <c r="D424" s="14"/>
      <c r="E424" s="14"/>
      <c r="F424" s="14"/>
      <c r="G424" s="14" t="str">
        <f t="shared" si="44"/>
        <v/>
      </c>
      <c r="H424" s="14"/>
      <c r="I424" s="14"/>
      <c r="J424" s="24"/>
      <c r="K424" s="24"/>
      <c r="L424" s="24"/>
      <c r="M424" s="24"/>
      <c r="N424" s="16" t="str">
        <f t="shared" si="42"/>
        <v/>
      </c>
      <c r="O424" s="16" t="str">
        <f t="shared" si="45"/>
        <v/>
      </c>
      <c r="P424" s="16" t="str">
        <f t="shared" si="46"/>
        <v/>
      </c>
      <c r="Q424" s="16" t="str">
        <f t="shared" si="47"/>
        <v/>
      </c>
      <c r="R424" s="16">
        <f t="shared" si="43"/>
        <v>0</v>
      </c>
      <c r="S424" s="16" t="str">
        <f>IF(OR($B424="",NOT(ISNUMBER($F424))),"",SUMIFS(community_cores_FS!$P$5:$P$597,community_cores_FS!$B$5:$B$597,$B424,community_cores_FS!$F$5:$F$597,"&lt;="&amp;$F424))</f>
        <v/>
      </c>
      <c r="T424" s="16" t="str">
        <f>IF(AND($A424="",$B424="",$E424=""),"",IF(AND($B424&lt;&gt;"",COUNTIF('2. Core Log'!$A$5:$A$124,$B424)=0),"Core ID not in Core Log. ","")&amp;IF(AND($A424&lt;&gt;"",COUNTIF('1. Plot &amp; Site Log'!$A$5:$A$64,$A424)=0),"Plot ID not in Plot &amp; Site Log. ","")&amp;IF(AND(ISNUMBER($E424),ISNUMBER($F424),$F424&lt;=$E424),"Bottom depth is not below top depth. ","")&amp;IF($I424="","Say which bulk-density basis the lab reported. ","")&amp;IF(AND(ISNUMBER($J424),OR($J424&lt;QC_BD_MIN,$J424&gt;QC_BD_MAX)),"Bulk density outside "&amp;QC_BD_MIN&amp;"–"&amp;QC_BD_MAX&amp;" g/cm³ for peat. Above the top of that range usually means the mineral contact has been passed. ","")&amp;IF(AND(ISNUMBER($N424),$N424&gt;QC_CARBON_PCT_MAX),"Carbon above "&amp;QC_CARBON_PCT_MAX&amp;"% — check units; this may be organic matter rather than carbon. ","")&amp;IF(AND($L424&lt;&gt;"",$M424&lt;&gt;""),"Both LOI and measured carbon given — the measured value is used. ","")&amp;IF(AND($M424="",$L424&lt;&gt;"",OM_FACTOR_IS_LOCAL&lt;&gt;"Yes"),"Carbon derived from LOI using the default factor of "&amp;CARBON_FRACTION_OM&amp;", which has not been calibrated locally. See R1. Reference. ","")&amp;IF(AND(ISNUMBER($O424),$O424=0,ISNUMBER($E424)),"Section lies entirely below the reference depth — it counts to the full-profile stock only. ",""))</f>
        <v/>
      </c>
      <c r="U424" s="14"/>
    </row>
    <row r="425" spans="1:21" ht="15.75" customHeight="1">
      <c r="A425" s="14"/>
      <c r="B425" s="14"/>
      <c r="C425" s="14"/>
      <c r="D425" s="14"/>
      <c r="E425" s="14"/>
      <c r="F425" s="14"/>
      <c r="G425" s="14" t="str">
        <f t="shared" si="44"/>
        <v/>
      </c>
      <c r="H425" s="14"/>
      <c r="I425" s="14"/>
      <c r="J425" s="24"/>
      <c r="K425" s="24"/>
      <c r="L425" s="24"/>
      <c r="M425" s="24"/>
      <c r="N425" s="16" t="str">
        <f t="shared" si="42"/>
        <v/>
      </c>
      <c r="O425" s="16" t="str">
        <f t="shared" si="45"/>
        <v/>
      </c>
      <c r="P425" s="16" t="str">
        <f t="shared" si="46"/>
        <v/>
      </c>
      <c r="Q425" s="16" t="str">
        <f t="shared" si="47"/>
        <v/>
      </c>
      <c r="R425" s="16">
        <f t="shared" si="43"/>
        <v>0</v>
      </c>
      <c r="S425" s="16" t="str">
        <f>IF(OR($B425="",NOT(ISNUMBER($F425))),"",SUMIFS(community_cores_FS!$P$5:$P$597,community_cores_FS!$B$5:$B$597,$B425,community_cores_FS!$F$5:$F$597,"&lt;="&amp;$F425))</f>
        <v/>
      </c>
      <c r="T425" s="16" t="str">
        <f>IF(AND($A425="",$B425="",$E425=""),"",IF(AND($B425&lt;&gt;"",COUNTIF('2. Core Log'!$A$5:$A$124,$B425)=0),"Core ID not in Core Log. ","")&amp;IF(AND($A425&lt;&gt;"",COUNTIF('1. Plot &amp; Site Log'!$A$5:$A$64,$A425)=0),"Plot ID not in Plot &amp; Site Log. ","")&amp;IF(AND(ISNUMBER($E425),ISNUMBER($F425),$F425&lt;=$E425),"Bottom depth is not below top depth. ","")&amp;IF($I425="","Say which bulk-density basis the lab reported. ","")&amp;IF(AND(ISNUMBER($J425),OR($J425&lt;QC_BD_MIN,$J425&gt;QC_BD_MAX)),"Bulk density outside "&amp;QC_BD_MIN&amp;"–"&amp;QC_BD_MAX&amp;" g/cm³ for peat. Above the top of that range usually means the mineral contact has been passed. ","")&amp;IF(AND(ISNUMBER($N425),$N425&gt;QC_CARBON_PCT_MAX),"Carbon above "&amp;QC_CARBON_PCT_MAX&amp;"% — check units; this may be organic matter rather than carbon. ","")&amp;IF(AND($L425&lt;&gt;"",$M425&lt;&gt;""),"Both LOI and measured carbon given — the measured value is used. ","")&amp;IF(AND($M425="",$L425&lt;&gt;"",OM_FACTOR_IS_LOCAL&lt;&gt;"Yes"),"Carbon derived from LOI using the default factor of "&amp;CARBON_FRACTION_OM&amp;", which has not been calibrated locally. See R1. Reference. ","")&amp;IF(AND(ISNUMBER($O425),$O425=0,ISNUMBER($E425)),"Section lies entirely below the reference depth — it counts to the full-profile stock only. ",""))</f>
        <v/>
      </c>
      <c r="U425" s="14"/>
    </row>
    <row r="426" spans="1:21" ht="15.75" customHeight="1">
      <c r="A426" s="14"/>
      <c r="B426" s="14"/>
      <c r="C426" s="14"/>
      <c r="D426" s="14"/>
      <c r="E426" s="14"/>
      <c r="F426" s="14"/>
      <c r="G426" s="14" t="str">
        <f t="shared" si="44"/>
        <v/>
      </c>
      <c r="H426" s="14"/>
      <c r="I426" s="14"/>
      <c r="J426" s="24"/>
      <c r="K426" s="24"/>
      <c r="L426" s="24"/>
      <c r="M426" s="24"/>
      <c r="N426" s="16" t="str">
        <f t="shared" si="42"/>
        <v/>
      </c>
      <c r="O426" s="16" t="str">
        <f t="shared" si="45"/>
        <v/>
      </c>
      <c r="P426" s="16" t="str">
        <f t="shared" si="46"/>
        <v/>
      </c>
      <c r="Q426" s="16" t="str">
        <f t="shared" si="47"/>
        <v/>
      </c>
      <c r="R426" s="16">
        <f t="shared" si="43"/>
        <v>0</v>
      </c>
      <c r="S426" s="16" t="str">
        <f>IF(OR($B426="",NOT(ISNUMBER($F426))),"",SUMIFS(community_cores_FS!$P$5:$P$597,community_cores_FS!$B$5:$B$597,$B426,community_cores_FS!$F$5:$F$597,"&lt;="&amp;$F426))</f>
        <v/>
      </c>
      <c r="T426" s="16" t="str">
        <f>IF(AND($A426="",$B426="",$E426=""),"",IF(AND($B426&lt;&gt;"",COUNTIF('2. Core Log'!$A$5:$A$124,$B426)=0),"Core ID not in Core Log. ","")&amp;IF(AND($A426&lt;&gt;"",COUNTIF('1. Plot &amp; Site Log'!$A$5:$A$64,$A426)=0),"Plot ID not in Plot &amp; Site Log. ","")&amp;IF(AND(ISNUMBER($E426),ISNUMBER($F426),$F426&lt;=$E426),"Bottom depth is not below top depth. ","")&amp;IF($I426="","Say which bulk-density basis the lab reported. ","")&amp;IF(AND(ISNUMBER($J426),OR($J426&lt;QC_BD_MIN,$J426&gt;QC_BD_MAX)),"Bulk density outside "&amp;QC_BD_MIN&amp;"–"&amp;QC_BD_MAX&amp;" g/cm³ for peat. Above the top of that range usually means the mineral contact has been passed. ","")&amp;IF(AND(ISNUMBER($N426),$N426&gt;QC_CARBON_PCT_MAX),"Carbon above "&amp;QC_CARBON_PCT_MAX&amp;"% — check units; this may be organic matter rather than carbon. ","")&amp;IF(AND($L426&lt;&gt;"",$M426&lt;&gt;""),"Both LOI and measured carbon given — the measured value is used. ","")&amp;IF(AND($M426="",$L426&lt;&gt;"",OM_FACTOR_IS_LOCAL&lt;&gt;"Yes"),"Carbon derived from LOI using the default factor of "&amp;CARBON_FRACTION_OM&amp;", which has not been calibrated locally. See R1. Reference. ","")&amp;IF(AND(ISNUMBER($O426),$O426=0,ISNUMBER($E426)),"Section lies entirely below the reference depth — it counts to the full-profile stock only. ",""))</f>
        <v/>
      </c>
      <c r="U426" s="14"/>
    </row>
    <row r="427" spans="1:21" ht="15.75" customHeight="1">
      <c r="A427" s="14"/>
      <c r="B427" s="14"/>
      <c r="C427" s="14"/>
      <c r="D427" s="14"/>
      <c r="E427" s="14"/>
      <c r="F427" s="14"/>
      <c r="G427" s="14" t="str">
        <f t="shared" si="44"/>
        <v/>
      </c>
      <c r="H427" s="14"/>
      <c r="I427" s="14"/>
      <c r="J427" s="24"/>
      <c r="K427" s="24"/>
      <c r="L427" s="24"/>
      <c r="M427" s="24"/>
      <c r="N427" s="16" t="str">
        <f t="shared" si="42"/>
        <v/>
      </c>
      <c r="O427" s="16" t="str">
        <f t="shared" si="45"/>
        <v/>
      </c>
      <c r="P427" s="16" t="str">
        <f t="shared" si="46"/>
        <v/>
      </c>
      <c r="Q427" s="16" t="str">
        <f t="shared" si="47"/>
        <v/>
      </c>
      <c r="R427" s="16">
        <f t="shared" si="43"/>
        <v>0</v>
      </c>
      <c r="S427" s="16" t="str">
        <f>IF(OR($B427="",NOT(ISNUMBER($F427))),"",SUMIFS(community_cores_FS!$P$5:$P$597,community_cores_FS!$B$5:$B$597,$B427,community_cores_FS!$F$5:$F$597,"&lt;="&amp;$F427))</f>
        <v/>
      </c>
      <c r="T427" s="16" t="str">
        <f>IF(AND($A427="",$B427="",$E427=""),"",IF(AND($B427&lt;&gt;"",COUNTIF('2. Core Log'!$A$5:$A$124,$B427)=0),"Core ID not in Core Log. ","")&amp;IF(AND($A427&lt;&gt;"",COUNTIF('1. Plot &amp; Site Log'!$A$5:$A$64,$A427)=0),"Plot ID not in Plot &amp; Site Log. ","")&amp;IF(AND(ISNUMBER($E427),ISNUMBER($F427),$F427&lt;=$E427),"Bottom depth is not below top depth. ","")&amp;IF($I427="","Say which bulk-density basis the lab reported. ","")&amp;IF(AND(ISNUMBER($J427),OR($J427&lt;QC_BD_MIN,$J427&gt;QC_BD_MAX)),"Bulk density outside "&amp;QC_BD_MIN&amp;"–"&amp;QC_BD_MAX&amp;" g/cm³ for peat. Above the top of that range usually means the mineral contact has been passed. ","")&amp;IF(AND(ISNUMBER($N427),$N427&gt;QC_CARBON_PCT_MAX),"Carbon above "&amp;QC_CARBON_PCT_MAX&amp;"% — check units; this may be organic matter rather than carbon. ","")&amp;IF(AND($L427&lt;&gt;"",$M427&lt;&gt;""),"Both LOI and measured carbon given — the measured value is used. ","")&amp;IF(AND($M427="",$L427&lt;&gt;"",OM_FACTOR_IS_LOCAL&lt;&gt;"Yes"),"Carbon derived from LOI using the default factor of "&amp;CARBON_FRACTION_OM&amp;", which has not been calibrated locally. See R1. Reference. ","")&amp;IF(AND(ISNUMBER($O427),$O427=0,ISNUMBER($E427)),"Section lies entirely below the reference depth — it counts to the full-profile stock only. ",""))</f>
        <v/>
      </c>
      <c r="U427" s="14"/>
    </row>
    <row r="428" spans="1:21" ht="15.75" customHeight="1">
      <c r="A428" s="14"/>
      <c r="B428" s="14"/>
      <c r="C428" s="14"/>
      <c r="D428" s="14"/>
      <c r="E428" s="14"/>
      <c r="F428" s="14"/>
      <c r="G428" s="14" t="str">
        <f t="shared" si="44"/>
        <v/>
      </c>
      <c r="H428" s="14"/>
      <c r="I428" s="14"/>
      <c r="J428" s="24"/>
      <c r="K428" s="24"/>
      <c r="L428" s="24"/>
      <c r="M428" s="24"/>
      <c r="N428" s="16" t="str">
        <f t="shared" si="42"/>
        <v/>
      </c>
      <c r="O428" s="16" t="str">
        <f t="shared" si="45"/>
        <v/>
      </c>
      <c r="P428" s="16" t="str">
        <f t="shared" si="46"/>
        <v/>
      </c>
      <c r="Q428" s="16" t="str">
        <f t="shared" si="47"/>
        <v/>
      </c>
      <c r="R428" s="16">
        <f t="shared" si="43"/>
        <v>0</v>
      </c>
      <c r="S428" s="16" t="str">
        <f>IF(OR($B428="",NOT(ISNUMBER($F428))),"",SUMIFS(community_cores_FS!$P$5:$P$597,community_cores_FS!$B$5:$B$597,$B428,community_cores_FS!$F$5:$F$597,"&lt;="&amp;$F428))</f>
        <v/>
      </c>
      <c r="T428" s="16" t="str">
        <f>IF(AND($A428="",$B428="",$E428=""),"",IF(AND($B428&lt;&gt;"",COUNTIF('2. Core Log'!$A$5:$A$124,$B428)=0),"Core ID not in Core Log. ","")&amp;IF(AND($A428&lt;&gt;"",COUNTIF('1. Plot &amp; Site Log'!$A$5:$A$64,$A428)=0),"Plot ID not in Plot &amp; Site Log. ","")&amp;IF(AND(ISNUMBER($E428),ISNUMBER($F428),$F428&lt;=$E428),"Bottom depth is not below top depth. ","")&amp;IF($I428="","Say which bulk-density basis the lab reported. ","")&amp;IF(AND(ISNUMBER($J428),OR($J428&lt;QC_BD_MIN,$J428&gt;QC_BD_MAX)),"Bulk density outside "&amp;QC_BD_MIN&amp;"–"&amp;QC_BD_MAX&amp;" g/cm³ for peat. Above the top of that range usually means the mineral contact has been passed. ","")&amp;IF(AND(ISNUMBER($N428),$N428&gt;QC_CARBON_PCT_MAX),"Carbon above "&amp;QC_CARBON_PCT_MAX&amp;"% — check units; this may be organic matter rather than carbon. ","")&amp;IF(AND($L428&lt;&gt;"",$M428&lt;&gt;""),"Both LOI and measured carbon given — the measured value is used. ","")&amp;IF(AND($M428="",$L428&lt;&gt;"",OM_FACTOR_IS_LOCAL&lt;&gt;"Yes"),"Carbon derived from LOI using the default factor of "&amp;CARBON_FRACTION_OM&amp;", which has not been calibrated locally. See R1. Reference. ","")&amp;IF(AND(ISNUMBER($O428),$O428=0,ISNUMBER($E428)),"Section lies entirely below the reference depth — it counts to the full-profile stock only. ",""))</f>
        <v/>
      </c>
      <c r="U428" s="14"/>
    </row>
    <row r="429" spans="1:21" ht="15.75" customHeight="1">
      <c r="A429" s="14"/>
      <c r="B429" s="14"/>
      <c r="C429" s="14"/>
      <c r="D429" s="14"/>
      <c r="E429" s="14"/>
      <c r="F429" s="14"/>
      <c r="G429" s="14" t="str">
        <f t="shared" si="44"/>
        <v/>
      </c>
      <c r="H429" s="14"/>
      <c r="I429" s="14"/>
      <c r="J429" s="24"/>
      <c r="K429" s="24"/>
      <c r="L429" s="24"/>
      <c r="M429" s="24"/>
      <c r="N429" s="16" t="str">
        <f t="shared" si="42"/>
        <v/>
      </c>
      <c r="O429" s="16" t="str">
        <f t="shared" si="45"/>
        <v/>
      </c>
      <c r="P429" s="16" t="str">
        <f t="shared" si="46"/>
        <v/>
      </c>
      <c r="Q429" s="16" t="str">
        <f t="shared" si="47"/>
        <v/>
      </c>
      <c r="R429" s="16">
        <f t="shared" si="43"/>
        <v>0</v>
      </c>
      <c r="S429" s="16" t="str">
        <f>IF(OR($B429="",NOT(ISNUMBER($F429))),"",SUMIFS(community_cores_FS!$P$5:$P$597,community_cores_FS!$B$5:$B$597,$B429,community_cores_FS!$F$5:$F$597,"&lt;="&amp;$F429))</f>
        <v/>
      </c>
      <c r="T429" s="16" t="str">
        <f>IF(AND($A429="",$B429="",$E429=""),"",IF(AND($B429&lt;&gt;"",COUNTIF('2. Core Log'!$A$5:$A$124,$B429)=0),"Core ID not in Core Log. ","")&amp;IF(AND($A429&lt;&gt;"",COUNTIF('1. Plot &amp; Site Log'!$A$5:$A$64,$A429)=0),"Plot ID not in Plot &amp; Site Log. ","")&amp;IF(AND(ISNUMBER($E429),ISNUMBER($F429),$F429&lt;=$E429),"Bottom depth is not below top depth. ","")&amp;IF($I429="","Say which bulk-density basis the lab reported. ","")&amp;IF(AND(ISNUMBER($J429),OR($J429&lt;QC_BD_MIN,$J429&gt;QC_BD_MAX)),"Bulk density outside "&amp;QC_BD_MIN&amp;"–"&amp;QC_BD_MAX&amp;" g/cm³ for peat. Above the top of that range usually means the mineral contact has been passed. ","")&amp;IF(AND(ISNUMBER($N429),$N429&gt;QC_CARBON_PCT_MAX),"Carbon above "&amp;QC_CARBON_PCT_MAX&amp;"% — check units; this may be organic matter rather than carbon. ","")&amp;IF(AND($L429&lt;&gt;"",$M429&lt;&gt;""),"Both LOI and measured carbon given — the measured value is used. ","")&amp;IF(AND($M429="",$L429&lt;&gt;"",OM_FACTOR_IS_LOCAL&lt;&gt;"Yes"),"Carbon derived from LOI using the default factor of "&amp;CARBON_FRACTION_OM&amp;", which has not been calibrated locally. See R1. Reference. ","")&amp;IF(AND(ISNUMBER($O429),$O429=0,ISNUMBER($E429)),"Section lies entirely below the reference depth — it counts to the full-profile stock only. ",""))</f>
        <v/>
      </c>
      <c r="U429" s="14"/>
    </row>
    <row r="430" spans="1:21" ht="15.75" customHeight="1">
      <c r="A430" s="14"/>
      <c r="B430" s="14"/>
      <c r="C430" s="14"/>
      <c r="D430" s="14"/>
      <c r="E430" s="14"/>
      <c r="F430" s="14"/>
      <c r="G430" s="14" t="str">
        <f t="shared" si="44"/>
        <v/>
      </c>
      <c r="H430" s="14"/>
      <c r="I430" s="14"/>
      <c r="J430" s="24"/>
      <c r="K430" s="24"/>
      <c r="L430" s="24"/>
      <c r="M430" s="24"/>
      <c r="N430" s="16" t="str">
        <f t="shared" si="42"/>
        <v/>
      </c>
      <c r="O430" s="16" t="str">
        <f t="shared" si="45"/>
        <v/>
      </c>
      <c r="P430" s="16" t="str">
        <f t="shared" si="46"/>
        <v/>
      </c>
      <c r="Q430" s="16" t="str">
        <f t="shared" si="47"/>
        <v/>
      </c>
      <c r="R430" s="16">
        <f t="shared" si="43"/>
        <v>0</v>
      </c>
      <c r="S430" s="16" t="str">
        <f>IF(OR($B430="",NOT(ISNUMBER($F430))),"",SUMIFS(community_cores_FS!$P$5:$P$597,community_cores_FS!$B$5:$B$597,$B430,community_cores_FS!$F$5:$F$597,"&lt;="&amp;$F430))</f>
        <v/>
      </c>
      <c r="T430" s="16" t="str">
        <f>IF(AND($A430="",$B430="",$E430=""),"",IF(AND($B430&lt;&gt;"",COUNTIF('2. Core Log'!$A$5:$A$124,$B430)=0),"Core ID not in Core Log. ","")&amp;IF(AND($A430&lt;&gt;"",COUNTIF('1. Plot &amp; Site Log'!$A$5:$A$64,$A430)=0),"Plot ID not in Plot &amp; Site Log. ","")&amp;IF(AND(ISNUMBER($E430),ISNUMBER($F430),$F430&lt;=$E430),"Bottom depth is not below top depth. ","")&amp;IF($I430="","Say which bulk-density basis the lab reported. ","")&amp;IF(AND(ISNUMBER($J430),OR($J430&lt;QC_BD_MIN,$J430&gt;QC_BD_MAX)),"Bulk density outside "&amp;QC_BD_MIN&amp;"–"&amp;QC_BD_MAX&amp;" g/cm³ for peat. Above the top of that range usually means the mineral contact has been passed. ","")&amp;IF(AND(ISNUMBER($N430),$N430&gt;QC_CARBON_PCT_MAX),"Carbon above "&amp;QC_CARBON_PCT_MAX&amp;"% — check units; this may be organic matter rather than carbon. ","")&amp;IF(AND($L430&lt;&gt;"",$M430&lt;&gt;""),"Both LOI and measured carbon given — the measured value is used. ","")&amp;IF(AND($M430="",$L430&lt;&gt;"",OM_FACTOR_IS_LOCAL&lt;&gt;"Yes"),"Carbon derived from LOI using the default factor of "&amp;CARBON_FRACTION_OM&amp;", which has not been calibrated locally. See R1. Reference. ","")&amp;IF(AND(ISNUMBER($O430),$O430=0,ISNUMBER($E430)),"Section lies entirely below the reference depth — it counts to the full-profile stock only. ",""))</f>
        <v/>
      </c>
      <c r="U430" s="14"/>
    </row>
    <row r="431" spans="1:21" ht="15.75" customHeight="1">
      <c r="A431" s="14"/>
      <c r="B431" s="14"/>
      <c r="C431" s="14"/>
      <c r="D431" s="14"/>
      <c r="E431" s="14"/>
      <c r="F431" s="14"/>
      <c r="G431" s="14" t="str">
        <f t="shared" si="44"/>
        <v/>
      </c>
      <c r="H431" s="14"/>
      <c r="I431" s="14"/>
      <c r="J431" s="24"/>
      <c r="K431" s="24"/>
      <c r="L431" s="24"/>
      <c r="M431" s="24"/>
      <c r="N431" s="16" t="str">
        <f t="shared" si="42"/>
        <v/>
      </c>
      <c r="O431" s="16" t="str">
        <f t="shared" si="45"/>
        <v/>
      </c>
      <c r="P431" s="16" t="str">
        <f t="shared" si="46"/>
        <v/>
      </c>
      <c r="Q431" s="16" t="str">
        <f t="shared" si="47"/>
        <v/>
      </c>
      <c r="R431" s="16">
        <f t="shared" si="43"/>
        <v>0</v>
      </c>
      <c r="S431" s="16" t="str">
        <f>IF(OR($B431="",NOT(ISNUMBER($F431))),"",SUMIFS(community_cores_FS!$P$5:$P$597,community_cores_FS!$B$5:$B$597,$B431,community_cores_FS!$F$5:$F$597,"&lt;="&amp;$F431))</f>
        <v/>
      </c>
      <c r="T431" s="16" t="str">
        <f>IF(AND($A431="",$B431="",$E431=""),"",IF(AND($B431&lt;&gt;"",COUNTIF('2. Core Log'!$A$5:$A$124,$B431)=0),"Core ID not in Core Log. ","")&amp;IF(AND($A431&lt;&gt;"",COUNTIF('1. Plot &amp; Site Log'!$A$5:$A$64,$A431)=0),"Plot ID not in Plot &amp; Site Log. ","")&amp;IF(AND(ISNUMBER($E431),ISNUMBER($F431),$F431&lt;=$E431),"Bottom depth is not below top depth. ","")&amp;IF($I431="","Say which bulk-density basis the lab reported. ","")&amp;IF(AND(ISNUMBER($J431),OR($J431&lt;QC_BD_MIN,$J431&gt;QC_BD_MAX)),"Bulk density outside "&amp;QC_BD_MIN&amp;"–"&amp;QC_BD_MAX&amp;" g/cm³ for peat. Above the top of that range usually means the mineral contact has been passed. ","")&amp;IF(AND(ISNUMBER($N431),$N431&gt;QC_CARBON_PCT_MAX),"Carbon above "&amp;QC_CARBON_PCT_MAX&amp;"% — check units; this may be organic matter rather than carbon. ","")&amp;IF(AND($L431&lt;&gt;"",$M431&lt;&gt;""),"Both LOI and measured carbon given — the measured value is used. ","")&amp;IF(AND($M431="",$L431&lt;&gt;"",OM_FACTOR_IS_LOCAL&lt;&gt;"Yes"),"Carbon derived from LOI using the default factor of "&amp;CARBON_FRACTION_OM&amp;", which has not been calibrated locally. See R1. Reference. ","")&amp;IF(AND(ISNUMBER($O431),$O431=0,ISNUMBER($E431)),"Section lies entirely below the reference depth — it counts to the full-profile stock only. ",""))</f>
        <v/>
      </c>
      <c r="U431" s="14"/>
    </row>
    <row r="432" spans="1:21" ht="15.75" customHeight="1">
      <c r="A432" s="14"/>
      <c r="B432" s="14"/>
      <c r="C432" s="14"/>
      <c r="D432" s="14"/>
      <c r="E432" s="14"/>
      <c r="F432" s="14"/>
      <c r="G432" s="14" t="str">
        <f t="shared" si="44"/>
        <v/>
      </c>
      <c r="H432" s="14"/>
      <c r="I432" s="14"/>
      <c r="J432" s="24"/>
      <c r="K432" s="24"/>
      <c r="L432" s="24"/>
      <c r="M432" s="24"/>
      <c r="N432" s="16" t="str">
        <f t="shared" si="42"/>
        <v/>
      </c>
      <c r="O432" s="16" t="str">
        <f t="shared" si="45"/>
        <v/>
      </c>
      <c r="P432" s="16" t="str">
        <f t="shared" si="46"/>
        <v/>
      </c>
      <c r="Q432" s="16" t="str">
        <f t="shared" si="47"/>
        <v/>
      </c>
      <c r="R432" s="16">
        <f t="shared" si="43"/>
        <v>0</v>
      </c>
      <c r="S432" s="16" t="str">
        <f>IF(OR($B432="",NOT(ISNUMBER($F432))),"",SUMIFS(community_cores_FS!$P$5:$P$597,community_cores_FS!$B$5:$B$597,$B432,community_cores_FS!$F$5:$F$597,"&lt;="&amp;$F432))</f>
        <v/>
      </c>
      <c r="T432" s="16" t="str">
        <f>IF(AND($A432="",$B432="",$E432=""),"",IF(AND($B432&lt;&gt;"",COUNTIF('2. Core Log'!$A$5:$A$124,$B432)=0),"Core ID not in Core Log. ","")&amp;IF(AND($A432&lt;&gt;"",COUNTIF('1. Plot &amp; Site Log'!$A$5:$A$64,$A432)=0),"Plot ID not in Plot &amp; Site Log. ","")&amp;IF(AND(ISNUMBER($E432),ISNUMBER($F432),$F432&lt;=$E432),"Bottom depth is not below top depth. ","")&amp;IF($I432="","Say which bulk-density basis the lab reported. ","")&amp;IF(AND(ISNUMBER($J432),OR($J432&lt;QC_BD_MIN,$J432&gt;QC_BD_MAX)),"Bulk density outside "&amp;QC_BD_MIN&amp;"–"&amp;QC_BD_MAX&amp;" g/cm³ for peat. Above the top of that range usually means the mineral contact has been passed. ","")&amp;IF(AND(ISNUMBER($N432),$N432&gt;QC_CARBON_PCT_MAX),"Carbon above "&amp;QC_CARBON_PCT_MAX&amp;"% — check units; this may be organic matter rather than carbon. ","")&amp;IF(AND($L432&lt;&gt;"",$M432&lt;&gt;""),"Both LOI and measured carbon given — the measured value is used. ","")&amp;IF(AND($M432="",$L432&lt;&gt;"",OM_FACTOR_IS_LOCAL&lt;&gt;"Yes"),"Carbon derived from LOI using the default factor of "&amp;CARBON_FRACTION_OM&amp;", which has not been calibrated locally. See R1. Reference. ","")&amp;IF(AND(ISNUMBER($O432),$O432=0,ISNUMBER($E432)),"Section lies entirely below the reference depth — it counts to the full-profile stock only. ",""))</f>
        <v/>
      </c>
      <c r="U432" s="14"/>
    </row>
    <row r="433" spans="1:21" ht="15.75" customHeight="1">
      <c r="A433" s="14"/>
      <c r="B433" s="14"/>
      <c r="C433" s="14"/>
      <c r="D433" s="14"/>
      <c r="E433" s="14"/>
      <c r="F433" s="14"/>
      <c r="G433" s="14" t="str">
        <f t="shared" si="44"/>
        <v/>
      </c>
      <c r="H433" s="14"/>
      <c r="I433" s="14"/>
      <c r="J433" s="24"/>
      <c r="K433" s="24"/>
      <c r="L433" s="24"/>
      <c r="M433" s="24"/>
      <c r="N433" s="16" t="str">
        <f t="shared" si="42"/>
        <v/>
      </c>
      <c r="O433" s="16" t="str">
        <f t="shared" si="45"/>
        <v/>
      </c>
      <c r="P433" s="16" t="str">
        <f t="shared" si="46"/>
        <v/>
      </c>
      <c r="Q433" s="16" t="str">
        <f t="shared" si="47"/>
        <v/>
      </c>
      <c r="R433" s="16">
        <f t="shared" si="43"/>
        <v>0</v>
      </c>
      <c r="S433" s="16" t="str">
        <f>IF(OR($B433="",NOT(ISNUMBER($F433))),"",SUMIFS(community_cores_FS!$P$5:$P$597,community_cores_FS!$B$5:$B$597,$B433,community_cores_FS!$F$5:$F$597,"&lt;="&amp;$F433))</f>
        <v/>
      </c>
      <c r="T433" s="16" t="str">
        <f>IF(AND($A433="",$B433="",$E433=""),"",IF(AND($B433&lt;&gt;"",COUNTIF('2. Core Log'!$A$5:$A$124,$B433)=0),"Core ID not in Core Log. ","")&amp;IF(AND($A433&lt;&gt;"",COUNTIF('1. Plot &amp; Site Log'!$A$5:$A$64,$A433)=0),"Plot ID not in Plot &amp; Site Log. ","")&amp;IF(AND(ISNUMBER($E433),ISNUMBER($F433),$F433&lt;=$E433),"Bottom depth is not below top depth. ","")&amp;IF($I433="","Say which bulk-density basis the lab reported. ","")&amp;IF(AND(ISNUMBER($J433),OR($J433&lt;QC_BD_MIN,$J433&gt;QC_BD_MAX)),"Bulk density outside "&amp;QC_BD_MIN&amp;"–"&amp;QC_BD_MAX&amp;" g/cm³ for peat. Above the top of that range usually means the mineral contact has been passed. ","")&amp;IF(AND(ISNUMBER($N433),$N433&gt;QC_CARBON_PCT_MAX),"Carbon above "&amp;QC_CARBON_PCT_MAX&amp;"% — check units; this may be organic matter rather than carbon. ","")&amp;IF(AND($L433&lt;&gt;"",$M433&lt;&gt;""),"Both LOI and measured carbon given — the measured value is used. ","")&amp;IF(AND($M433="",$L433&lt;&gt;"",OM_FACTOR_IS_LOCAL&lt;&gt;"Yes"),"Carbon derived from LOI using the default factor of "&amp;CARBON_FRACTION_OM&amp;", which has not been calibrated locally. See R1. Reference. ","")&amp;IF(AND(ISNUMBER($O433),$O433=0,ISNUMBER($E433)),"Section lies entirely below the reference depth — it counts to the full-profile stock only. ",""))</f>
        <v/>
      </c>
      <c r="U433" s="14"/>
    </row>
    <row r="434" spans="1:21" ht="15.75" customHeight="1">
      <c r="A434" s="14"/>
      <c r="B434" s="14"/>
      <c r="C434" s="14"/>
      <c r="D434" s="14"/>
      <c r="E434" s="14"/>
      <c r="F434" s="14"/>
      <c r="G434" s="14" t="str">
        <f t="shared" si="44"/>
        <v/>
      </c>
      <c r="H434" s="14"/>
      <c r="I434" s="14"/>
      <c r="J434" s="24"/>
      <c r="K434" s="24"/>
      <c r="L434" s="24"/>
      <c r="M434" s="24"/>
      <c r="N434" s="16" t="str">
        <f t="shared" si="42"/>
        <v/>
      </c>
      <c r="O434" s="16" t="str">
        <f t="shared" si="45"/>
        <v/>
      </c>
      <c r="P434" s="16" t="str">
        <f t="shared" si="46"/>
        <v/>
      </c>
      <c r="Q434" s="16" t="str">
        <f t="shared" si="47"/>
        <v/>
      </c>
      <c r="R434" s="16">
        <f t="shared" si="43"/>
        <v>0</v>
      </c>
      <c r="S434" s="16" t="str">
        <f>IF(OR($B434="",NOT(ISNUMBER($F434))),"",SUMIFS(community_cores_FS!$P$5:$P$597,community_cores_FS!$B$5:$B$597,$B434,community_cores_FS!$F$5:$F$597,"&lt;="&amp;$F434))</f>
        <v/>
      </c>
      <c r="T434" s="16" t="str">
        <f>IF(AND($A434="",$B434="",$E434=""),"",IF(AND($B434&lt;&gt;"",COUNTIF('2. Core Log'!$A$5:$A$124,$B434)=0),"Core ID not in Core Log. ","")&amp;IF(AND($A434&lt;&gt;"",COUNTIF('1. Plot &amp; Site Log'!$A$5:$A$64,$A434)=0),"Plot ID not in Plot &amp; Site Log. ","")&amp;IF(AND(ISNUMBER($E434),ISNUMBER($F434),$F434&lt;=$E434),"Bottom depth is not below top depth. ","")&amp;IF($I434="","Say which bulk-density basis the lab reported. ","")&amp;IF(AND(ISNUMBER($J434),OR($J434&lt;QC_BD_MIN,$J434&gt;QC_BD_MAX)),"Bulk density outside "&amp;QC_BD_MIN&amp;"–"&amp;QC_BD_MAX&amp;" g/cm³ for peat. Above the top of that range usually means the mineral contact has been passed. ","")&amp;IF(AND(ISNUMBER($N434),$N434&gt;QC_CARBON_PCT_MAX),"Carbon above "&amp;QC_CARBON_PCT_MAX&amp;"% — check units; this may be organic matter rather than carbon. ","")&amp;IF(AND($L434&lt;&gt;"",$M434&lt;&gt;""),"Both LOI and measured carbon given — the measured value is used. ","")&amp;IF(AND($M434="",$L434&lt;&gt;"",OM_FACTOR_IS_LOCAL&lt;&gt;"Yes"),"Carbon derived from LOI using the default factor of "&amp;CARBON_FRACTION_OM&amp;", which has not been calibrated locally. See R1. Reference. ","")&amp;IF(AND(ISNUMBER($O434),$O434=0,ISNUMBER($E434)),"Section lies entirely below the reference depth — it counts to the full-profile stock only. ",""))</f>
        <v/>
      </c>
      <c r="U434" s="14"/>
    </row>
    <row r="435" spans="1:21" ht="15.75" customHeight="1">
      <c r="A435" s="14"/>
      <c r="B435" s="14"/>
      <c r="C435" s="14"/>
      <c r="D435" s="14"/>
      <c r="E435" s="14"/>
      <c r="F435" s="14"/>
      <c r="G435" s="14" t="str">
        <f t="shared" si="44"/>
        <v/>
      </c>
      <c r="H435" s="14"/>
      <c r="I435" s="14"/>
      <c r="J435" s="24"/>
      <c r="K435" s="24"/>
      <c r="L435" s="24"/>
      <c r="M435" s="24"/>
      <c r="N435" s="16" t="str">
        <f t="shared" si="42"/>
        <v/>
      </c>
      <c r="O435" s="16" t="str">
        <f t="shared" si="45"/>
        <v/>
      </c>
      <c r="P435" s="16" t="str">
        <f t="shared" si="46"/>
        <v/>
      </c>
      <c r="Q435" s="16" t="str">
        <f t="shared" si="47"/>
        <v/>
      </c>
      <c r="R435" s="16">
        <f t="shared" si="43"/>
        <v>0</v>
      </c>
      <c r="S435" s="16" t="str">
        <f>IF(OR($B435="",NOT(ISNUMBER($F435))),"",SUMIFS(community_cores_FS!$P$5:$P$597,community_cores_FS!$B$5:$B$597,$B435,community_cores_FS!$F$5:$F$597,"&lt;="&amp;$F435))</f>
        <v/>
      </c>
      <c r="T435" s="16" t="str">
        <f>IF(AND($A435="",$B435="",$E435=""),"",IF(AND($B435&lt;&gt;"",COUNTIF('2. Core Log'!$A$5:$A$124,$B435)=0),"Core ID not in Core Log. ","")&amp;IF(AND($A435&lt;&gt;"",COUNTIF('1. Plot &amp; Site Log'!$A$5:$A$64,$A435)=0),"Plot ID not in Plot &amp; Site Log. ","")&amp;IF(AND(ISNUMBER($E435),ISNUMBER($F435),$F435&lt;=$E435),"Bottom depth is not below top depth. ","")&amp;IF($I435="","Say which bulk-density basis the lab reported. ","")&amp;IF(AND(ISNUMBER($J435),OR($J435&lt;QC_BD_MIN,$J435&gt;QC_BD_MAX)),"Bulk density outside "&amp;QC_BD_MIN&amp;"–"&amp;QC_BD_MAX&amp;" g/cm³ for peat. Above the top of that range usually means the mineral contact has been passed. ","")&amp;IF(AND(ISNUMBER($N435),$N435&gt;QC_CARBON_PCT_MAX),"Carbon above "&amp;QC_CARBON_PCT_MAX&amp;"% — check units; this may be organic matter rather than carbon. ","")&amp;IF(AND($L435&lt;&gt;"",$M435&lt;&gt;""),"Both LOI and measured carbon given — the measured value is used. ","")&amp;IF(AND($M435="",$L435&lt;&gt;"",OM_FACTOR_IS_LOCAL&lt;&gt;"Yes"),"Carbon derived from LOI using the default factor of "&amp;CARBON_FRACTION_OM&amp;", which has not been calibrated locally. See R1. Reference. ","")&amp;IF(AND(ISNUMBER($O435),$O435=0,ISNUMBER($E435)),"Section lies entirely below the reference depth — it counts to the full-profile stock only. ",""))</f>
        <v/>
      </c>
      <c r="U435" s="14"/>
    </row>
    <row r="436" spans="1:21" ht="15.75" customHeight="1">
      <c r="A436" s="14"/>
      <c r="B436" s="14"/>
      <c r="C436" s="14"/>
      <c r="D436" s="14"/>
      <c r="E436" s="14"/>
      <c r="F436" s="14"/>
      <c r="G436" s="14" t="str">
        <f t="shared" si="44"/>
        <v/>
      </c>
      <c r="H436" s="14"/>
      <c r="I436" s="14"/>
      <c r="J436" s="24"/>
      <c r="K436" s="24"/>
      <c r="L436" s="24"/>
      <c r="M436" s="24"/>
      <c r="N436" s="16" t="str">
        <f t="shared" si="42"/>
        <v/>
      </c>
      <c r="O436" s="16" t="str">
        <f t="shared" si="45"/>
        <v/>
      </c>
      <c r="P436" s="16" t="str">
        <f t="shared" si="46"/>
        <v/>
      </c>
      <c r="Q436" s="16" t="str">
        <f t="shared" si="47"/>
        <v/>
      </c>
      <c r="R436" s="16">
        <f t="shared" si="43"/>
        <v>0</v>
      </c>
      <c r="S436" s="16" t="str">
        <f>IF(OR($B436="",NOT(ISNUMBER($F436))),"",SUMIFS(community_cores_FS!$P$5:$P$597,community_cores_FS!$B$5:$B$597,$B436,community_cores_FS!$F$5:$F$597,"&lt;="&amp;$F436))</f>
        <v/>
      </c>
      <c r="T436" s="16" t="str">
        <f>IF(AND($A436="",$B436="",$E436=""),"",IF(AND($B436&lt;&gt;"",COUNTIF('2. Core Log'!$A$5:$A$124,$B436)=0),"Core ID not in Core Log. ","")&amp;IF(AND($A436&lt;&gt;"",COUNTIF('1. Plot &amp; Site Log'!$A$5:$A$64,$A436)=0),"Plot ID not in Plot &amp; Site Log. ","")&amp;IF(AND(ISNUMBER($E436),ISNUMBER($F436),$F436&lt;=$E436),"Bottom depth is not below top depth. ","")&amp;IF($I436="","Say which bulk-density basis the lab reported. ","")&amp;IF(AND(ISNUMBER($J436),OR($J436&lt;QC_BD_MIN,$J436&gt;QC_BD_MAX)),"Bulk density outside "&amp;QC_BD_MIN&amp;"–"&amp;QC_BD_MAX&amp;" g/cm³ for peat. Above the top of that range usually means the mineral contact has been passed. ","")&amp;IF(AND(ISNUMBER($N436),$N436&gt;QC_CARBON_PCT_MAX),"Carbon above "&amp;QC_CARBON_PCT_MAX&amp;"% — check units; this may be organic matter rather than carbon. ","")&amp;IF(AND($L436&lt;&gt;"",$M436&lt;&gt;""),"Both LOI and measured carbon given — the measured value is used. ","")&amp;IF(AND($M436="",$L436&lt;&gt;"",OM_FACTOR_IS_LOCAL&lt;&gt;"Yes"),"Carbon derived from LOI using the default factor of "&amp;CARBON_FRACTION_OM&amp;", which has not been calibrated locally. See R1. Reference. ","")&amp;IF(AND(ISNUMBER($O436),$O436=0,ISNUMBER($E436)),"Section lies entirely below the reference depth — it counts to the full-profile stock only. ",""))</f>
        <v/>
      </c>
      <c r="U436" s="14"/>
    </row>
    <row r="437" spans="1:21" ht="15.75" customHeight="1">
      <c r="A437" s="14"/>
      <c r="B437" s="14"/>
      <c r="C437" s="14"/>
      <c r="D437" s="14"/>
      <c r="E437" s="14"/>
      <c r="F437" s="14"/>
      <c r="G437" s="14" t="str">
        <f t="shared" si="44"/>
        <v/>
      </c>
      <c r="H437" s="14"/>
      <c r="I437" s="14"/>
      <c r="J437" s="24"/>
      <c r="K437" s="24"/>
      <c r="L437" s="24"/>
      <c r="M437" s="24"/>
      <c r="N437" s="16" t="str">
        <f t="shared" si="42"/>
        <v/>
      </c>
      <c r="O437" s="16" t="str">
        <f t="shared" si="45"/>
        <v/>
      </c>
      <c r="P437" s="16" t="str">
        <f t="shared" si="46"/>
        <v/>
      </c>
      <c r="Q437" s="16" t="str">
        <f t="shared" si="47"/>
        <v/>
      </c>
      <c r="R437" s="16">
        <f t="shared" si="43"/>
        <v>0</v>
      </c>
      <c r="S437" s="16" t="str">
        <f>IF(OR($B437="",NOT(ISNUMBER($F437))),"",SUMIFS(community_cores_FS!$P$5:$P$597,community_cores_FS!$B$5:$B$597,$B437,community_cores_FS!$F$5:$F$597,"&lt;="&amp;$F437))</f>
        <v/>
      </c>
      <c r="T437" s="16" t="str">
        <f>IF(AND($A437="",$B437="",$E437=""),"",IF(AND($B437&lt;&gt;"",COUNTIF('2. Core Log'!$A$5:$A$124,$B437)=0),"Core ID not in Core Log. ","")&amp;IF(AND($A437&lt;&gt;"",COUNTIF('1. Plot &amp; Site Log'!$A$5:$A$64,$A437)=0),"Plot ID not in Plot &amp; Site Log. ","")&amp;IF(AND(ISNUMBER($E437),ISNUMBER($F437),$F437&lt;=$E437),"Bottom depth is not below top depth. ","")&amp;IF($I437="","Say which bulk-density basis the lab reported. ","")&amp;IF(AND(ISNUMBER($J437),OR($J437&lt;QC_BD_MIN,$J437&gt;QC_BD_MAX)),"Bulk density outside "&amp;QC_BD_MIN&amp;"–"&amp;QC_BD_MAX&amp;" g/cm³ for peat. Above the top of that range usually means the mineral contact has been passed. ","")&amp;IF(AND(ISNUMBER($N437),$N437&gt;QC_CARBON_PCT_MAX),"Carbon above "&amp;QC_CARBON_PCT_MAX&amp;"% — check units; this may be organic matter rather than carbon. ","")&amp;IF(AND($L437&lt;&gt;"",$M437&lt;&gt;""),"Both LOI and measured carbon given — the measured value is used. ","")&amp;IF(AND($M437="",$L437&lt;&gt;"",OM_FACTOR_IS_LOCAL&lt;&gt;"Yes"),"Carbon derived from LOI using the default factor of "&amp;CARBON_FRACTION_OM&amp;", which has not been calibrated locally. See R1. Reference. ","")&amp;IF(AND(ISNUMBER($O437),$O437=0,ISNUMBER($E437)),"Section lies entirely below the reference depth — it counts to the full-profile stock only. ",""))</f>
        <v/>
      </c>
      <c r="U437" s="14"/>
    </row>
    <row r="438" spans="1:21" ht="15.75" customHeight="1">
      <c r="A438" s="14"/>
      <c r="B438" s="14"/>
      <c r="C438" s="14"/>
      <c r="D438" s="14"/>
      <c r="E438" s="14"/>
      <c r="F438" s="14"/>
      <c r="G438" s="14" t="str">
        <f t="shared" si="44"/>
        <v/>
      </c>
      <c r="H438" s="14"/>
      <c r="I438" s="14"/>
      <c r="J438" s="24"/>
      <c r="K438" s="24"/>
      <c r="L438" s="24"/>
      <c r="M438" s="24"/>
      <c r="N438" s="16" t="str">
        <f t="shared" si="42"/>
        <v/>
      </c>
      <c r="O438" s="16" t="str">
        <f t="shared" si="45"/>
        <v/>
      </c>
      <c r="P438" s="16" t="str">
        <f t="shared" si="46"/>
        <v/>
      </c>
      <c r="Q438" s="16" t="str">
        <f t="shared" si="47"/>
        <v/>
      </c>
      <c r="R438" s="16">
        <f t="shared" si="43"/>
        <v>0</v>
      </c>
      <c r="S438" s="16" t="str">
        <f>IF(OR($B438="",NOT(ISNUMBER($F438))),"",SUMIFS(community_cores_FS!$P$5:$P$597,community_cores_FS!$B$5:$B$597,$B438,community_cores_FS!$F$5:$F$597,"&lt;="&amp;$F438))</f>
        <v/>
      </c>
      <c r="T438" s="16" t="str">
        <f>IF(AND($A438="",$B438="",$E438=""),"",IF(AND($B438&lt;&gt;"",COUNTIF('2. Core Log'!$A$5:$A$124,$B438)=0),"Core ID not in Core Log. ","")&amp;IF(AND($A438&lt;&gt;"",COUNTIF('1. Plot &amp; Site Log'!$A$5:$A$64,$A438)=0),"Plot ID not in Plot &amp; Site Log. ","")&amp;IF(AND(ISNUMBER($E438),ISNUMBER($F438),$F438&lt;=$E438),"Bottom depth is not below top depth. ","")&amp;IF($I438="","Say which bulk-density basis the lab reported. ","")&amp;IF(AND(ISNUMBER($J438),OR($J438&lt;QC_BD_MIN,$J438&gt;QC_BD_MAX)),"Bulk density outside "&amp;QC_BD_MIN&amp;"–"&amp;QC_BD_MAX&amp;" g/cm³ for peat. Above the top of that range usually means the mineral contact has been passed. ","")&amp;IF(AND(ISNUMBER($N438),$N438&gt;QC_CARBON_PCT_MAX),"Carbon above "&amp;QC_CARBON_PCT_MAX&amp;"% — check units; this may be organic matter rather than carbon. ","")&amp;IF(AND($L438&lt;&gt;"",$M438&lt;&gt;""),"Both LOI and measured carbon given — the measured value is used. ","")&amp;IF(AND($M438="",$L438&lt;&gt;"",OM_FACTOR_IS_LOCAL&lt;&gt;"Yes"),"Carbon derived from LOI using the default factor of "&amp;CARBON_FRACTION_OM&amp;", which has not been calibrated locally. See R1. Reference. ","")&amp;IF(AND(ISNUMBER($O438),$O438=0,ISNUMBER($E438)),"Section lies entirely below the reference depth — it counts to the full-profile stock only. ",""))</f>
        <v/>
      </c>
      <c r="U438" s="14"/>
    </row>
    <row r="439" spans="1:21" ht="15.75" customHeight="1">
      <c r="A439" s="14"/>
      <c r="B439" s="14"/>
      <c r="C439" s="14"/>
      <c r="D439" s="14"/>
      <c r="E439" s="14"/>
      <c r="F439" s="14"/>
      <c r="G439" s="14" t="str">
        <f t="shared" si="44"/>
        <v/>
      </c>
      <c r="H439" s="14"/>
      <c r="I439" s="14"/>
      <c r="J439" s="24"/>
      <c r="K439" s="24"/>
      <c r="L439" s="24"/>
      <c r="M439" s="24"/>
      <c r="N439" s="16" t="str">
        <f t="shared" si="42"/>
        <v/>
      </c>
      <c r="O439" s="16" t="str">
        <f t="shared" si="45"/>
        <v/>
      </c>
      <c r="P439" s="16" t="str">
        <f t="shared" si="46"/>
        <v/>
      </c>
      <c r="Q439" s="16" t="str">
        <f t="shared" si="47"/>
        <v/>
      </c>
      <c r="R439" s="16">
        <f t="shared" si="43"/>
        <v>0</v>
      </c>
      <c r="S439" s="16" t="str">
        <f>IF(OR($B439="",NOT(ISNUMBER($F439))),"",SUMIFS(community_cores_FS!$P$5:$P$597,community_cores_FS!$B$5:$B$597,$B439,community_cores_FS!$F$5:$F$597,"&lt;="&amp;$F439))</f>
        <v/>
      </c>
      <c r="T439" s="16" t="str">
        <f>IF(AND($A439="",$B439="",$E439=""),"",IF(AND($B439&lt;&gt;"",COUNTIF('2. Core Log'!$A$5:$A$124,$B439)=0),"Core ID not in Core Log. ","")&amp;IF(AND($A439&lt;&gt;"",COUNTIF('1. Plot &amp; Site Log'!$A$5:$A$64,$A439)=0),"Plot ID not in Plot &amp; Site Log. ","")&amp;IF(AND(ISNUMBER($E439),ISNUMBER($F439),$F439&lt;=$E439),"Bottom depth is not below top depth. ","")&amp;IF($I439="","Say which bulk-density basis the lab reported. ","")&amp;IF(AND(ISNUMBER($J439),OR($J439&lt;QC_BD_MIN,$J439&gt;QC_BD_MAX)),"Bulk density outside "&amp;QC_BD_MIN&amp;"–"&amp;QC_BD_MAX&amp;" g/cm³ for peat. Above the top of that range usually means the mineral contact has been passed. ","")&amp;IF(AND(ISNUMBER($N439),$N439&gt;QC_CARBON_PCT_MAX),"Carbon above "&amp;QC_CARBON_PCT_MAX&amp;"% — check units; this may be organic matter rather than carbon. ","")&amp;IF(AND($L439&lt;&gt;"",$M439&lt;&gt;""),"Both LOI and measured carbon given — the measured value is used. ","")&amp;IF(AND($M439="",$L439&lt;&gt;"",OM_FACTOR_IS_LOCAL&lt;&gt;"Yes"),"Carbon derived from LOI using the default factor of "&amp;CARBON_FRACTION_OM&amp;", which has not been calibrated locally. See R1. Reference. ","")&amp;IF(AND(ISNUMBER($O439),$O439=0,ISNUMBER($E439)),"Section lies entirely below the reference depth — it counts to the full-profile stock only. ",""))</f>
        <v/>
      </c>
      <c r="U439" s="14"/>
    </row>
    <row r="440" spans="1:21" ht="15.75" customHeight="1">
      <c r="A440" s="14"/>
      <c r="B440" s="14"/>
      <c r="C440" s="14"/>
      <c r="D440" s="14"/>
      <c r="E440" s="14"/>
      <c r="F440" s="14"/>
      <c r="G440" s="14" t="str">
        <f t="shared" si="44"/>
        <v/>
      </c>
      <c r="H440" s="14"/>
      <c r="I440" s="14"/>
      <c r="J440" s="24"/>
      <c r="K440" s="24"/>
      <c r="L440" s="24"/>
      <c r="M440" s="24"/>
      <c r="N440" s="16" t="str">
        <f t="shared" si="42"/>
        <v/>
      </c>
      <c r="O440" s="16" t="str">
        <f t="shared" si="45"/>
        <v/>
      </c>
      <c r="P440" s="16" t="str">
        <f t="shared" si="46"/>
        <v/>
      </c>
      <c r="Q440" s="16" t="str">
        <f t="shared" si="47"/>
        <v/>
      </c>
      <c r="R440" s="16">
        <f t="shared" si="43"/>
        <v>0</v>
      </c>
      <c r="S440" s="16" t="str">
        <f>IF(OR($B440="",NOT(ISNUMBER($F440))),"",SUMIFS(community_cores_FS!$P$5:$P$597,community_cores_FS!$B$5:$B$597,$B440,community_cores_FS!$F$5:$F$597,"&lt;="&amp;$F440))</f>
        <v/>
      </c>
      <c r="T440" s="16" t="str">
        <f>IF(AND($A440="",$B440="",$E440=""),"",IF(AND($B440&lt;&gt;"",COUNTIF('2. Core Log'!$A$5:$A$124,$B440)=0),"Core ID not in Core Log. ","")&amp;IF(AND($A440&lt;&gt;"",COUNTIF('1. Plot &amp; Site Log'!$A$5:$A$64,$A440)=0),"Plot ID not in Plot &amp; Site Log. ","")&amp;IF(AND(ISNUMBER($E440),ISNUMBER($F440),$F440&lt;=$E440),"Bottom depth is not below top depth. ","")&amp;IF($I440="","Say which bulk-density basis the lab reported. ","")&amp;IF(AND(ISNUMBER($J440),OR($J440&lt;QC_BD_MIN,$J440&gt;QC_BD_MAX)),"Bulk density outside "&amp;QC_BD_MIN&amp;"–"&amp;QC_BD_MAX&amp;" g/cm³ for peat. Above the top of that range usually means the mineral contact has been passed. ","")&amp;IF(AND(ISNUMBER($N440),$N440&gt;QC_CARBON_PCT_MAX),"Carbon above "&amp;QC_CARBON_PCT_MAX&amp;"% — check units; this may be organic matter rather than carbon. ","")&amp;IF(AND($L440&lt;&gt;"",$M440&lt;&gt;""),"Both LOI and measured carbon given — the measured value is used. ","")&amp;IF(AND($M440="",$L440&lt;&gt;"",OM_FACTOR_IS_LOCAL&lt;&gt;"Yes"),"Carbon derived from LOI using the default factor of "&amp;CARBON_FRACTION_OM&amp;", which has not been calibrated locally. See R1. Reference. ","")&amp;IF(AND(ISNUMBER($O440),$O440=0,ISNUMBER($E440)),"Section lies entirely below the reference depth — it counts to the full-profile stock only. ",""))</f>
        <v/>
      </c>
      <c r="U440" s="14"/>
    </row>
    <row r="441" spans="1:21" ht="15.75" customHeight="1">
      <c r="A441" s="14"/>
      <c r="B441" s="14"/>
      <c r="C441" s="14"/>
      <c r="D441" s="14"/>
      <c r="E441" s="14"/>
      <c r="F441" s="14"/>
      <c r="G441" s="14" t="str">
        <f t="shared" si="44"/>
        <v/>
      </c>
      <c r="H441" s="14"/>
      <c r="I441" s="14"/>
      <c r="J441" s="24"/>
      <c r="K441" s="24"/>
      <c r="L441" s="24"/>
      <c r="M441" s="24"/>
      <c r="N441" s="16" t="str">
        <f t="shared" si="42"/>
        <v/>
      </c>
      <c r="O441" s="16" t="str">
        <f t="shared" si="45"/>
        <v/>
      </c>
      <c r="P441" s="16" t="str">
        <f t="shared" si="46"/>
        <v/>
      </c>
      <c r="Q441" s="16" t="str">
        <f t="shared" si="47"/>
        <v/>
      </c>
      <c r="R441" s="16">
        <f t="shared" si="43"/>
        <v>0</v>
      </c>
      <c r="S441" s="16" t="str">
        <f>IF(OR($B441="",NOT(ISNUMBER($F441))),"",SUMIFS(community_cores_FS!$P$5:$P$597,community_cores_FS!$B$5:$B$597,$B441,community_cores_FS!$F$5:$F$597,"&lt;="&amp;$F441))</f>
        <v/>
      </c>
      <c r="T441" s="16" t="str">
        <f>IF(AND($A441="",$B441="",$E441=""),"",IF(AND($B441&lt;&gt;"",COUNTIF('2. Core Log'!$A$5:$A$124,$B441)=0),"Core ID not in Core Log. ","")&amp;IF(AND($A441&lt;&gt;"",COUNTIF('1. Plot &amp; Site Log'!$A$5:$A$64,$A441)=0),"Plot ID not in Plot &amp; Site Log. ","")&amp;IF(AND(ISNUMBER($E441),ISNUMBER($F441),$F441&lt;=$E441),"Bottom depth is not below top depth. ","")&amp;IF($I441="","Say which bulk-density basis the lab reported. ","")&amp;IF(AND(ISNUMBER($J441),OR($J441&lt;QC_BD_MIN,$J441&gt;QC_BD_MAX)),"Bulk density outside "&amp;QC_BD_MIN&amp;"–"&amp;QC_BD_MAX&amp;" g/cm³ for peat. Above the top of that range usually means the mineral contact has been passed. ","")&amp;IF(AND(ISNUMBER($N441),$N441&gt;QC_CARBON_PCT_MAX),"Carbon above "&amp;QC_CARBON_PCT_MAX&amp;"% — check units; this may be organic matter rather than carbon. ","")&amp;IF(AND($L441&lt;&gt;"",$M441&lt;&gt;""),"Both LOI and measured carbon given — the measured value is used. ","")&amp;IF(AND($M441="",$L441&lt;&gt;"",OM_FACTOR_IS_LOCAL&lt;&gt;"Yes"),"Carbon derived from LOI using the default factor of "&amp;CARBON_FRACTION_OM&amp;", which has not been calibrated locally. See R1. Reference. ","")&amp;IF(AND(ISNUMBER($O441),$O441=0,ISNUMBER($E441)),"Section lies entirely below the reference depth — it counts to the full-profile stock only. ",""))</f>
        <v/>
      </c>
      <c r="U441" s="14"/>
    </row>
    <row r="442" spans="1:21" ht="15.75" customHeight="1">
      <c r="A442" s="14"/>
      <c r="B442" s="14"/>
      <c r="C442" s="14"/>
      <c r="D442" s="14"/>
      <c r="E442" s="14"/>
      <c r="F442" s="14"/>
      <c r="G442" s="14" t="str">
        <f t="shared" si="44"/>
        <v/>
      </c>
      <c r="H442" s="14"/>
      <c r="I442" s="14"/>
      <c r="J442" s="24"/>
      <c r="K442" s="24"/>
      <c r="L442" s="24"/>
      <c r="M442" s="24"/>
      <c r="N442" s="16" t="str">
        <f t="shared" si="42"/>
        <v/>
      </c>
      <c r="O442" s="16" t="str">
        <f t="shared" si="45"/>
        <v/>
      </c>
      <c r="P442" s="16" t="str">
        <f t="shared" si="46"/>
        <v/>
      </c>
      <c r="Q442" s="16" t="str">
        <f t="shared" si="47"/>
        <v/>
      </c>
      <c r="R442" s="16">
        <f t="shared" si="43"/>
        <v>0</v>
      </c>
      <c r="S442" s="16" t="str">
        <f>IF(OR($B442="",NOT(ISNUMBER($F442))),"",SUMIFS(community_cores_FS!$P$5:$P$597,community_cores_FS!$B$5:$B$597,$B442,community_cores_FS!$F$5:$F$597,"&lt;="&amp;$F442))</f>
        <v/>
      </c>
      <c r="T442" s="16" t="str">
        <f>IF(AND($A442="",$B442="",$E442=""),"",IF(AND($B442&lt;&gt;"",COUNTIF('2. Core Log'!$A$5:$A$124,$B442)=0),"Core ID not in Core Log. ","")&amp;IF(AND($A442&lt;&gt;"",COUNTIF('1. Plot &amp; Site Log'!$A$5:$A$64,$A442)=0),"Plot ID not in Plot &amp; Site Log. ","")&amp;IF(AND(ISNUMBER($E442),ISNUMBER($F442),$F442&lt;=$E442),"Bottom depth is not below top depth. ","")&amp;IF($I442="","Say which bulk-density basis the lab reported. ","")&amp;IF(AND(ISNUMBER($J442),OR($J442&lt;QC_BD_MIN,$J442&gt;QC_BD_MAX)),"Bulk density outside "&amp;QC_BD_MIN&amp;"–"&amp;QC_BD_MAX&amp;" g/cm³ for peat. Above the top of that range usually means the mineral contact has been passed. ","")&amp;IF(AND(ISNUMBER($N442),$N442&gt;QC_CARBON_PCT_MAX),"Carbon above "&amp;QC_CARBON_PCT_MAX&amp;"% — check units; this may be organic matter rather than carbon. ","")&amp;IF(AND($L442&lt;&gt;"",$M442&lt;&gt;""),"Both LOI and measured carbon given — the measured value is used. ","")&amp;IF(AND($M442="",$L442&lt;&gt;"",OM_FACTOR_IS_LOCAL&lt;&gt;"Yes"),"Carbon derived from LOI using the default factor of "&amp;CARBON_FRACTION_OM&amp;", which has not been calibrated locally. See R1. Reference. ","")&amp;IF(AND(ISNUMBER($O442),$O442=0,ISNUMBER($E442)),"Section lies entirely below the reference depth — it counts to the full-profile stock only. ",""))</f>
        <v/>
      </c>
      <c r="U442" s="14"/>
    </row>
    <row r="443" spans="1:21" ht="15.75" customHeight="1">
      <c r="A443" s="14"/>
      <c r="B443" s="14"/>
      <c r="C443" s="14"/>
      <c r="D443" s="14"/>
      <c r="E443" s="14"/>
      <c r="F443" s="14"/>
      <c r="G443" s="14" t="str">
        <f t="shared" si="44"/>
        <v/>
      </c>
      <c r="H443" s="14"/>
      <c r="I443" s="14"/>
      <c r="J443" s="24"/>
      <c r="K443" s="24"/>
      <c r="L443" s="24"/>
      <c r="M443" s="24"/>
      <c r="N443" s="16" t="str">
        <f t="shared" si="42"/>
        <v/>
      </c>
      <c r="O443" s="16" t="str">
        <f t="shared" si="45"/>
        <v/>
      </c>
      <c r="P443" s="16" t="str">
        <f t="shared" si="46"/>
        <v/>
      </c>
      <c r="Q443" s="16" t="str">
        <f t="shared" si="47"/>
        <v/>
      </c>
      <c r="R443" s="16">
        <f t="shared" si="43"/>
        <v>0</v>
      </c>
      <c r="S443" s="16" t="str">
        <f>IF(OR($B443="",NOT(ISNUMBER($F443))),"",SUMIFS(community_cores_FS!$P$5:$P$597,community_cores_FS!$B$5:$B$597,$B443,community_cores_FS!$F$5:$F$597,"&lt;="&amp;$F443))</f>
        <v/>
      </c>
      <c r="T443" s="16" t="str">
        <f>IF(AND($A443="",$B443="",$E443=""),"",IF(AND($B443&lt;&gt;"",COUNTIF('2. Core Log'!$A$5:$A$124,$B443)=0),"Core ID not in Core Log. ","")&amp;IF(AND($A443&lt;&gt;"",COUNTIF('1. Plot &amp; Site Log'!$A$5:$A$64,$A443)=0),"Plot ID not in Plot &amp; Site Log. ","")&amp;IF(AND(ISNUMBER($E443),ISNUMBER($F443),$F443&lt;=$E443),"Bottom depth is not below top depth. ","")&amp;IF($I443="","Say which bulk-density basis the lab reported. ","")&amp;IF(AND(ISNUMBER($J443),OR($J443&lt;QC_BD_MIN,$J443&gt;QC_BD_MAX)),"Bulk density outside "&amp;QC_BD_MIN&amp;"–"&amp;QC_BD_MAX&amp;" g/cm³ for peat. Above the top of that range usually means the mineral contact has been passed. ","")&amp;IF(AND(ISNUMBER($N443),$N443&gt;QC_CARBON_PCT_MAX),"Carbon above "&amp;QC_CARBON_PCT_MAX&amp;"% — check units; this may be organic matter rather than carbon. ","")&amp;IF(AND($L443&lt;&gt;"",$M443&lt;&gt;""),"Both LOI and measured carbon given — the measured value is used. ","")&amp;IF(AND($M443="",$L443&lt;&gt;"",OM_FACTOR_IS_LOCAL&lt;&gt;"Yes"),"Carbon derived from LOI using the default factor of "&amp;CARBON_FRACTION_OM&amp;", which has not been calibrated locally. See R1. Reference. ","")&amp;IF(AND(ISNUMBER($O443),$O443=0,ISNUMBER($E443)),"Section lies entirely below the reference depth — it counts to the full-profile stock only. ",""))</f>
        <v/>
      </c>
      <c r="U443" s="14"/>
    </row>
    <row r="444" spans="1:21" ht="15.75" customHeight="1">
      <c r="A444" s="14"/>
      <c r="B444" s="14"/>
      <c r="C444" s="14"/>
      <c r="D444" s="14"/>
      <c r="E444" s="14"/>
      <c r="F444" s="14"/>
      <c r="G444" s="14" t="str">
        <f t="shared" si="44"/>
        <v/>
      </c>
      <c r="H444" s="14"/>
      <c r="I444" s="14"/>
      <c r="J444" s="24"/>
      <c r="K444" s="24"/>
      <c r="L444" s="24"/>
      <c r="M444" s="24"/>
      <c r="N444" s="16" t="str">
        <f t="shared" si="42"/>
        <v/>
      </c>
      <c r="O444" s="16" t="str">
        <f t="shared" si="45"/>
        <v/>
      </c>
      <c r="P444" s="16" t="str">
        <f t="shared" si="46"/>
        <v/>
      </c>
      <c r="Q444" s="16" t="str">
        <f t="shared" si="47"/>
        <v/>
      </c>
      <c r="R444" s="16">
        <f t="shared" si="43"/>
        <v>0</v>
      </c>
      <c r="S444" s="16" t="str">
        <f>IF(OR($B444="",NOT(ISNUMBER($F444))),"",SUMIFS(community_cores_FS!$P$5:$P$597,community_cores_FS!$B$5:$B$597,$B444,community_cores_FS!$F$5:$F$597,"&lt;="&amp;$F444))</f>
        <v/>
      </c>
      <c r="T444" s="16" t="str">
        <f>IF(AND($A444="",$B444="",$E444=""),"",IF(AND($B444&lt;&gt;"",COUNTIF('2. Core Log'!$A$5:$A$124,$B444)=0),"Core ID not in Core Log. ","")&amp;IF(AND($A444&lt;&gt;"",COUNTIF('1. Plot &amp; Site Log'!$A$5:$A$64,$A444)=0),"Plot ID not in Plot &amp; Site Log. ","")&amp;IF(AND(ISNUMBER($E444),ISNUMBER($F444),$F444&lt;=$E444),"Bottom depth is not below top depth. ","")&amp;IF($I444="","Say which bulk-density basis the lab reported. ","")&amp;IF(AND(ISNUMBER($J444),OR($J444&lt;QC_BD_MIN,$J444&gt;QC_BD_MAX)),"Bulk density outside "&amp;QC_BD_MIN&amp;"–"&amp;QC_BD_MAX&amp;" g/cm³ for peat. Above the top of that range usually means the mineral contact has been passed. ","")&amp;IF(AND(ISNUMBER($N444),$N444&gt;QC_CARBON_PCT_MAX),"Carbon above "&amp;QC_CARBON_PCT_MAX&amp;"% — check units; this may be organic matter rather than carbon. ","")&amp;IF(AND($L444&lt;&gt;"",$M444&lt;&gt;""),"Both LOI and measured carbon given — the measured value is used. ","")&amp;IF(AND($M444="",$L444&lt;&gt;"",OM_FACTOR_IS_LOCAL&lt;&gt;"Yes"),"Carbon derived from LOI using the default factor of "&amp;CARBON_FRACTION_OM&amp;", which has not been calibrated locally. See R1. Reference. ","")&amp;IF(AND(ISNUMBER($O444),$O444=0,ISNUMBER($E444)),"Section lies entirely below the reference depth — it counts to the full-profile stock only. ",""))</f>
        <v/>
      </c>
      <c r="U444" s="14"/>
    </row>
    <row r="445" spans="1:21" ht="15.75" customHeight="1">
      <c r="A445" s="14"/>
      <c r="B445" s="14"/>
      <c r="C445" s="14"/>
      <c r="D445" s="14"/>
      <c r="E445" s="14"/>
      <c r="F445" s="14"/>
      <c r="G445" s="14" t="str">
        <f t="shared" si="44"/>
        <v/>
      </c>
      <c r="H445" s="14"/>
      <c r="I445" s="14"/>
      <c r="J445" s="24"/>
      <c r="K445" s="24"/>
      <c r="L445" s="24"/>
      <c r="M445" s="24"/>
      <c r="N445" s="16" t="str">
        <f t="shared" si="42"/>
        <v/>
      </c>
      <c r="O445" s="16" t="str">
        <f t="shared" si="45"/>
        <v/>
      </c>
      <c r="P445" s="16" t="str">
        <f t="shared" si="46"/>
        <v/>
      </c>
      <c r="Q445" s="16" t="str">
        <f t="shared" si="47"/>
        <v/>
      </c>
      <c r="R445" s="16">
        <f t="shared" si="43"/>
        <v>0</v>
      </c>
      <c r="S445" s="16" t="str">
        <f>IF(OR($B445="",NOT(ISNUMBER($F445))),"",SUMIFS(community_cores_FS!$P$5:$P$597,community_cores_FS!$B$5:$B$597,$B445,community_cores_FS!$F$5:$F$597,"&lt;="&amp;$F445))</f>
        <v/>
      </c>
      <c r="T445" s="16" t="str">
        <f>IF(AND($A445="",$B445="",$E445=""),"",IF(AND($B445&lt;&gt;"",COUNTIF('2. Core Log'!$A$5:$A$124,$B445)=0),"Core ID not in Core Log. ","")&amp;IF(AND($A445&lt;&gt;"",COUNTIF('1. Plot &amp; Site Log'!$A$5:$A$64,$A445)=0),"Plot ID not in Plot &amp; Site Log. ","")&amp;IF(AND(ISNUMBER($E445),ISNUMBER($F445),$F445&lt;=$E445),"Bottom depth is not below top depth. ","")&amp;IF($I445="","Say which bulk-density basis the lab reported. ","")&amp;IF(AND(ISNUMBER($J445),OR($J445&lt;QC_BD_MIN,$J445&gt;QC_BD_MAX)),"Bulk density outside "&amp;QC_BD_MIN&amp;"–"&amp;QC_BD_MAX&amp;" g/cm³ for peat. Above the top of that range usually means the mineral contact has been passed. ","")&amp;IF(AND(ISNUMBER($N445),$N445&gt;QC_CARBON_PCT_MAX),"Carbon above "&amp;QC_CARBON_PCT_MAX&amp;"% — check units; this may be organic matter rather than carbon. ","")&amp;IF(AND($L445&lt;&gt;"",$M445&lt;&gt;""),"Both LOI and measured carbon given — the measured value is used. ","")&amp;IF(AND($M445="",$L445&lt;&gt;"",OM_FACTOR_IS_LOCAL&lt;&gt;"Yes"),"Carbon derived from LOI using the default factor of "&amp;CARBON_FRACTION_OM&amp;", which has not been calibrated locally. See R1. Reference. ","")&amp;IF(AND(ISNUMBER($O445),$O445=0,ISNUMBER($E445)),"Section lies entirely below the reference depth — it counts to the full-profile stock only. ",""))</f>
        <v/>
      </c>
      <c r="U445" s="14"/>
    </row>
    <row r="446" spans="1:21" ht="15.75" customHeight="1">
      <c r="A446" s="14"/>
      <c r="B446" s="14"/>
      <c r="C446" s="14"/>
      <c r="D446" s="14"/>
      <c r="E446" s="14"/>
      <c r="F446" s="14"/>
      <c r="G446" s="14" t="str">
        <f t="shared" si="44"/>
        <v/>
      </c>
      <c r="H446" s="14"/>
      <c r="I446" s="14"/>
      <c r="J446" s="24"/>
      <c r="K446" s="24"/>
      <c r="L446" s="24"/>
      <c r="M446" s="24"/>
      <c r="N446" s="16" t="str">
        <f t="shared" ref="N446:N509" si="48">IF($M446&lt;&gt;"",$M446,IF($L446&lt;&gt;"",$L446*CARBON_FRACTION_OM,""))</f>
        <v/>
      </c>
      <c r="O446" s="16" t="str">
        <f t="shared" si="45"/>
        <v/>
      </c>
      <c r="P446" s="16" t="str">
        <f t="shared" si="46"/>
        <v/>
      </c>
      <c r="Q446" s="16" t="str">
        <f t="shared" si="47"/>
        <v/>
      </c>
      <c r="R446" s="16">
        <f t="shared" ref="R446:R509" si="49">IF(OR(NOT(ISNUMBER($P446)),NOT(ISNUMBER($G446)),$G446=0),0,$P446/$G446)</f>
        <v>0</v>
      </c>
      <c r="S446" s="16" t="str">
        <f>IF(OR($B446="",NOT(ISNUMBER($F446))),"",SUMIFS(community_cores_FS!$P$5:$P$597,community_cores_FS!$B$5:$B$597,$B446,community_cores_FS!$F$5:$F$597,"&lt;="&amp;$F446))</f>
        <v/>
      </c>
      <c r="T446" s="16" t="str">
        <f>IF(AND($A446="",$B446="",$E446=""),"",IF(AND($B446&lt;&gt;"",COUNTIF('2. Core Log'!$A$5:$A$124,$B446)=0),"Core ID not in Core Log. ","")&amp;IF(AND($A446&lt;&gt;"",COUNTIF('1. Plot &amp; Site Log'!$A$5:$A$64,$A446)=0),"Plot ID not in Plot &amp; Site Log. ","")&amp;IF(AND(ISNUMBER($E446),ISNUMBER($F446),$F446&lt;=$E446),"Bottom depth is not below top depth. ","")&amp;IF($I446="","Say which bulk-density basis the lab reported. ","")&amp;IF(AND(ISNUMBER($J446),OR($J446&lt;QC_BD_MIN,$J446&gt;QC_BD_MAX)),"Bulk density outside "&amp;QC_BD_MIN&amp;"–"&amp;QC_BD_MAX&amp;" g/cm³ for peat. Above the top of that range usually means the mineral contact has been passed. ","")&amp;IF(AND(ISNUMBER($N446),$N446&gt;QC_CARBON_PCT_MAX),"Carbon above "&amp;QC_CARBON_PCT_MAX&amp;"% — check units; this may be organic matter rather than carbon. ","")&amp;IF(AND($L446&lt;&gt;"",$M446&lt;&gt;""),"Both LOI and measured carbon given — the measured value is used. ","")&amp;IF(AND($M446="",$L446&lt;&gt;"",OM_FACTOR_IS_LOCAL&lt;&gt;"Yes"),"Carbon derived from LOI using the default factor of "&amp;CARBON_FRACTION_OM&amp;", which has not been calibrated locally. See R1. Reference. ","")&amp;IF(AND(ISNUMBER($O446),$O446=0,ISNUMBER($E446)),"Section lies entirely below the reference depth — it counts to the full-profile stock only. ",""))</f>
        <v/>
      </c>
      <c r="U446" s="14"/>
    </row>
    <row r="447" spans="1:21" ht="15.75" customHeight="1">
      <c r="A447" s="14"/>
      <c r="B447" s="14"/>
      <c r="C447" s="14"/>
      <c r="D447" s="14"/>
      <c r="E447" s="14"/>
      <c r="F447" s="14"/>
      <c r="G447" s="14" t="str">
        <f t="shared" si="44"/>
        <v/>
      </c>
      <c r="H447" s="14"/>
      <c r="I447" s="14"/>
      <c r="J447" s="24"/>
      <c r="K447" s="24"/>
      <c r="L447" s="24"/>
      <c r="M447" s="24"/>
      <c r="N447" s="16" t="str">
        <f t="shared" si="48"/>
        <v/>
      </c>
      <c r="O447" s="16" t="str">
        <f t="shared" si="45"/>
        <v/>
      </c>
      <c r="P447" s="16" t="str">
        <f t="shared" si="46"/>
        <v/>
      </c>
      <c r="Q447" s="16" t="str">
        <f t="shared" si="47"/>
        <v/>
      </c>
      <c r="R447" s="16">
        <f t="shared" si="49"/>
        <v>0</v>
      </c>
      <c r="S447" s="16" t="str">
        <f>IF(OR($B447="",NOT(ISNUMBER($F447))),"",SUMIFS(community_cores_FS!$P$5:$P$597,community_cores_FS!$B$5:$B$597,$B447,community_cores_FS!$F$5:$F$597,"&lt;="&amp;$F447))</f>
        <v/>
      </c>
      <c r="T447" s="16" t="str">
        <f>IF(AND($A447="",$B447="",$E447=""),"",IF(AND($B447&lt;&gt;"",COUNTIF('2. Core Log'!$A$5:$A$124,$B447)=0),"Core ID not in Core Log. ","")&amp;IF(AND($A447&lt;&gt;"",COUNTIF('1. Plot &amp; Site Log'!$A$5:$A$64,$A447)=0),"Plot ID not in Plot &amp; Site Log. ","")&amp;IF(AND(ISNUMBER($E447),ISNUMBER($F447),$F447&lt;=$E447),"Bottom depth is not below top depth. ","")&amp;IF($I447="","Say which bulk-density basis the lab reported. ","")&amp;IF(AND(ISNUMBER($J447),OR($J447&lt;QC_BD_MIN,$J447&gt;QC_BD_MAX)),"Bulk density outside "&amp;QC_BD_MIN&amp;"–"&amp;QC_BD_MAX&amp;" g/cm³ for peat. Above the top of that range usually means the mineral contact has been passed. ","")&amp;IF(AND(ISNUMBER($N447),$N447&gt;QC_CARBON_PCT_MAX),"Carbon above "&amp;QC_CARBON_PCT_MAX&amp;"% — check units; this may be organic matter rather than carbon. ","")&amp;IF(AND($L447&lt;&gt;"",$M447&lt;&gt;""),"Both LOI and measured carbon given — the measured value is used. ","")&amp;IF(AND($M447="",$L447&lt;&gt;"",OM_FACTOR_IS_LOCAL&lt;&gt;"Yes"),"Carbon derived from LOI using the default factor of "&amp;CARBON_FRACTION_OM&amp;", which has not been calibrated locally. See R1. Reference. ","")&amp;IF(AND(ISNUMBER($O447),$O447=0,ISNUMBER($E447)),"Section lies entirely below the reference depth — it counts to the full-profile stock only. ",""))</f>
        <v/>
      </c>
      <c r="U447" s="14"/>
    </row>
    <row r="448" spans="1:21" ht="15.75" customHeight="1">
      <c r="A448" s="14"/>
      <c r="B448" s="14"/>
      <c r="C448" s="14"/>
      <c r="D448" s="14"/>
      <c r="E448" s="14"/>
      <c r="F448" s="14"/>
      <c r="G448" s="14" t="str">
        <f t="shared" si="44"/>
        <v/>
      </c>
      <c r="H448" s="14"/>
      <c r="I448" s="14"/>
      <c r="J448" s="24"/>
      <c r="K448" s="24"/>
      <c r="L448" s="24"/>
      <c r="M448" s="24"/>
      <c r="N448" s="16" t="str">
        <f t="shared" si="48"/>
        <v/>
      </c>
      <c r="O448" s="16" t="str">
        <f t="shared" si="45"/>
        <v/>
      </c>
      <c r="P448" s="16" t="str">
        <f t="shared" si="46"/>
        <v/>
      </c>
      <c r="Q448" s="16" t="str">
        <f t="shared" si="47"/>
        <v/>
      </c>
      <c r="R448" s="16">
        <f t="shared" si="49"/>
        <v>0</v>
      </c>
      <c r="S448" s="16" t="str">
        <f>IF(OR($B448="",NOT(ISNUMBER($F448))),"",SUMIFS(community_cores_FS!$P$5:$P$597,community_cores_FS!$B$5:$B$597,$B448,community_cores_FS!$F$5:$F$597,"&lt;="&amp;$F448))</f>
        <v/>
      </c>
      <c r="T448" s="16" t="str">
        <f>IF(AND($A448="",$B448="",$E448=""),"",IF(AND($B448&lt;&gt;"",COUNTIF('2. Core Log'!$A$5:$A$124,$B448)=0),"Core ID not in Core Log. ","")&amp;IF(AND($A448&lt;&gt;"",COUNTIF('1. Plot &amp; Site Log'!$A$5:$A$64,$A448)=0),"Plot ID not in Plot &amp; Site Log. ","")&amp;IF(AND(ISNUMBER($E448),ISNUMBER($F448),$F448&lt;=$E448),"Bottom depth is not below top depth. ","")&amp;IF($I448="","Say which bulk-density basis the lab reported. ","")&amp;IF(AND(ISNUMBER($J448),OR($J448&lt;QC_BD_MIN,$J448&gt;QC_BD_MAX)),"Bulk density outside "&amp;QC_BD_MIN&amp;"–"&amp;QC_BD_MAX&amp;" g/cm³ for peat. Above the top of that range usually means the mineral contact has been passed. ","")&amp;IF(AND(ISNUMBER($N448),$N448&gt;QC_CARBON_PCT_MAX),"Carbon above "&amp;QC_CARBON_PCT_MAX&amp;"% — check units; this may be organic matter rather than carbon. ","")&amp;IF(AND($L448&lt;&gt;"",$M448&lt;&gt;""),"Both LOI and measured carbon given — the measured value is used. ","")&amp;IF(AND($M448="",$L448&lt;&gt;"",OM_FACTOR_IS_LOCAL&lt;&gt;"Yes"),"Carbon derived from LOI using the default factor of "&amp;CARBON_FRACTION_OM&amp;", which has not been calibrated locally. See R1. Reference. ","")&amp;IF(AND(ISNUMBER($O448),$O448=0,ISNUMBER($E448)),"Section lies entirely below the reference depth — it counts to the full-profile stock only. ",""))</f>
        <v/>
      </c>
      <c r="U448" s="14"/>
    </row>
    <row r="449" spans="1:21" ht="15.75" customHeight="1">
      <c r="A449" s="14"/>
      <c r="B449" s="14"/>
      <c r="C449" s="14"/>
      <c r="D449" s="14"/>
      <c r="E449" s="14"/>
      <c r="F449" s="14"/>
      <c r="G449" s="14" t="str">
        <f t="shared" si="44"/>
        <v/>
      </c>
      <c r="H449" s="14"/>
      <c r="I449" s="14"/>
      <c r="J449" s="24"/>
      <c r="K449" s="24"/>
      <c r="L449" s="24"/>
      <c r="M449" s="24"/>
      <c r="N449" s="16" t="str">
        <f t="shared" si="48"/>
        <v/>
      </c>
      <c r="O449" s="16" t="str">
        <f t="shared" si="45"/>
        <v/>
      </c>
      <c r="P449" s="16" t="str">
        <f t="shared" si="46"/>
        <v/>
      </c>
      <c r="Q449" s="16" t="str">
        <f t="shared" si="47"/>
        <v/>
      </c>
      <c r="R449" s="16">
        <f t="shared" si="49"/>
        <v>0</v>
      </c>
      <c r="S449" s="16" t="str">
        <f>IF(OR($B449="",NOT(ISNUMBER($F449))),"",SUMIFS(community_cores_FS!$P$5:$P$597,community_cores_FS!$B$5:$B$597,$B449,community_cores_FS!$F$5:$F$597,"&lt;="&amp;$F449))</f>
        <v/>
      </c>
      <c r="T449" s="16" t="str">
        <f>IF(AND($A449="",$B449="",$E449=""),"",IF(AND($B449&lt;&gt;"",COUNTIF('2. Core Log'!$A$5:$A$124,$B449)=0),"Core ID not in Core Log. ","")&amp;IF(AND($A449&lt;&gt;"",COUNTIF('1. Plot &amp; Site Log'!$A$5:$A$64,$A449)=0),"Plot ID not in Plot &amp; Site Log. ","")&amp;IF(AND(ISNUMBER($E449),ISNUMBER($F449),$F449&lt;=$E449),"Bottom depth is not below top depth. ","")&amp;IF($I449="","Say which bulk-density basis the lab reported. ","")&amp;IF(AND(ISNUMBER($J449),OR($J449&lt;QC_BD_MIN,$J449&gt;QC_BD_MAX)),"Bulk density outside "&amp;QC_BD_MIN&amp;"–"&amp;QC_BD_MAX&amp;" g/cm³ for peat. Above the top of that range usually means the mineral contact has been passed. ","")&amp;IF(AND(ISNUMBER($N449),$N449&gt;QC_CARBON_PCT_MAX),"Carbon above "&amp;QC_CARBON_PCT_MAX&amp;"% — check units; this may be organic matter rather than carbon. ","")&amp;IF(AND($L449&lt;&gt;"",$M449&lt;&gt;""),"Both LOI and measured carbon given — the measured value is used. ","")&amp;IF(AND($M449="",$L449&lt;&gt;"",OM_FACTOR_IS_LOCAL&lt;&gt;"Yes"),"Carbon derived from LOI using the default factor of "&amp;CARBON_FRACTION_OM&amp;", which has not been calibrated locally. See R1. Reference. ","")&amp;IF(AND(ISNUMBER($O449),$O449=0,ISNUMBER($E449)),"Section lies entirely below the reference depth — it counts to the full-profile stock only. ",""))</f>
        <v/>
      </c>
      <c r="U449" s="14"/>
    </row>
    <row r="450" spans="1:21" ht="15.75" customHeight="1">
      <c r="A450" s="14"/>
      <c r="B450" s="14"/>
      <c r="C450" s="14"/>
      <c r="D450" s="14"/>
      <c r="E450" s="14"/>
      <c r="F450" s="14"/>
      <c r="G450" s="14" t="str">
        <f t="shared" si="44"/>
        <v/>
      </c>
      <c r="H450" s="14"/>
      <c r="I450" s="14"/>
      <c r="J450" s="24"/>
      <c r="K450" s="24"/>
      <c r="L450" s="24"/>
      <c r="M450" s="24"/>
      <c r="N450" s="16" t="str">
        <f t="shared" si="48"/>
        <v/>
      </c>
      <c r="O450" s="16" t="str">
        <f t="shared" si="45"/>
        <v/>
      </c>
      <c r="P450" s="16" t="str">
        <f t="shared" si="46"/>
        <v/>
      </c>
      <c r="Q450" s="16" t="str">
        <f t="shared" si="47"/>
        <v/>
      </c>
      <c r="R450" s="16">
        <f t="shared" si="49"/>
        <v>0</v>
      </c>
      <c r="S450" s="16" t="str">
        <f>IF(OR($B450="",NOT(ISNUMBER($F450))),"",SUMIFS(community_cores_FS!$P$5:$P$597,community_cores_FS!$B$5:$B$597,$B450,community_cores_FS!$F$5:$F$597,"&lt;="&amp;$F450))</f>
        <v/>
      </c>
      <c r="T450" s="16" t="str">
        <f>IF(AND($A450="",$B450="",$E450=""),"",IF(AND($B450&lt;&gt;"",COUNTIF('2. Core Log'!$A$5:$A$124,$B450)=0),"Core ID not in Core Log. ","")&amp;IF(AND($A450&lt;&gt;"",COUNTIF('1. Plot &amp; Site Log'!$A$5:$A$64,$A450)=0),"Plot ID not in Plot &amp; Site Log. ","")&amp;IF(AND(ISNUMBER($E450),ISNUMBER($F450),$F450&lt;=$E450),"Bottom depth is not below top depth. ","")&amp;IF($I450="","Say which bulk-density basis the lab reported. ","")&amp;IF(AND(ISNUMBER($J450),OR($J450&lt;QC_BD_MIN,$J450&gt;QC_BD_MAX)),"Bulk density outside "&amp;QC_BD_MIN&amp;"–"&amp;QC_BD_MAX&amp;" g/cm³ for peat. Above the top of that range usually means the mineral contact has been passed. ","")&amp;IF(AND(ISNUMBER($N450),$N450&gt;QC_CARBON_PCT_MAX),"Carbon above "&amp;QC_CARBON_PCT_MAX&amp;"% — check units; this may be organic matter rather than carbon. ","")&amp;IF(AND($L450&lt;&gt;"",$M450&lt;&gt;""),"Both LOI and measured carbon given — the measured value is used. ","")&amp;IF(AND($M450="",$L450&lt;&gt;"",OM_FACTOR_IS_LOCAL&lt;&gt;"Yes"),"Carbon derived from LOI using the default factor of "&amp;CARBON_FRACTION_OM&amp;", which has not been calibrated locally. See R1. Reference. ","")&amp;IF(AND(ISNUMBER($O450),$O450=0,ISNUMBER($E450)),"Section lies entirely below the reference depth — it counts to the full-profile stock only. ",""))</f>
        <v/>
      </c>
      <c r="U450" s="14"/>
    </row>
    <row r="451" spans="1:21" ht="15.75" customHeight="1">
      <c r="A451" s="14"/>
      <c r="B451" s="14"/>
      <c r="C451" s="14"/>
      <c r="D451" s="14"/>
      <c r="E451" s="14"/>
      <c r="F451" s="14"/>
      <c r="G451" s="14" t="str">
        <f t="shared" si="44"/>
        <v/>
      </c>
      <c r="H451" s="14"/>
      <c r="I451" s="14"/>
      <c r="J451" s="24"/>
      <c r="K451" s="24"/>
      <c r="L451" s="24"/>
      <c r="M451" s="24"/>
      <c r="N451" s="16" t="str">
        <f t="shared" si="48"/>
        <v/>
      </c>
      <c r="O451" s="16" t="str">
        <f t="shared" si="45"/>
        <v/>
      </c>
      <c r="P451" s="16" t="str">
        <f t="shared" si="46"/>
        <v/>
      </c>
      <c r="Q451" s="16" t="str">
        <f t="shared" si="47"/>
        <v/>
      </c>
      <c r="R451" s="16">
        <f t="shared" si="49"/>
        <v>0</v>
      </c>
      <c r="S451" s="16" t="str">
        <f>IF(OR($B451="",NOT(ISNUMBER($F451))),"",SUMIFS(community_cores_FS!$P$5:$P$597,community_cores_FS!$B$5:$B$597,$B451,community_cores_FS!$F$5:$F$597,"&lt;="&amp;$F451))</f>
        <v/>
      </c>
      <c r="T451" s="16" t="str">
        <f>IF(AND($A451="",$B451="",$E451=""),"",IF(AND($B451&lt;&gt;"",COUNTIF('2. Core Log'!$A$5:$A$124,$B451)=0),"Core ID not in Core Log. ","")&amp;IF(AND($A451&lt;&gt;"",COUNTIF('1. Plot &amp; Site Log'!$A$5:$A$64,$A451)=0),"Plot ID not in Plot &amp; Site Log. ","")&amp;IF(AND(ISNUMBER($E451),ISNUMBER($F451),$F451&lt;=$E451),"Bottom depth is not below top depth. ","")&amp;IF($I451="","Say which bulk-density basis the lab reported. ","")&amp;IF(AND(ISNUMBER($J451),OR($J451&lt;QC_BD_MIN,$J451&gt;QC_BD_MAX)),"Bulk density outside "&amp;QC_BD_MIN&amp;"–"&amp;QC_BD_MAX&amp;" g/cm³ for peat. Above the top of that range usually means the mineral contact has been passed. ","")&amp;IF(AND(ISNUMBER($N451),$N451&gt;QC_CARBON_PCT_MAX),"Carbon above "&amp;QC_CARBON_PCT_MAX&amp;"% — check units; this may be organic matter rather than carbon. ","")&amp;IF(AND($L451&lt;&gt;"",$M451&lt;&gt;""),"Both LOI and measured carbon given — the measured value is used. ","")&amp;IF(AND($M451="",$L451&lt;&gt;"",OM_FACTOR_IS_LOCAL&lt;&gt;"Yes"),"Carbon derived from LOI using the default factor of "&amp;CARBON_FRACTION_OM&amp;", which has not been calibrated locally. See R1. Reference. ","")&amp;IF(AND(ISNUMBER($O451),$O451=0,ISNUMBER($E451)),"Section lies entirely below the reference depth — it counts to the full-profile stock only. ",""))</f>
        <v/>
      </c>
      <c r="U451" s="14"/>
    </row>
    <row r="452" spans="1:21" ht="15.75" customHeight="1">
      <c r="A452" s="14"/>
      <c r="B452" s="14"/>
      <c r="C452" s="14"/>
      <c r="D452" s="14"/>
      <c r="E452" s="14"/>
      <c r="F452" s="14"/>
      <c r="G452" s="14" t="str">
        <f t="shared" si="44"/>
        <v/>
      </c>
      <c r="H452" s="14"/>
      <c r="I452" s="14"/>
      <c r="J452" s="24"/>
      <c r="K452" s="24"/>
      <c r="L452" s="24"/>
      <c r="M452" s="24"/>
      <c r="N452" s="16" t="str">
        <f t="shared" si="48"/>
        <v/>
      </c>
      <c r="O452" s="16" t="str">
        <f t="shared" si="45"/>
        <v/>
      </c>
      <c r="P452" s="16" t="str">
        <f t="shared" si="46"/>
        <v/>
      </c>
      <c r="Q452" s="16" t="str">
        <f t="shared" si="47"/>
        <v/>
      </c>
      <c r="R452" s="16">
        <f t="shared" si="49"/>
        <v>0</v>
      </c>
      <c r="S452" s="16" t="str">
        <f>IF(OR($B452="",NOT(ISNUMBER($F452))),"",SUMIFS(community_cores_FS!$P$5:$P$597,community_cores_FS!$B$5:$B$597,$B452,community_cores_FS!$F$5:$F$597,"&lt;="&amp;$F452))</f>
        <v/>
      </c>
      <c r="T452" s="16" t="str">
        <f>IF(AND($A452="",$B452="",$E452=""),"",IF(AND($B452&lt;&gt;"",COUNTIF('2. Core Log'!$A$5:$A$124,$B452)=0),"Core ID not in Core Log. ","")&amp;IF(AND($A452&lt;&gt;"",COUNTIF('1. Plot &amp; Site Log'!$A$5:$A$64,$A452)=0),"Plot ID not in Plot &amp; Site Log. ","")&amp;IF(AND(ISNUMBER($E452),ISNUMBER($F452),$F452&lt;=$E452),"Bottom depth is not below top depth. ","")&amp;IF($I452="","Say which bulk-density basis the lab reported. ","")&amp;IF(AND(ISNUMBER($J452),OR($J452&lt;QC_BD_MIN,$J452&gt;QC_BD_MAX)),"Bulk density outside "&amp;QC_BD_MIN&amp;"–"&amp;QC_BD_MAX&amp;" g/cm³ for peat. Above the top of that range usually means the mineral contact has been passed. ","")&amp;IF(AND(ISNUMBER($N452),$N452&gt;QC_CARBON_PCT_MAX),"Carbon above "&amp;QC_CARBON_PCT_MAX&amp;"% — check units; this may be organic matter rather than carbon. ","")&amp;IF(AND($L452&lt;&gt;"",$M452&lt;&gt;""),"Both LOI and measured carbon given — the measured value is used. ","")&amp;IF(AND($M452="",$L452&lt;&gt;"",OM_FACTOR_IS_LOCAL&lt;&gt;"Yes"),"Carbon derived from LOI using the default factor of "&amp;CARBON_FRACTION_OM&amp;", which has not been calibrated locally. See R1. Reference. ","")&amp;IF(AND(ISNUMBER($O452),$O452=0,ISNUMBER($E452)),"Section lies entirely below the reference depth — it counts to the full-profile stock only. ",""))</f>
        <v/>
      </c>
      <c r="U452" s="14"/>
    </row>
    <row r="453" spans="1:21" ht="15.75" customHeight="1">
      <c r="A453" s="14"/>
      <c r="B453" s="14"/>
      <c r="C453" s="14"/>
      <c r="D453" s="14"/>
      <c r="E453" s="14"/>
      <c r="F453" s="14"/>
      <c r="G453" s="14" t="str">
        <f t="shared" si="44"/>
        <v/>
      </c>
      <c r="H453" s="14"/>
      <c r="I453" s="14"/>
      <c r="J453" s="24"/>
      <c r="K453" s="24"/>
      <c r="L453" s="24"/>
      <c r="M453" s="24"/>
      <c r="N453" s="16" t="str">
        <f t="shared" si="48"/>
        <v/>
      </c>
      <c r="O453" s="16" t="str">
        <f t="shared" si="45"/>
        <v/>
      </c>
      <c r="P453" s="16" t="str">
        <f t="shared" si="46"/>
        <v/>
      </c>
      <c r="Q453" s="16" t="str">
        <f t="shared" si="47"/>
        <v/>
      </c>
      <c r="R453" s="16">
        <f t="shared" si="49"/>
        <v>0</v>
      </c>
      <c r="S453" s="16" t="str">
        <f>IF(OR($B453="",NOT(ISNUMBER($F453))),"",SUMIFS(community_cores_FS!$P$5:$P$597,community_cores_FS!$B$5:$B$597,$B453,community_cores_FS!$F$5:$F$597,"&lt;="&amp;$F453))</f>
        <v/>
      </c>
      <c r="T453" s="16" t="str">
        <f>IF(AND($A453="",$B453="",$E453=""),"",IF(AND($B453&lt;&gt;"",COUNTIF('2. Core Log'!$A$5:$A$124,$B453)=0),"Core ID not in Core Log. ","")&amp;IF(AND($A453&lt;&gt;"",COUNTIF('1. Plot &amp; Site Log'!$A$5:$A$64,$A453)=0),"Plot ID not in Plot &amp; Site Log. ","")&amp;IF(AND(ISNUMBER($E453),ISNUMBER($F453),$F453&lt;=$E453),"Bottom depth is not below top depth. ","")&amp;IF($I453="","Say which bulk-density basis the lab reported. ","")&amp;IF(AND(ISNUMBER($J453),OR($J453&lt;QC_BD_MIN,$J453&gt;QC_BD_MAX)),"Bulk density outside "&amp;QC_BD_MIN&amp;"–"&amp;QC_BD_MAX&amp;" g/cm³ for peat. Above the top of that range usually means the mineral contact has been passed. ","")&amp;IF(AND(ISNUMBER($N453),$N453&gt;QC_CARBON_PCT_MAX),"Carbon above "&amp;QC_CARBON_PCT_MAX&amp;"% — check units; this may be organic matter rather than carbon. ","")&amp;IF(AND($L453&lt;&gt;"",$M453&lt;&gt;""),"Both LOI and measured carbon given — the measured value is used. ","")&amp;IF(AND($M453="",$L453&lt;&gt;"",OM_FACTOR_IS_LOCAL&lt;&gt;"Yes"),"Carbon derived from LOI using the default factor of "&amp;CARBON_FRACTION_OM&amp;", which has not been calibrated locally. See R1. Reference. ","")&amp;IF(AND(ISNUMBER($O453),$O453=0,ISNUMBER($E453)),"Section lies entirely below the reference depth — it counts to the full-profile stock only. ",""))</f>
        <v/>
      </c>
      <c r="U453" s="14"/>
    </row>
    <row r="454" spans="1:21" ht="15.75" customHeight="1">
      <c r="A454" s="14"/>
      <c r="B454" s="14"/>
      <c r="C454" s="14"/>
      <c r="D454" s="14"/>
      <c r="E454" s="14"/>
      <c r="F454" s="14"/>
      <c r="G454" s="14" t="str">
        <f t="shared" si="44"/>
        <v/>
      </c>
      <c r="H454" s="14"/>
      <c r="I454" s="14"/>
      <c r="J454" s="24"/>
      <c r="K454" s="24"/>
      <c r="L454" s="24"/>
      <c r="M454" s="24"/>
      <c r="N454" s="16" t="str">
        <f t="shared" si="48"/>
        <v/>
      </c>
      <c r="O454" s="16" t="str">
        <f t="shared" si="45"/>
        <v/>
      </c>
      <c r="P454" s="16" t="str">
        <f t="shared" si="46"/>
        <v/>
      </c>
      <c r="Q454" s="16" t="str">
        <f t="shared" si="47"/>
        <v/>
      </c>
      <c r="R454" s="16">
        <f t="shared" si="49"/>
        <v>0</v>
      </c>
      <c r="S454" s="16" t="str">
        <f>IF(OR($B454="",NOT(ISNUMBER($F454))),"",SUMIFS(community_cores_FS!$P$5:$P$597,community_cores_FS!$B$5:$B$597,$B454,community_cores_FS!$F$5:$F$597,"&lt;="&amp;$F454))</f>
        <v/>
      </c>
      <c r="T454" s="16" t="str">
        <f>IF(AND($A454="",$B454="",$E454=""),"",IF(AND($B454&lt;&gt;"",COUNTIF('2. Core Log'!$A$5:$A$124,$B454)=0),"Core ID not in Core Log. ","")&amp;IF(AND($A454&lt;&gt;"",COUNTIF('1. Plot &amp; Site Log'!$A$5:$A$64,$A454)=0),"Plot ID not in Plot &amp; Site Log. ","")&amp;IF(AND(ISNUMBER($E454),ISNUMBER($F454),$F454&lt;=$E454),"Bottom depth is not below top depth. ","")&amp;IF($I454="","Say which bulk-density basis the lab reported. ","")&amp;IF(AND(ISNUMBER($J454),OR($J454&lt;QC_BD_MIN,$J454&gt;QC_BD_MAX)),"Bulk density outside "&amp;QC_BD_MIN&amp;"–"&amp;QC_BD_MAX&amp;" g/cm³ for peat. Above the top of that range usually means the mineral contact has been passed. ","")&amp;IF(AND(ISNUMBER($N454),$N454&gt;QC_CARBON_PCT_MAX),"Carbon above "&amp;QC_CARBON_PCT_MAX&amp;"% — check units; this may be organic matter rather than carbon. ","")&amp;IF(AND($L454&lt;&gt;"",$M454&lt;&gt;""),"Both LOI and measured carbon given — the measured value is used. ","")&amp;IF(AND($M454="",$L454&lt;&gt;"",OM_FACTOR_IS_LOCAL&lt;&gt;"Yes"),"Carbon derived from LOI using the default factor of "&amp;CARBON_FRACTION_OM&amp;", which has not been calibrated locally. See R1. Reference. ","")&amp;IF(AND(ISNUMBER($O454),$O454=0,ISNUMBER($E454)),"Section lies entirely below the reference depth — it counts to the full-profile stock only. ",""))</f>
        <v/>
      </c>
      <c r="U454" s="14"/>
    </row>
    <row r="455" spans="1:21" ht="15.75" customHeight="1">
      <c r="A455" s="14"/>
      <c r="B455" s="14"/>
      <c r="C455" s="14"/>
      <c r="D455" s="14"/>
      <c r="E455" s="14"/>
      <c r="F455" s="14"/>
      <c r="G455" s="14" t="str">
        <f t="shared" si="44"/>
        <v/>
      </c>
      <c r="H455" s="14"/>
      <c r="I455" s="14"/>
      <c r="J455" s="24"/>
      <c r="K455" s="24"/>
      <c r="L455" s="24"/>
      <c r="M455" s="24"/>
      <c r="N455" s="16" t="str">
        <f t="shared" si="48"/>
        <v/>
      </c>
      <c r="O455" s="16" t="str">
        <f t="shared" si="45"/>
        <v/>
      </c>
      <c r="P455" s="16" t="str">
        <f t="shared" si="46"/>
        <v/>
      </c>
      <c r="Q455" s="16" t="str">
        <f t="shared" si="47"/>
        <v/>
      </c>
      <c r="R455" s="16">
        <f t="shared" si="49"/>
        <v>0</v>
      </c>
      <c r="S455" s="16" t="str">
        <f>IF(OR($B455="",NOT(ISNUMBER($F455))),"",SUMIFS(community_cores_FS!$P$5:$P$597,community_cores_FS!$B$5:$B$597,$B455,community_cores_FS!$F$5:$F$597,"&lt;="&amp;$F455))</f>
        <v/>
      </c>
      <c r="T455" s="16" t="str">
        <f>IF(AND($A455="",$B455="",$E455=""),"",IF(AND($B455&lt;&gt;"",COUNTIF('2. Core Log'!$A$5:$A$124,$B455)=0),"Core ID not in Core Log. ","")&amp;IF(AND($A455&lt;&gt;"",COUNTIF('1. Plot &amp; Site Log'!$A$5:$A$64,$A455)=0),"Plot ID not in Plot &amp; Site Log. ","")&amp;IF(AND(ISNUMBER($E455),ISNUMBER($F455),$F455&lt;=$E455),"Bottom depth is not below top depth. ","")&amp;IF($I455="","Say which bulk-density basis the lab reported. ","")&amp;IF(AND(ISNUMBER($J455),OR($J455&lt;QC_BD_MIN,$J455&gt;QC_BD_MAX)),"Bulk density outside "&amp;QC_BD_MIN&amp;"–"&amp;QC_BD_MAX&amp;" g/cm³ for peat. Above the top of that range usually means the mineral contact has been passed. ","")&amp;IF(AND(ISNUMBER($N455),$N455&gt;QC_CARBON_PCT_MAX),"Carbon above "&amp;QC_CARBON_PCT_MAX&amp;"% — check units; this may be organic matter rather than carbon. ","")&amp;IF(AND($L455&lt;&gt;"",$M455&lt;&gt;""),"Both LOI and measured carbon given — the measured value is used. ","")&amp;IF(AND($M455="",$L455&lt;&gt;"",OM_FACTOR_IS_LOCAL&lt;&gt;"Yes"),"Carbon derived from LOI using the default factor of "&amp;CARBON_FRACTION_OM&amp;", which has not been calibrated locally. See R1. Reference. ","")&amp;IF(AND(ISNUMBER($O455),$O455=0,ISNUMBER($E455)),"Section lies entirely below the reference depth — it counts to the full-profile stock only. ",""))</f>
        <v/>
      </c>
      <c r="U455" s="14"/>
    </row>
    <row r="456" spans="1:21" ht="15.75" customHeight="1">
      <c r="A456" s="14"/>
      <c r="B456" s="14"/>
      <c r="C456" s="14"/>
      <c r="D456" s="14"/>
      <c r="E456" s="14"/>
      <c r="F456" s="14"/>
      <c r="G456" s="14" t="str">
        <f t="shared" si="44"/>
        <v/>
      </c>
      <c r="H456" s="14"/>
      <c r="I456" s="14"/>
      <c r="J456" s="24"/>
      <c r="K456" s="24"/>
      <c r="L456" s="24"/>
      <c r="M456" s="24"/>
      <c r="N456" s="16" t="str">
        <f t="shared" si="48"/>
        <v/>
      </c>
      <c r="O456" s="16" t="str">
        <f t="shared" si="45"/>
        <v/>
      </c>
      <c r="P456" s="16" t="str">
        <f t="shared" si="46"/>
        <v/>
      </c>
      <c r="Q456" s="16" t="str">
        <f t="shared" si="47"/>
        <v/>
      </c>
      <c r="R456" s="16">
        <f t="shared" si="49"/>
        <v>0</v>
      </c>
      <c r="S456" s="16" t="str">
        <f>IF(OR($B456="",NOT(ISNUMBER($F456))),"",SUMIFS(community_cores_FS!$P$5:$P$597,community_cores_FS!$B$5:$B$597,$B456,community_cores_FS!$F$5:$F$597,"&lt;="&amp;$F456))</f>
        <v/>
      </c>
      <c r="T456" s="16" t="str">
        <f>IF(AND($A456="",$B456="",$E456=""),"",IF(AND($B456&lt;&gt;"",COUNTIF('2. Core Log'!$A$5:$A$124,$B456)=0),"Core ID not in Core Log. ","")&amp;IF(AND($A456&lt;&gt;"",COUNTIF('1. Plot &amp; Site Log'!$A$5:$A$64,$A456)=0),"Plot ID not in Plot &amp; Site Log. ","")&amp;IF(AND(ISNUMBER($E456),ISNUMBER($F456),$F456&lt;=$E456),"Bottom depth is not below top depth. ","")&amp;IF($I456="","Say which bulk-density basis the lab reported. ","")&amp;IF(AND(ISNUMBER($J456),OR($J456&lt;QC_BD_MIN,$J456&gt;QC_BD_MAX)),"Bulk density outside "&amp;QC_BD_MIN&amp;"–"&amp;QC_BD_MAX&amp;" g/cm³ for peat. Above the top of that range usually means the mineral contact has been passed. ","")&amp;IF(AND(ISNUMBER($N456),$N456&gt;QC_CARBON_PCT_MAX),"Carbon above "&amp;QC_CARBON_PCT_MAX&amp;"% — check units; this may be organic matter rather than carbon. ","")&amp;IF(AND($L456&lt;&gt;"",$M456&lt;&gt;""),"Both LOI and measured carbon given — the measured value is used. ","")&amp;IF(AND($M456="",$L456&lt;&gt;"",OM_FACTOR_IS_LOCAL&lt;&gt;"Yes"),"Carbon derived from LOI using the default factor of "&amp;CARBON_FRACTION_OM&amp;", which has not been calibrated locally. See R1. Reference. ","")&amp;IF(AND(ISNUMBER($O456),$O456=0,ISNUMBER($E456)),"Section lies entirely below the reference depth — it counts to the full-profile stock only. ",""))</f>
        <v/>
      </c>
      <c r="U456" s="14"/>
    </row>
    <row r="457" spans="1:21" ht="15.75" customHeight="1">
      <c r="A457" s="14"/>
      <c r="B457" s="14"/>
      <c r="C457" s="14"/>
      <c r="D457" s="14"/>
      <c r="E457" s="14"/>
      <c r="F457" s="14"/>
      <c r="G457" s="14" t="str">
        <f t="shared" si="44"/>
        <v/>
      </c>
      <c r="H457" s="14"/>
      <c r="I457" s="14"/>
      <c r="J457" s="24"/>
      <c r="K457" s="24"/>
      <c r="L457" s="24"/>
      <c r="M457" s="24"/>
      <c r="N457" s="16" t="str">
        <f t="shared" si="48"/>
        <v/>
      </c>
      <c r="O457" s="16" t="str">
        <f t="shared" si="45"/>
        <v/>
      </c>
      <c r="P457" s="16" t="str">
        <f t="shared" si="46"/>
        <v/>
      </c>
      <c r="Q457" s="16" t="str">
        <f t="shared" si="47"/>
        <v/>
      </c>
      <c r="R457" s="16">
        <f t="shared" si="49"/>
        <v>0</v>
      </c>
      <c r="S457" s="16" t="str">
        <f>IF(OR($B457="",NOT(ISNUMBER($F457))),"",SUMIFS(community_cores_FS!$P$5:$P$597,community_cores_FS!$B$5:$B$597,$B457,community_cores_FS!$F$5:$F$597,"&lt;="&amp;$F457))</f>
        <v/>
      </c>
      <c r="T457" s="16" t="str">
        <f>IF(AND($A457="",$B457="",$E457=""),"",IF(AND($B457&lt;&gt;"",COUNTIF('2. Core Log'!$A$5:$A$124,$B457)=0),"Core ID not in Core Log. ","")&amp;IF(AND($A457&lt;&gt;"",COUNTIF('1. Plot &amp; Site Log'!$A$5:$A$64,$A457)=0),"Plot ID not in Plot &amp; Site Log. ","")&amp;IF(AND(ISNUMBER($E457),ISNUMBER($F457),$F457&lt;=$E457),"Bottom depth is not below top depth. ","")&amp;IF($I457="","Say which bulk-density basis the lab reported. ","")&amp;IF(AND(ISNUMBER($J457),OR($J457&lt;QC_BD_MIN,$J457&gt;QC_BD_MAX)),"Bulk density outside "&amp;QC_BD_MIN&amp;"–"&amp;QC_BD_MAX&amp;" g/cm³ for peat. Above the top of that range usually means the mineral contact has been passed. ","")&amp;IF(AND(ISNUMBER($N457),$N457&gt;QC_CARBON_PCT_MAX),"Carbon above "&amp;QC_CARBON_PCT_MAX&amp;"% — check units; this may be organic matter rather than carbon. ","")&amp;IF(AND($L457&lt;&gt;"",$M457&lt;&gt;""),"Both LOI and measured carbon given — the measured value is used. ","")&amp;IF(AND($M457="",$L457&lt;&gt;"",OM_FACTOR_IS_LOCAL&lt;&gt;"Yes"),"Carbon derived from LOI using the default factor of "&amp;CARBON_FRACTION_OM&amp;", which has not been calibrated locally. See R1. Reference. ","")&amp;IF(AND(ISNUMBER($O457),$O457=0,ISNUMBER($E457)),"Section lies entirely below the reference depth — it counts to the full-profile stock only. ",""))</f>
        <v/>
      </c>
      <c r="U457" s="14"/>
    </row>
    <row r="458" spans="1:21" ht="15.75" customHeight="1">
      <c r="A458" s="14"/>
      <c r="B458" s="14"/>
      <c r="C458" s="14"/>
      <c r="D458" s="14"/>
      <c r="E458" s="14"/>
      <c r="F458" s="14"/>
      <c r="G458" s="14" t="str">
        <f t="shared" si="44"/>
        <v/>
      </c>
      <c r="H458" s="14"/>
      <c r="I458" s="14"/>
      <c r="J458" s="24"/>
      <c r="K458" s="24"/>
      <c r="L458" s="24"/>
      <c r="M458" s="24"/>
      <c r="N458" s="16" t="str">
        <f t="shared" si="48"/>
        <v/>
      </c>
      <c r="O458" s="16" t="str">
        <f t="shared" si="45"/>
        <v/>
      </c>
      <c r="P458" s="16" t="str">
        <f t="shared" si="46"/>
        <v/>
      </c>
      <c r="Q458" s="16" t="str">
        <f t="shared" si="47"/>
        <v/>
      </c>
      <c r="R458" s="16">
        <f t="shared" si="49"/>
        <v>0</v>
      </c>
      <c r="S458" s="16" t="str">
        <f>IF(OR($B458="",NOT(ISNUMBER($F458))),"",SUMIFS(community_cores_FS!$P$5:$P$597,community_cores_FS!$B$5:$B$597,$B458,community_cores_FS!$F$5:$F$597,"&lt;="&amp;$F458))</f>
        <v/>
      </c>
      <c r="T458" s="16" t="str">
        <f>IF(AND($A458="",$B458="",$E458=""),"",IF(AND($B458&lt;&gt;"",COUNTIF('2. Core Log'!$A$5:$A$124,$B458)=0),"Core ID not in Core Log. ","")&amp;IF(AND($A458&lt;&gt;"",COUNTIF('1. Plot &amp; Site Log'!$A$5:$A$64,$A458)=0),"Plot ID not in Plot &amp; Site Log. ","")&amp;IF(AND(ISNUMBER($E458),ISNUMBER($F458),$F458&lt;=$E458),"Bottom depth is not below top depth. ","")&amp;IF($I458="","Say which bulk-density basis the lab reported. ","")&amp;IF(AND(ISNUMBER($J458),OR($J458&lt;QC_BD_MIN,$J458&gt;QC_BD_MAX)),"Bulk density outside "&amp;QC_BD_MIN&amp;"–"&amp;QC_BD_MAX&amp;" g/cm³ for peat. Above the top of that range usually means the mineral contact has been passed. ","")&amp;IF(AND(ISNUMBER($N458),$N458&gt;QC_CARBON_PCT_MAX),"Carbon above "&amp;QC_CARBON_PCT_MAX&amp;"% — check units; this may be organic matter rather than carbon. ","")&amp;IF(AND($L458&lt;&gt;"",$M458&lt;&gt;""),"Both LOI and measured carbon given — the measured value is used. ","")&amp;IF(AND($M458="",$L458&lt;&gt;"",OM_FACTOR_IS_LOCAL&lt;&gt;"Yes"),"Carbon derived from LOI using the default factor of "&amp;CARBON_FRACTION_OM&amp;", which has not been calibrated locally. See R1. Reference. ","")&amp;IF(AND(ISNUMBER($O458),$O458=0,ISNUMBER($E458)),"Section lies entirely below the reference depth — it counts to the full-profile stock only. ",""))</f>
        <v/>
      </c>
      <c r="U458" s="14"/>
    </row>
    <row r="459" spans="1:21" ht="15.75" customHeight="1">
      <c r="A459" s="14"/>
      <c r="B459" s="14"/>
      <c r="C459" s="14"/>
      <c r="D459" s="14"/>
      <c r="E459" s="14"/>
      <c r="F459" s="14"/>
      <c r="G459" s="14" t="str">
        <f t="shared" si="44"/>
        <v/>
      </c>
      <c r="H459" s="14"/>
      <c r="I459" s="14"/>
      <c r="J459" s="24"/>
      <c r="K459" s="24"/>
      <c r="L459" s="24"/>
      <c r="M459" s="24"/>
      <c r="N459" s="16" t="str">
        <f t="shared" si="48"/>
        <v/>
      </c>
      <c r="O459" s="16" t="str">
        <f t="shared" si="45"/>
        <v/>
      </c>
      <c r="P459" s="16" t="str">
        <f t="shared" si="46"/>
        <v/>
      </c>
      <c r="Q459" s="16" t="str">
        <f t="shared" si="47"/>
        <v/>
      </c>
      <c r="R459" s="16">
        <f t="shared" si="49"/>
        <v>0</v>
      </c>
      <c r="S459" s="16" t="str">
        <f>IF(OR($B459="",NOT(ISNUMBER($F459))),"",SUMIFS(community_cores_FS!$P$5:$P$597,community_cores_FS!$B$5:$B$597,$B459,community_cores_FS!$F$5:$F$597,"&lt;="&amp;$F459))</f>
        <v/>
      </c>
      <c r="T459" s="16" t="str">
        <f>IF(AND($A459="",$B459="",$E459=""),"",IF(AND($B459&lt;&gt;"",COUNTIF('2. Core Log'!$A$5:$A$124,$B459)=0),"Core ID not in Core Log. ","")&amp;IF(AND($A459&lt;&gt;"",COUNTIF('1. Plot &amp; Site Log'!$A$5:$A$64,$A459)=0),"Plot ID not in Plot &amp; Site Log. ","")&amp;IF(AND(ISNUMBER($E459),ISNUMBER($F459),$F459&lt;=$E459),"Bottom depth is not below top depth. ","")&amp;IF($I459="","Say which bulk-density basis the lab reported. ","")&amp;IF(AND(ISNUMBER($J459),OR($J459&lt;QC_BD_MIN,$J459&gt;QC_BD_MAX)),"Bulk density outside "&amp;QC_BD_MIN&amp;"–"&amp;QC_BD_MAX&amp;" g/cm³ for peat. Above the top of that range usually means the mineral contact has been passed. ","")&amp;IF(AND(ISNUMBER($N459),$N459&gt;QC_CARBON_PCT_MAX),"Carbon above "&amp;QC_CARBON_PCT_MAX&amp;"% — check units; this may be organic matter rather than carbon. ","")&amp;IF(AND($L459&lt;&gt;"",$M459&lt;&gt;""),"Both LOI and measured carbon given — the measured value is used. ","")&amp;IF(AND($M459="",$L459&lt;&gt;"",OM_FACTOR_IS_LOCAL&lt;&gt;"Yes"),"Carbon derived from LOI using the default factor of "&amp;CARBON_FRACTION_OM&amp;", which has not been calibrated locally. See R1. Reference. ","")&amp;IF(AND(ISNUMBER($O459),$O459=0,ISNUMBER($E459)),"Section lies entirely below the reference depth — it counts to the full-profile stock only. ",""))</f>
        <v/>
      </c>
      <c r="U459" s="14"/>
    </row>
    <row r="460" spans="1:21" ht="15.75" customHeight="1">
      <c r="A460" s="14"/>
      <c r="B460" s="14"/>
      <c r="C460" s="14"/>
      <c r="D460" s="14"/>
      <c r="E460" s="14"/>
      <c r="F460" s="14"/>
      <c r="G460" s="14" t="str">
        <f t="shared" si="44"/>
        <v/>
      </c>
      <c r="H460" s="14"/>
      <c r="I460" s="14"/>
      <c r="J460" s="24"/>
      <c r="K460" s="24"/>
      <c r="L460" s="24"/>
      <c r="M460" s="24"/>
      <c r="N460" s="16" t="str">
        <f t="shared" si="48"/>
        <v/>
      </c>
      <c r="O460" s="16" t="str">
        <f t="shared" si="45"/>
        <v/>
      </c>
      <c r="P460" s="16" t="str">
        <f t="shared" si="46"/>
        <v/>
      </c>
      <c r="Q460" s="16" t="str">
        <f t="shared" si="47"/>
        <v/>
      </c>
      <c r="R460" s="16">
        <f t="shared" si="49"/>
        <v>0</v>
      </c>
      <c r="S460" s="16" t="str">
        <f>IF(OR($B460="",NOT(ISNUMBER($F460))),"",SUMIFS(community_cores_FS!$P$5:$P$597,community_cores_FS!$B$5:$B$597,$B460,community_cores_FS!$F$5:$F$597,"&lt;="&amp;$F460))</f>
        <v/>
      </c>
      <c r="T460" s="16" t="str">
        <f>IF(AND($A460="",$B460="",$E460=""),"",IF(AND($B460&lt;&gt;"",COUNTIF('2. Core Log'!$A$5:$A$124,$B460)=0),"Core ID not in Core Log. ","")&amp;IF(AND($A460&lt;&gt;"",COUNTIF('1. Plot &amp; Site Log'!$A$5:$A$64,$A460)=0),"Plot ID not in Plot &amp; Site Log. ","")&amp;IF(AND(ISNUMBER($E460),ISNUMBER($F460),$F460&lt;=$E460),"Bottom depth is not below top depth. ","")&amp;IF($I460="","Say which bulk-density basis the lab reported. ","")&amp;IF(AND(ISNUMBER($J460),OR($J460&lt;QC_BD_MIN,$J460&gt;QC_BD_MAX)),"Bulk density outside "&amp;QC_BD_MIN&amp;"–"&amp;QC_BD_MAX&amp;" g/cm³ for peat. Above the top of that range usually means the mineral contact has been passed. ","")&amp;IF(AND(ISNUMBER($N460),$N460&gt;QC_CARBON_PCT_MAX),"Carbon above "&amp;QC_CARBON_PCT_MAX&amp;"% — check units; this may be organic matter rather than carbon. ","")&amp;IF(AND($L460&lt;&gt;"",$M460&lt;&gt;""),"Both LOI and measured carbon given — the measured value is used. ","")&amp;IF(AND($M460="",$L460&lt;&gt;"",OM_FACTOR_IS_LOCAL&lt;&gt;"Yes"),"Carbon derived from LOI using the default factor of "&amp;CARBON_FRACTION_OM&amp;", which has not been calibrated locally. See R1. Reference. ","")&amp;IF(AND(ISNUMBER($O460),$O460=0,ISNUMBER($E460)),"Section lies entirely below the reference depth — it counts to the full-profile stock only. ",""))</f>
        <v/>
      </c>
      <c r="U460" s="14"/>
    </row>
    <row r="461" spans="1:21" ht="15.75" customHeight="1">
      <c r="A461" s="14"/>
      <c r="B461" s="14"/>
      <c r="C461" s="14"/>
      <c r="D461" s="14"/>
      <c r="E461" s="14"/>
      <c r="F461" s="14"/>
      <c r="G461" s="14" t="str">
        <f t="shared" si="44"/>
        <v/>
      </c>
      <c r="H461" s="14"/>
      <c r="I461" s="14"/>
      <c r="J461" s="24"/>
      <c r="K461" s="24"/>
      <c r="L461" s="24"/>
      <c r="M461" s="24"/>
      <c r="N461" s="16" t="str">
        <f t="shared" si="48"/>
        <v/>
      </c>
      <c r="O461" s="16" t="str">
        <f t="shared" si="45"/>
        <v/>
      </c>
      <c r="P461" s="16" t="str">
        <f t="shared" si="46"/>
        <v/>
      </c>
      <c r="Q461" s="16" t="str">
        <f t="shared" si="47"/>
        <v/>
      </c>
      <c r="R461" s="16">
        <f t="shared" si="49"/>
        <v>0</v>
      </c>
      <c r="S461" s="16" t="str">
        <f>IF(OR($B461="",NOT(ISNUMBER($F461))),"",SUMIFS(community_cores_FS!$P$5:$P$597,community_cores_FS!$B$5:$B$597,$B461,community_cores_FS!$F$5:$F$597,"&lt;="&amp;$F461))</f>
        <v/>
      </c>
      <c r="T461" s="16" t="str">
        <f>IF(AND($A461="",$B461="",$E461=""),"",IF(AND($B461&lt;&gt;"",COUNTIF('2. Core Log'!$A$5:$A$124,$B461)=0),"Core ID not in Core Log. ","")&amp;IF(AND($A461&lt;&gt;"",COUNTIF('1. Plot &amp; Site Log'!$A$5:$A$64,$A461)=0),"Plot ID not in Plot &amp; Site Log. ","")&amp;IF(AND(ISNUMBER($E461),ISNUMBER($F461),$F461&lt;=$E461),"Bottom depth is not below top depth. ","")&amp;IF($I461="","Say which bulk-density basis the lab reported. ","")&amp;IF(AND(ISNUMBER($J461),OR($J461&lt;QC_BD_MIN,$J461&gt;QC_BD_MAX)),"Bulk density outside "&amp;QC_BD_MIN&amp;"–"&amp;QC_BD_MAX&amp;" g/cm³ for peat. Above the top of that range usually means the mineral contact has been passed. ","")&amp;IF(AND(ISNUMBER($N461),$N461&gt;QC_CARBON_PCT_MAX),"Carbon above "&amp;QC_CARBON_PCT_MAX&amp;"% — check units; this may be organic matter rather than carbon. ","")&amp;IF(AND($L461&lt;&gt;"",$M461&lt;&gt;""),"Both LOI and measured carbon given — the measured value is used. ","")&amp;IF(AND($M461="",$L461&lt;&gt;"",OM_FACTOR_IS_LOCAL&lt;&gt;"Yes"),"Carbon derived from LOI using the default factor of "&amp;CARBON_FRACTION_OM&amp;", which has not been calibrated locally. See R1. Reference. ","")&amp;IF(AND(ISNUMBER($O461),$O461=0,ISNUMBER($E461)),"Section lies entirely below the reference depth — it counts to the full-profile stock only. ",""))</f>
        <v/>
      </c>
      <c r="U461" s="14"/>
    </row>
    <row r="462" spans="1:21" ht="15.75" customHeight="1">
      <c r="A462" s="14"/>
      <c r="B462" s="14"/>
      <c r="C462" s="14"/>
      <c r="D462" s="14"/>
      <c r="E462" s="14"/>
      <c r="F462" s="14"/>
      <c r="G462" s="14" t="str">
        <f t="shared" si="44"/>
        <v/>
      </c>
      <c r="H462" s="14"/>
      <c r="I462" s="14"/>
      <c r="J462" s="24"/>
      <c r="K462" s="24"/>
      <c r="L462" s="24"/>
      <c r="M462" s="24"/>
      <c r="N462" s="16" t="str">
        <f t="shared" si="48"/>
        <v/>
      </c>
      <c r="O462" s="16" t="str">
        <f t="shared" si="45"/>
        <v/>
      </c>
      <c r="P462" s="16" t="str">
        <f t="shared" si="46"/>
        <v/>
      </c>
      <c r="Q462" s="16" t="str">
        <f t="shared" si="47"/>
        <v/>
      </c>
      <c r="R462" s="16">
        <f t="shared" si="49"/>
        <v>0</v>
      </c>
      <c r="S462" s="16" t="str">
        <f>IF(OR($B462="",NOT(ISNUMBER($F462))),"",SUMIFS(community_cores_FS!$P$5:$P$597,community_cores_FS!$B$5:$B$597,$B462,community_cores_FS!$F$5:$F$597,"&lt;="&amp;$F462))</f>
        <v/>
      </c>
      <c r="T462" s="16" t="str">
        <f>IF(AND($A462="",$B462="",$E462=""),"",IF(AND($B462&lt;&gt;"",COUNTIF('2. Core Log'!$A$5:$A$124,$B462)=0),"Core ID not in Core Log. ","")&amp;IF(AND($A462&lt;&gt;"",COUNTIF('1. Plot &amp; Site Log'!$A$5:$A$64,$A462)=0),"Plot ID not in Plot &amp; Site Log. ","")&amp;IF(AND(ISNUMBER($E462),ISNUMBER($F462),$F462&lt;=$E462),"Bottom depth is not below top depth. ","")&amp;IF($I462="","Say which bulk-density basis the lab reported. ","")&amp;IF(AND(ISNUMBER($J462),OR($J462&lt;QC_BD_MIN,$J462&gt;QC_BD_MAX)),"Bulk density outside "&amp;QC_BD_MIN&amp;"–"&amp;QC_BD_MAX&amp;" g/cm³ for peat. Above the top of that range usually means the mineral contact has been passed. ","")&amp;IF(AND(ISNUMBER($N462),$N462&gt;QC_CARBON_PCT_MAX),"Carbon above "&amp;QC_CARBON_PCT_MAX&amp;"% — check units; this may be organic matter rather than carbon. ","")&amp;IF(AND($L462&lt;&gt;"",$M462&lt;&gt;""),"Both LOI and measured carbon given — the measured value is used. ","")&amp;IF(AND($M462="",$L462&lt;&gt;"",OM_FACTOR_IS_LOCAL&lt;&gt;"Yes"),"Carbon derived from LOI using the default factor of "&amp;CARBON_FRACTION_OM&amp;", which has not been calibrated locally. See R1. Reference. ","")&amp;IF(AND(ISNUMBER($O462),$O462=0,ISNUMBER($E462)),"Section lies entirely below the reference depth — it counts to the full-profile stock only. ",""))</f>
        <v/>
      </c>
      <c r="U462" s="14"/>
    </row>
    <row r="463" spans="1:21" ht="15.75" customHeight="1">
      <c r="A463" s="14"/>
      <c r="B463" s="14"/>
      <c r="C463" s="14"/>
      <c r="D463" s="14"/>
      <c r="E463" s="14"/>
      <c r="F463" s="14"/>
      <c r="G463" s="14" t="str">
        <f t="shared" si="44"/>
        <v/>
      </c>
      <c r="H463" s="14"/>
      <c r="I463" s="14"/>
      <c r="J463" s="24"/>
      <c r="K463" s="24"/>
      <c r="L463" s="24"/>
      <c r="M463" s="24"/>
      <c r="N463" s="16" t="str">
        <f t="shared" si="48"/>
        <v/>
      </c>
      <c r="O463" s="16" t="str">
        <f t="shared" si="45"/>
        <v/>
      </c>
      <c r="P463" s="16" t="str">
        <f t="shared" si="46"/>
        <v/>
      </c>
      <c r="Q463" s="16" t="str">
        <f t="shared" si="47"/>
        <v/>
      </c>
      <c r="R463" s="16">
        <f t="shared" si="49"/>
        <v>0</v>
      </c>
      <c r="S463" s="16" t="str">
        <f>IF(OR($B463="",NOT(ISNUMBER($F463))),"",SUMIFS(community_cores_FS!$P$5:$P$597,community_cores_FS!$B$5:$B$597,$B463,community_cores_FS!$F$5:$F$597,"&lt;="&amp;$F463))</f>
        <v/>
      </c>
      <c r="T463" s="16" t="str">
        <f>IF(AND($A463="",$B463="",$E463=""),"",IF(AND($B463&lt;&gt;"",COUNTIF('2. Core Log'!$A$5:$A$124,$B463)=0),"Core ID not in Core Log. ","")&amp;IF(AND($A463&lt;&gt;"",COUNTIF('1. Plot &amp; Site Log'!$A$5:$A$64,$A463)=0),"Plot ID not in Plot &amp; Site Log. ","")&amp;IF(AND(ISNUMBER($E463),ISNUMBER($F463),$F463&lt;=$E463),"Bottom depth is not below top depth. ","")&amp;IF($I463="","Say which bulk-density basis the lab reported. ","")&amp;IF(AND(ISNUMBER($J463),OR($J463&lt;QC_BD_MIN,$J463&gt;QC_BD_MAX)),"Bulk density outside "&amp;QC_BD_MIN&amp;"–"&amp;QC_BD_MAX&amp;" g/cm³ for peat. Above the top of that range usually means the mineral contact has been passed. ","")&amp;IF(AND(ISNUMBER($N463),$N463&gt;QC_CARBON_PCT_MAX),"Carbon above "&amp;QC_CARBON_PCT_MAX&amp;"% — check units; this may be organic matter rather than carbon. ","")&amp;IF(AND($L463&lt;&gt;"",$M463&lt;&gt;""),"Both LOI and measured carbon given — the measured value is used. ","")&amp;IF(AND($M463="",$L463&lt;&gt;"",OM_FACTOR_IS_LOCAL&lt;&gt;"Yes"),"Carbon derived from LOI using the default factor of "&amp;CARBON_FRACTION_OM&amp;", which has not been calibrated locally. See R1. Reference. ","")&amp;IF(AND(ISNUMBER($O463),$O463=0,ISNUMBER($E463)),"Section lies entirely below the reference depth — it counts to the full-profile stock only. ",""))</f>
        <v/>
      </c>
      <c r="U463" s="14"/>
    </row>
    <row r="464" spans="1:21" ht="15.75" customHeight="1">
      <c r="A464" s="14"/>
      <c r="B464" s="14"/>
      <c r="C464" s="14"/>
      <c r="D464" s="14"/>
      <c r="E464" s="14"/>
      <c r="F464" s="14"/>
      <c r="G464" s="14" t="str">
        <f t="shared" si="44"/>
        <v/>
      </c>
      <c r="H464" s="14"/>
      <c r="I464" s="14"/>
      <c r="J464" s="24"/>
      <c r="K464" s="24"/>
      <c r="L464" s="24"/>
      <c r="M464" s="24"/>
      <c r="N464" s="16" t="str">
        <f t="shared" si="48"/>
        <v/>
      </c>
      <c r="O464" s="16" t="str">
        <f t="shared" si="45"/>
        <v/>
      </c>
      <c r="P464" s="16" t="str">
        <f t="shared" si="46"/>
        <v/>
      </c>
      <c r="Q464" s="16" t="str">
        <f t="shared" si="47"/>
        <v/>
      </c>
      <c r="R464" s="16">
        <f t="shared" si="49"/>
        <v>0</v>
      </c>
      <c r="S464" s="16" t="str">
        <f>IF(OR($B464="",NOT(ISNUMBER($F464))),"",SUMIFS(community_cores_FS!$P$5:$P$597,community_cores_FS!$B$5:$B$597,$B464,community_cores_FS!$F$5:$F$597,"&lt;="&amp;$F464))</f>
        <v/>
      </c>
      <c r="T464" s="16" t="str">
        <f>IF(AND($A464="",$B464="",$E464=""),"",IF(AND($B464&lt;&gt;"",COUNTIF('2. Core Log'!$A$5:$A$124,$B464)=0),"Core ID not in Core Log. ","")&amp;IF(AND($A464&lt;&gt;"",COUNTIF('1. Plot &amp; Site Log'!$A$5:$A$64,$A464)=0),"Plot ID not in Plot &amp; Site Log. ","")&amp;IF(AND(ISNUMBER($E464),ISNUMBER($F464),$F464&lt;=$E464),"Bottom depth is not below top depth. ","")&amp;IF($I464="","Say which bulk-density basis the lab reported. ","")&amp;IF(AND(ISNUMBER($J464),OR($J464&lt;QC_BD_MIN,$J464&gt;QC_BD_MAX)),"Bulk density outside "&amp;QC_BD_MIN&amp;"–"&amp;QC_BD_MAX&amp;" g/cm³ for peat. Above the top of that range usually means the mineral contact has been passed. ","")&amp;IF(AND(ISNUMBER($N464),$N464&gt;QC_CARBON_PCT_MAX),"Carbon above "&amp;QC_CARBON_PCT_MAX&amp;"% — check units; this may be organic matter rather than carbon. ","")&amp;IF(AND($L464&lt;&gt;"",$M464&lt;&gt;""),"Both LOI and measured carbon given — the measured value is used. ","")&amp;IF(AND($M464="",$L464&lt;&gt;"",OM_FACTOR_IS_LOCAL&lt;&gt;"Yes"),"Carbon derived from LOI using the default factor of "&amp;CARBON_FRACTION_OM&amp;", which has not been calibrated locally. See R1. Reference. ","")&amp;IF(AND(ISNUMBER($O464),$O464=0,ISNUMBER($E464)),"Section lies entirely below the reference depth — it counts to the full-profile stock only. ",""))</f>
        <v/>
      </c>
      <c r="U464" s="14"/>
    </row>
    <row r="465" spans="1:21" ht="15.75" customHeight="1">
      <c r="A465" s="14"/>
      <c r="B465" s="14"/>
      <c r="C465" s="14"/>
      <c r="D465" s="14"/>
      <c r="E465" s="14"/>
      <c r="F465" s="14"/>
      <c r="G465" s="14" t="str">
        <f t="shared" si="44"/>
        <v/>
      </c>
      <c r="H465" s="14"/>
      <c r="I465" s="14"/>
      <c r="J465" s="24"/>
      <c r="K465" s="24"/>
      <c r="L465" s="24"/>
      <c r="M465" s="24"/>
      <c r="N465" s="16" t="str">
        <f t="shared" si="48"/>
        <v/>
      </c>
      <c r="O465" s="16" t="str">
        <f t="shared" si="45"/>
        <v/>
      </c>
      <c r="P465" s="16" t="str">
        <f t="shared" si="46"/>
        <v/>
      </c>
      <c r="Q465" s="16" t="str">
        <f t="shared" si="47"/>
        <v/>
      </c>
      <c r="R465" s="16">
        <f t="shared" si="49"/>
        <v>0</v>
      </c>
      <c r="S465" s="16" t="str">
        <f>IF(OR($B465="",NOT(ISNUMBER($F465))),"",SUMIFS(community_cores_FS!$P$5:$P$597,community_cores_FS!$B$5:$B$597,$B465,community_cores_FS!$F$5:$F$597,"&lt;="&amp;$F465))</f>
        <v/>
      </c>
      <c r="T465" s="16" t="str">
        <f>IF(AND($A465="",$B465="",$E465=""),"",IF(AND($B465&lt;&gt;"",COUNTIF('2. Core Log'!$A$5:$A$124,$B465)=0),"Core ID not in Core Log. ","")&amp;IF(AND($A465&lt;&gt;"",COUNTIF('1. Plot &amp; Site Log'!$A$5:$A$64,$A465)=0),"Plot ID not in Plot &amp; Site Log. ","")&amp;IF(AND(ISNUMBER($E465),ISNUMBER($F465),$F465&lt;=$E465),"Bottom depth is not below top depth. ","")&amp;IF($I465="","Say which bulk-density basis the lab reported. ","")&amp;IF(AND(ISNUMBER($J465),OR($J465&lt;QC_BD_MIN,$J465&gt;QC_BD_MAX)),"Bulk density outside "&amp;QC_BD_MIN&amp;"–"&amp;QC_BD_MAX&amp;" g/cm³ for peat. Above the top of that range usually means the mineral contact has been passed. ","")&amp;IF(AND(ISNUMBER($N465),$N465&gt;QC_CARBON_PCT_MAX),"Carbon above "&amp;QC_CARBON_PCT_MAX&amp;"% — check units; this may be organic matter rather than carbon. ","")&amp;IF(AND($L465&lt;&gt;"",$M465&lt;&gt;""),"Both LOI and measured carbon given — the measured value is used. ","")&amp;IF(AND($M465="",$L465&lt;&gt;"",OM_FACTOR_IS_LOCAL&lt;&gt;"Yes"),"Carbon derived from LOI using the default factor of "&amp;CARBON_FRACTION_OM&amp;", which has not been calibrated locally. See R1. Reference. ","")&amp;IF(AND(ISNUMBER($O465),$O465=0,ISNUMBER($E465)),"Section lies entirely below the reference depth — it counts to the full-profile stock only. ",""))</f>
        <v/>
      </c>
      <c r="U465" s="14"/>
    </row>
    <row r="466" spans="1:21" ht="15.75" customHeight="1">
      <c r="A466" s="14"/>
      <c r="B466" s="14"/>
      <c r="C466" s="14"/>
      <c r="D466" s="14"/>
      <c r="E466" s="14"/>
      <c r="F466" s="14"/>
      <c r="G466" s="14" t="str">
        <f t="shared" si="44"/>
        <v/>
      </c>
      <c r="H466" s="14"/>
      <c r="I466" s="14"/>
      <c r="J466" s="24"/>
      <c r="K466" s="24"/>
      <c r="L466" s="24"/>
      <c r="M466" s="24"/>
      <c r="N466" s="16" t="str">
        <f t="shared" si="48"/>
        <v/>
      </c>
      <c r="O466" s="16" t="str">
        <f t="shared" si="45"/>
        <v/>
      </c>
      <c r="P466" s="16" t="str">
        <f t="shared" si="46"/>
        <v/>
      </c>
      <c r="Q466" s="16" t="str">
        <f t="shared" si="47"/>
        <v/>
      </c>
      <c r="R466" s="16">
        <f t="shared" si="49"/>
        <v>0</v>
      </c>
      <c r="S466" s="16" t="str">
        <f>IF(OR($B466="",NOT(ISNUMBER($F466))),"",SUMIFS(community_cores_FS!$P$5:$P$597,community_cores_FS!$B$5:$B$597,$B466,community_cores_FS!$F$5:$F$597,"&lt;="&amp;$F466))</f>
        <v/>
      </c>
      <c r="T466" s="16" t="str">
        <f>IF(AND($A466="",$B466="",$E466=""),"",IF(AND($B466&lt;&gt;"",COUNTIF('2. Core Log'!$A$5:$A$124,$B466)=0),"Core ID not in Core Log. ","")&amp;IF(AND($A466&lt;&gt;"",COUNTIF('1. Plot &amp; Site Log'!$A$5:$A$64,$A466)=0),"Plot ID not in Plot &amp; Site Log. ","")&amp;IF(AND(ISNUMBER($E466),ISNUMBER($F466),$F466&lt;=$E466),"Bottom depth is not below top depth. ","")&amp;IF($I466="","Say which bulk-density basis the lab reported. ","")&amp;IF(AND(ISNUMBER($J466),OR($J466&lt;QC_BD_MIN,$J466&gt;QC_BD_MAX)),"Bulk density outside "&amp;QC_BD_MIN&amp;"–"&amp;QC_BD_MAX&amp;" g/cm³ for peat. Above the top of that range usually means the mineral contact has been passed. ","")&amp;IF(AND(ISNUMBER($N466),$N466&gt;QC_CARBON_PCT_MAX),"Carbon above "&amp;QC_CARBON_PCT_MAX&amp;"% — check units; this may be organic matter rather than carbon. ","")&amp;IF(AND($L466&lt;&gt;"",$M466&lt;&gt;""),"Both LOI and measured carbon given — the measured value is used. ","")&amp;IF(AND($M466="",$L466&lt;&gt;"",OM_FACTOR_IS_LOCAL&lt;&gt;"Yes"),"Carbon derived from LOI using the default factor of "&amp;CARBON_FRACTION_OM&amp;", which has not been calibrated locally. See R1. Reference. ","")&amp;IF(AND(ISNUMBER($O466),$O466=0,ISNUMBER($E466)),"Section lies entirely below the reference depth — it counts to the full-profile stock only. ",""))</f>
        <v/>
      </c>
      <c r="U466" s="14"/>
    </row>
    <row r="467" spans="1:21" ht="15.75" customHeight="1">
      <c r="A467" s="14"/>
      <c r="B467" s="14"/>
      <c r="C467" s="14"/>
      <c r="D467" s="14"/>
      <c r="E467" s="14"/>
      <c r="F467" s="14"/>
      <c r="G467" s="14" t="str">
        <f t="shared" si="44"/>
        <v/>
      </c>
      <c r="H467" s="14"/>
      <c r="I467" s="14"/>
      <c r="J467" s="24"/>
      <c r="K467" s="24"/>
      <c r="L467" s="24"/>
      <c r="M467" s="24"/>
      <c r="N467" s="16" t="str">
        <f t="shared" si="48"/>
        <v/>
      </c>
      <c r="O467" s="16" t="str">
        <f t="shared" si="45"/>
        <v/>
      </c>
      <c r="P467" s="16" t="str">
        <f t="shared" si="46"/>
        <v/>
      </c>
      <c r="Q467" s="16" t="str">
        <f t="shared" si="47"/>
        <v/>
      </c>
      <c r="R467" s="16">
        <f t="shared" si="49"/>
        <v>0</v>
      </c>
      <c r="S467" s="16" t="str">
        <f>IF(OR($B467="",NOT(ISNUMBER($F467))),"",SUMIFS(community_cores_FS!$P$5:$P$597,community_cores_FS!$B$5:$B$597,$B467,community_cores_FS!$F$5:$F$597,"&lt;="&amp;$F467))</f>
        <v/>
      </c>
      <c r="T467" s="16" t="str">
        <f>IF(AND($A467="",$B467="",$E467=""),"",IF(AND($B467&lt;&gt;"",COUNTIF('2. Core Log'!$A$5:$A$124,$B467)=0),"Core ID not in Core Log. ","")&amp;IF(AND($A467&lt;&gt;"",COUNTIF('1. Plot &amp; Site Log'!$A$5:$A$64,$A467)=0),"Plot ID not in Plot &amp; Site Log. ","")&amp;IF(AND(ISNUMBER($E467),ISNUMBER($F467),$F467&lt;=$E467),"Bottom depth is not below top depth. ","")&amp;IF($I467="","Say which bulk-density basis the lab reported. ","")&amp;IF(AND(ISNUMBER($J467),OR($J467&lt;QC_BD_MIN,$J467&gt;QC_BD_MAX)),"Bulk density outside "&amp;QC_BD_MIN&amp;"–"&amp;QC_BD_MAX&amp;" g/cm³ for peat. Above the top of that range usually means the mineral contact has been passed. ","")&amp;IF(AND(ISNUMBER($N467),$N467&gt;QC_CARBON_PCT_MAX),"Carbon above "&amp;QC_CARBON_PCT_MAX&amp;"% — check units; this may be organic matter rather than carbon. ","")&amp;IF(AND($L467&lt;&gt;"",$M467&lt;&gt;""),"Both LOI and measured carbon given — the measured value is used. ","")&amp;IF(AND($M467="",$L467&lt;&gt;"",OM_FACTOR_IS_LOCAL&lt;&gt;"Yes"),"Carbon derived from LOI using the default factor of "&amp;CARBON_FRACTION_OM&amp;", which has not been calibrated locally. See R1. Reference. ","")&amp;IF(AND(ISNUMBER($O467),$O467=0,ISNUMBER($E467)),"Section lies entirely below the reference depth — it counts to the full-profile stock only. ",""))</f>
        <v/>
      </c>
      <c r="U467" s="14"/>
    </row>
    <row r="468" spans="1:21" ht="15.75" customHeight="1">
      <c r="A468" s="14"/>
      <c r="B468" s="14"/>
      <c r="C468" s="14"/>
      <c r="D468" s="14"/>
      <c r="E468" s="14"/>
      <c r="F468" s="14"/>
      <c r="G468" s="14" t="str">
        <f t="shared" si="44"/>
        <v/>
      </c>
      <c r="H468" s="14"/>
      <c r="I468" s="14"/>
      <c r="J468" s="24"/>
      <c r="K468" s="24"/>
      <c r="L468" s="24"/>
      <c r="M468" s="24"/>
      <c r="N468" s="16" t="str">
        <f t="shared" si="48"/>
        <v/>
      </c>
      <c r="O468" s="16" t="str">
        <f t="shared" si="45"/>
        <v/>
      </c>
      <c r="P468" s="16" t="str">
        <f t="shared" si="46"/>
        <v/>
      </c>
      <c r="Q468" s="16" t="str">
        <f t="shared" si="47"/>
        <v/>
      </c>
      <c r="R468" s="16">
        <f t="shared" si="49"/>
        <v>0</v>
      </c>
      <c r="S468" s="16" t="str">
        <f>IF(OR($B468="",NOT(ISNUMBER($F468))),"",SUMIFS(community_cores_FS!$P$5:$P$597,community_cores_FS!$B$5:$B$597,$B468,community_cores_FS!$F$5:$F$597,"&lt;="&amp;$F468))</f>
        <v/>
      </c>
      <c r="T468" s="16" t="str">
        <f>IF(AND($A468="",$B468="",$E468=""),"",IF(AND($B468&lt;&gt;"",COUNTIF('2. Core Log'!$A$5:$A$124,$B468)=0),"Core ID not in Core Log. ","")&amp;IF(AND($A468&lt;&gt;"",COUNTIF('1. Plot &amp; Site Log'!$A$5:$A$64,$A468)=0),"Plot ID not in Plot &amp; Site Log. ","")&amp;IF(AND(ISNUMBER($E468),ISNUMBER($F468),$F468&lt;=$E468),"Bottom depth is not below top depth. ","")&amp;IF($I468="","Say which bulk-density basis the lab reported. ","")&amp;IF(AND(ISNUMBER($J468),OR($J468&lt;QC_BD_MIN,$J468&gt;QC_BD_MAX)),"Bulk density outside "&amp;QC_BD_MIN&amp;"–"&amp;QC_BD_MAX&amp;" g/cm³ for peat. Above the top of that range usually means the mineral contact has been passed. ","")&amp;IF(AND(ISNUMBER($N468),$N468&gt;QC_CARBON_PCT_MAX),"Carbon above "&amp;QC_CARBON_PCT_MAX&amp;"% — check units; this may be organic matter rather than carbon. ","")&amp;IF(AND($L468&lt;&gt;"",$M468&lt;&gt;""),"Both LOI and measured carbon given — the measured value is used. ","")&amp;IF(AND($M468="",$L468&lt;&gt;"",OM_FACTOR_IS_LOCAL&lt;&gt;"Yes"),"Carbon derived from LOI using the default factor of "&amp;CARBON_FRACTION_OM&amp;", which has not been calibrated locally. See R1. Reference. ","")&amp;IF(AND(ISNUMBER($O468),$O468=0,ISNUMBER($E468)),"Section lies entirely below the reference depth — it counts to the full-profile stock only. ",""))</f>
        <v/>
      </c>
      <c r="U468" s="14"/>
    </row>
    <row r="469" spans="1:21" ht="15.75" customHeight="1">
      <c r="A469" s="14"/>
      <c r="B469" s="14"/>
      <c r="C469" s="14"/>
      <c r="D469" s="14"/>
      <c r="E469" s="14"/>
      <c r="F469" s="14"/>
      <c r="G469" s="14" t="str">
        <f t="shared" si="44"/>
        <v/>
      </c>
      <c r="H469" s="14"/>
      <c r="I469" s="14"/>
      <c r="J469" s="24"/>
      <c r="K469" s="24"/>
      <c r="L469" s="24"/>
      <c r="M469" s="24"/>
      <c r="N469" s="16" t="str">
        <f t="shared" si="48"/>
        <v/>
      </c>
      <c r="O469" s="16" t="str">
        <f t="shared" si="45"/>
        <v/>
      </c>
      <c r="P469" s="16" t="str">
        <f t="shared" si="46"/>
        <v/>
      </c>
      <c r="Q469" s="16" t="str">
        <f t="shared" si="47"/>
        <v/>
      </c>
      <c r="R469" s="16">
        <f t="shared" si="49"/>
        <v>0</v>
      </c>
      <c r="S469" s="16" t="str">
        <f>IF(OR($B469="",NOT(ISNUMBER($F469))),"",SUMIFS(community_cores_FS!$P$5:$P$597,community_cores_FS!$B$5:$B$597,$B469,community_cores_FS!$F$5:$F$597,"&lt;="&amp;$F469))</f>
        <v/>
      </c>
      <c r="T469" s="16" t="str">
        <f>IF(AND($A469="",$B469="",$E469=""),"",IF(AND($B469&lt;&gt;"",COUNTIF('2. Core Log'!$A$5:$A$124,$B469)=0),"Core ID not in Core Log. ","")&amp;IF(AND($A469&lt;&gt;"",COUNTIF('1. Plot &amp; Site Log'!$A$5:$A$64,$A469)=0),"Plot ID not in Plot &amp; Site Log. ","")&amp;IF(AND(ISNUMBER($E469),ISNUMBER($F469),$F469&lt;=$E469),"Bottom depth is not below top depth. ","")&amp;IF($I469="","Say which bulk-density basis the lab reported. ","")&amp;IF(AND(ISNUMBER($J469),OR($J469&lt;QC_BD_MIN,$J469&gt;QC_BD_MAX)),"Bulk density outside "&amp;QC_BD_MIN&amp;"–"&amp;QC_BD_MAX&amp;" g/cm³ for peat. Above the top of that range usually means the mineral contact has been passed. ","")&amp;IF(AND(ISNUMBER($N469),$N469&gt;QC_CARBON_PCT_MAX),"Carbon above "&amp;QC_CARBON_PCT_MAX&amp;"% — check units; this may be organic matter rather than carbon. ","")&amp;IF(AND($L469&lt;&gt;"",$M469&lt;&gt;""),"Both LOI and measured carbon given — the measured value is used. ","")&amp;IF(AND($M469="",$L469&lt;&gt;"",OM_FACTOR_IS_LOCAL&lt;&gt;"Yes"),"Carbon derived from LOI using the default factor of "&amp;CARBON_FRACTION_OM&amp;", which has not been calibrated locally. See R1. Reference. ","")&amp;IF(AND(ISNUMBER($O469),$O469=0,ISNUMBER($E469)),"Section lies entirely below the reference depth — it counts to the full-profile stock only. ",""))</f>
        <v/>
      </c>
      <c r="U469" s="14"/>
    </row>
    <row r="470" spans="1:21" ht="15.75" customHeight="1">
      <c r="A470" s="14"/>
      <c r="B470" s="14"/>
      <c r="C470" s="14"/>
      <c r="D470" s="14"/>
      <c r="E470" s="14"/>
      <c r="F470" s="14"/>
      <c r="G470" s="14" t="str">
        <f t="shared" si="44"/>
        <v/>
      </c>
      <c r="H470" s="14"/>
      <c r="I470" s="14"/>
      <c r="J470" s="24"/>
      <c r="K470" s="24"/>
      <c r="L470" s="24"/>
      <c r="M470" s="24"/>
      <c r="N470" s="16" t="str">
        <f t="shared" si="48"/>
        <v/>
      </c>
      <c r="O470" s="16" t="str">
        <f t="shared" si="45"/>
        <v/>
      </c>
      <c r="P470" s="16" t="str">
        <f t="shared" si="46"/>
        <v/>
      </c>
      <c r="Q470" s="16" t="str">
        <f t="shared" si="47"/>
        <v/>
      </c>
      <c r="R470" s="16">
        <f t="shared" si="49"/>
        <v>0</v>
      </c>
      <c r="S470" s="16" t="str">
        <f>IF(OR($B470="",NOT(ISNUMBER($F470))),"",SUMIFS(community_cores_FS!$P$5:$P$597,community_cores_FS!$B$5:$B$597,$B470,community_cores_FS!$F$5:$F$597,"&lt;="&amp;$F470))</f>
        <v/>
      </c>
      <c r="T470" s="16" t="str">
        <f>IF(AND($A470="",$B470="",$E470=""),"",IF(AND($B470&lt;&gt;"",COUNTIF('2. Core Log'!$A$5:$A$124,$B470)=0),"Core ID not in Core Log. ","")&amp;IF(AND($A470&lt;&gt;"",COUNTIF('1. Plot &amp; Site Log'!$A$5:$A$64,$A470)=0),"Plot ID not in Plot &amp; Site Log. ","")&amp;IF(AND(ISNUMBER($E470),ISNUMBER($F470),$F470&lt;=$E470),"Bottom depth is not below top depth. ","")&amp;IF($I470="","Say which bulk-density basis the lab reported. ","")&amp;IF(AND(ISNUMBER($J470),OR($J470&lt;QC_BD_MIN,$J470&gt;QC_BD_MAX)),"Bulk density outside "&amp;QC_BD_MIN&amp;"–"&amp;QC_BD_MAX&amp;" g/cm³ for peat. Above the top of that range usually means the mineral contact has been passed. ","")&amp;IF(AND(ISNUMBER($N470),$N470&gt;QC_CARBON_PCT_MAX),"Carbon above "&amp;QC_CARBON_PCT_MAX&amp;"% — check units; this may be organic matter rather than carbon. ","")&amp;IF(AND($L470&lt;&gt;"",$M470&lt;&gt;""),"Both LOI and measured carbon given — the measured value is used. ","")&amp;IF(AND($M470="",$L470&lt;&gt;"",OM_FACTOR_IS_LOCAL&lt;&gt;"Yes"),"Carbon derived from LOI using the default factor of "&amp;CARBON_FRACTION_OM&amp;", which has not been calibrated locally. See R1. Reference. ","")&amp;IF(AND(ISNUMBER($O470),$O470=0,ISNUMBER($E470)),"Section lies entirely below the reference depth — it counts to the full-profile stock only. ",""))</f>
        <v/>
      </c>
      <c r="U470" s="14"/>
    </row>
    <row r="471" spans="1:21" ht="15.75" customHeight="1">
      <c r="A471" s="14"/>
      <c r="B471" s="14"/>
      <c r="C471" s="14"/>
      <c r="D471" s="14"/>
      <c r="E471" s="14"/>
      <c r="F471" s="14"/>
      <c r="G471" s="14" t="str">
        <f t="shared" si="44"/>
        <v/>
      </c>
      <c r="H471" s="14"/>
      <c r="I471" s="14"/>
      <c r="J471" s="24"/>
      <c r="K471" s="24"/>
      <c r="L471" s="24"/>
      <c r="M471" s="24"/>
      <c r="N471" s="16" t="str">
        <f t="shared" si="48"/>
        <v/>
      </c>
      <c r="O471" s="16" t="str">
        <f t="shared" si="45"/>
        <v/>
      </c>
      <c r="P471" s="16" t="str">
        <f t="shared" si="46"/>
        <v/>
      </c>
      <c r="Q471" s="16" t="str">
        <f t="shared" si="47"/>
        <v/>
      </c>
      <c r="R471" s="16">
        <f t="shared" si="49"/>
        <v>0</v>
      </c>
      <c r="S471" s="16" t="str">
        <f>IF(OR($B471="",NOT(ISNUMBER($F471))),"",SUMIFS(community_cores_FS!$P$5:$P$597,community_cores_FS!$B$5:$B$597,$B471,community_cores_FS!$F$5:$F$597,"&lt;="&amp;$F471))</f>
        <v/>
      </c>
      <c r="T471" s="16" t="str">
        <f>IF(AND($A471="",$B471="",$E471=""),"",IF(AND($B471&lt;&gt;"",COUNTIF('2. Core Log'!$A$5:$A$124,$B471)=0),"Core ID not in Core Log. ","")&amp;IF(AND($A471&lt;&gt;"",COUNTIF('1. Plot &amp; Site Log'!$A$5:$A$64,$A471)=0),"Plot ID not in Plot &amp; Site Log. ","")&amp;IF(AND(ISNUMBER($E471),ISNUMBER($F471),$F471&lt;=$E471),"Bottom depth is not below top depth. ","")&amp;IF($I471="","Say which bulk-density basis the lab reported. ","")&amp;IF(AND(ISNUMBER($J471),OR($J471&lt;QC_BD_MIN,$J471&gt;QC_BD_MAX)),"Bulk density outside "&amp;QC_BD_MIN&amp;"–"&amp;QC_BD_MAX&amp;" g/cm³ for peat. Above the top of that range usually means the mineral contact has been passed. ","")&amp;IF(AND(ISNUMBER($N471),$N471&gt;QC_CARBON_PCT_MAX),"Carbon above "&amp;QC_CARBON_PCT_MAX&amp;"% — check units; this may be organic matter rather than carbon. ","")&amp;IF(AND($L471&lt;&gt;"",$M471&lt;&gt;""),"Both LOI and measured carbon given — the measured value is used. ","")&amp;IF(AND($M471="",$L471&lt;&gt;"",OM_FACTOR_IS_LOCAL&lt;&gt;"Yes"),"Carbon derived from LOI using the default factor of "&amp;CARBON_FRACTION_OM&amp;", which has not been calibrated locally. See R1. Reference. ","")&amp;IF(AND(ISNUMBER($O471),$O471=0,ISNUMBER($E471)),"Section lies entirely below the reference depth — it counts to the full-profile stock only. ",""))</f>
        <v/>
      </c>
      <c r="U471" s="14"/>
    </row>
    <row r="472" spans="1:21" ht="15.75" customHeight="1">
      <c r="A472" s="14"/>
      <c r="B472" s="14"/>
      <c r="C472" s="14"/>
      <c r="D472" s="14"/>
      <c r="E472" s="14"/>
      <c r="F472" s="14"/>
      <c r="G472" s="14" t="str">
        <f t="shared" si="44"/>
        <v/>
      </c>
      <c r="H472" s="14"/>
      <c r="I472" s="14"/>
      <c r="J472" s="24"/>
      <c r="K472" s="24"/>
      <c r="L472" s="24"/>
      <c r="M472" s="24"/>
      <c r="N472" s="16" t="str">
        <f t="shared" si="48"/>
        <v/>
      </c>
      <c r="O472" s="16" t="str">
        <f t="shared" si="45"/>
        <v/>
      </c>
      <c r="P472" s="16" t="str">
        <f t="shared" si="46"/>
        <v/>
      </c>
      <c r="Q472" s="16" t="str">
        <f t="shared" si="47"/>
        <v/>
      </c>
      <c r="R472" s="16">
        <f t="shared" si="49"/>
        <v>0</v>
      </c>
      <c r="S472" s="16" t="str">
        <f>IF(OR($B472="",NOT(ISNUMBER($F472))),"",SUMIFS(community_cores_FS!$P$5:$P$597,community_cores_FS!$B$5:$B$597,$B472,community_cores_FS!$F$5:$F$597,"&lt;="&amp;$F472))</f>
        <v/>
      </c>
      <c r="T472" s="16" t="str">
        <f>IF(AND($A472="",$B472="",$E472=""),"",IF(AND($B472&lt;&gt;"",COUNTIF('2. Core Log'!$A$5:$A$124,$B472)=0),"Core ID not in Core Log. ","")&amp;IF(AND($A472&lt;&gt;"",COUNTIF('1. Plot &amp; Site Log'!$A$5:$A$64,$A472)=0),"Plot ID not in Plot &amp; Site Log. ","")&amp;IF(AND(ISNUMBER($E472),ISNUMBER($F472),$F472&lt;=$E472),"Bottom depth is not below top depth. ","")&amp;IF($I472="","Say which bulk-density basis the lab reported. ","")&amp;IF(AND(ISNUMBER($J472),OR($J472&lt;QC_BD_MIN,$J472&gt;QC_BD_MAX)),"Bulk density outside "&amp;QC_BD_MIN&amp;"–"&amp;QC_BD_MAX&amp;" g/cm³ for peat. Above the top of that range usually means the mineral contact has been passed. ","")&amp;IF(AND(ISNUMBER($N472),$N472&gt;QC_CARBON_PCT_MAX),"Carbon above "&amp;QC_CARBON_PCT_MAX&amp;"% — check units; this may be organic matter rather than carbon. ","")&amp;IF(AND($L472&lt;&gt;"",$M472&lt;&gt;""),"Both LOI and measured carbon given — the measured value is used. ","")&amp;IF(AND($M472="",$L472&lt;&gt;"",OM_FACTOR_IS_LOCAL&lt;&gt;"Yes"),"Carbon derived from LOI using the default factor of "&amp;CARBON_FRACTION_OM&amp;", which has not been calibrated locally. See R1. Reference. ","")&amp;IF(AND(ISNUMBER($O472),$O472=0,ISNUMBER($E472)),"Section lies entirely below the reference depth — it counts to the full-profile stock only. ",""))</f>
        <v/>
      </c>
      <c r="U472" s="14"/>
    </row>
    <row r="473" spans="1:21" ht="15.75" customHeight="1">
      <c r="A473" s="14"/>
      <c r="B473" s="14"/>
      <c r="C473" s="14"/>
      <c r="D473" s="14"/>
      <c r="E473" s="14"/>
      <c r="F473" s="14"/>
      <c r="G473" s="14" t="str">
        <f t="shared" si="44"/>
        <v/>
      </c>
      <c r="H473" s="14"/>
      <c r="I473" s="14"/>
      <c r="J473" s="24"/>
      <c r="K473" s="24"/>
      <c r="L473" s="24"/>
      <c r="M473" s="24"/>
      <c r="N473" s="16" t="str">
        <f t="shared" si="48"/>
        <v/>
      </c>
      <c r="O473" s="16" t="str">
        <f t="shared" si="45"/>
        <v/>
      </c>
      <c r="P473" s="16" t="str">
        <f t="shared" si="46"/>
        <v/>
      </c>
      <c r="Q473" s="16" t="str">
        <f t="shared" si="47"/>
        <v/>
      </c>
      <c r="R473" s="16">
        <f t="shared" si="49"/>
        <v>0</v>
      </c>
      <c r="S473" s="16" t="str">
        <f>IF(OR($B473="",NOT(ISNUMBER($F473))),"",SUMIFS(community_cores_FS!$P$5:$P$597,community_cores_FS!$B$5:$B$597,$B473,community_cores_FS!$F$5:$F$597,"&lt;="&amp;$F473))</f>
        <v/>
      </c>
      <c r="T473" s="16" t="str">
        <f>IF(AND($A473="",$B473="",$E473=""),"",IF(AND($B473&lt;&gt;"",COUNTIF('2. Core Log'!$A$5:$A$124,$B473)=0),"Core ID not in Core Log. ","")&amp;IF(AND($A473&lt;&gt;"",COUNTIF('1. Plot &amp; Site Log'!$A$5:$A$64,$A473)=0),"Plot ID not in Plot &amp; Site Log. ","")&amp;IF(AND(ISNUMBER($E473),ISNUMBER($F473),$F473&lt;=$E473),"Bottom depth is not below top depth. ","")&amp;IF($I473="","Say which bulk-density basis the lab reported. ","")&amp;IF(AND(ISNUMBER($J473),OR($J473&lt;QC_BD_MIN,$J473&gt;QC_BD_MAX)),"Bulk density outside "&amp;QC_BD_MIN&amp;"–"&amp;QC_BD_MAX&amp;" g/cm³ for peat. Above the top of that range usually means the mineral contact has been passed. ","")&amp;IF(AND(ISNUMBER($N473),$N473&gt;QC_CARBON_PCT_MAX),"Carbon above "&amp;QC_CARBON_PCT_MAX&amp;"% — check units; this may be organic matter rather than carbon. ","")&amp;IF(AND($L473&lt;&gt;"",$M473&lt;&gt;""),"Both LOI and measured carbon given — the measured value is used. ","")&amp;IF(AND($M473="",$L473&lt;&gt;"",OM_FACTOR_IS_LOCAL&lt;&gt;"Yes"),"Carbon derived from LOI using the default factor of "&amp;CARBON_FRACTION_OM&amp;", which has not been calibrated locally. See R1. Reference. ","")&amp;IF(AND(ISNUMBER($O473),$O473=0,ISNUMBER($E473)),"Section lies entirely below the reference depth — it counts to the full-profile stock only. ",""))</f>
        <v/>
      </c>
      <c r="U473" s="14"/>
    </row>
    <row r="474" spans="1:21" ht="15.75" customHeight="1">
      <c r="A474" s="14"/>
      <c r="B474" s="14"/>
      <c r="C474" s="14"/>
      <c r="D474" s="14"/>
      <c r="E474" s="14"/>
      <c r="F474" s="14"/>
      <c r="G474" s="14" t="str">
        <f t="shared" si="44"/>
        <v/>
      </c>
      <c r="H474" s="14"/>
      <c r="I474" s="14"/>
      <c r="J474" s="24"/>
      <c r="K474" s="24"/>
      <c r="L474" s="24"/>
      <c r="M474" s="24"/>
      <c r="N474" s="16" t="str">
        <f t="shared" si="48"/>
        <v/>
      </c>
      <c r="O474" s="16" t="str">
        <f t="shared" si="45"/>
        <v/>
      </c>
      <c r="P474" s="16" t="str">
        <f t="shared" si="46"/>
        <v/>
      </c>
      <c r="Q474" s="16" t="str">
        <f t="shared" si="47"/>
        <v/>
      </c>
      <c r="R474" s="16">
        <f t="shared" si="49"/>
        <v>0</v>
      </c>
      <c r="S474" s="16" t="str">
        <f>IF(OR($B474="",NOT(ISNUMBER($F474))),"",SUMIFS(community_cores_FS!$P$5:$P$597,community_cores_FS!$B$5:$B$597,$B474,community_cores_FS!$F$5:$F$597,"&lt;="&amp;$F474))</f>
        <v/>
      </c>
      <c r="T474" s="16" t="str">
        <f>IF(AND($A474="",$B474="",$E474=""),"",IF(AND($B474&lt;&gt;"",COUNTIF('2. Core Log'!$A$5:$A$124,$B474)=0),"Core ID not in Core Log. ","")&amp;IF(AND($A474&lt;&gt;"",COUNTIF('1. Plot &amp; Site Log'!$A$5:$A$64,$A474)=0),"Plot ID not in Plot &amp; Site Log. ","")&amp;IF(AND(ISNUMBER($E474),ISNUMBER($F474),$F474&lt;=$E474),"Bottom depth is not below top depth. ","")&amp;IF($I474="","Say which bulk-density basis the lab reported. ","")&amp;IF(AND(ISNUMBER($J474),OR($J474&lt;QC_BD_MIN,$J474&gt;QC_BD_MAX)),"Bulk density outside "&amp;QC_BD_MIN&amp;"–"&amp;QC_BD_MAX&amp;" g/cm³ for peat. Above the top of that range usually means the mineral contact has been passed. ","")&amp;IF(AND(ISNUMBER($N474),$N474&gt;QC_CARBON_PCT_MAX),"Carbon above "&amp;QC_CARBON_PCT_MAX&amp;"% — check units; this may be organic matter rather than carbon. ","")&amp;IF(AND($L474&lt;&gt;"",$M474&lt;&gt;""),"Both LOI and measured carbon given — the measured value is used. ","")&amp;IF(AND($M474="",$L474&lt;&gt;"",OM_FACTOR_IS_LOCAL&lt;&gt;"Yes"),"Carbon derived from LOI using the default factor of "&amp;CARBON_FRACTION_OM&amp;", which has not been calibrated locally. See R1. Reference. ","")&amp;IF(AND(ISNUMBER($O474),$O474=0,ISNUMBER($E474)),"Section lies entirely below the reference depth — it counts to the full-profile stock only. ",""))</f>
        <v/>
      </c>
      <c r="U474" s="14"/>
    </row>
    <row r="475" spans="1:21" ht="15.75" customHeight="1">
      <c r="A475" s="14"/>
      <c r="B475" s="14"/>
      <c r="C475" s="14"/>
      <c r="D475" s="14"/>
      <c r="E475" s="14"/>
      <c r="F475" s="14"/>
      <c r="G475" s="14" t="str">
        <f t="shared" ref="G475:G538" si="50">IF(OR($E475="",$F475=""),"",$F475-$E475)</f>
        <v/>
      </c>
      <c r="H475" s="14"/>
      <c r="I475" s="14"/>
      <c r="J475" s="24"/>
      <c r="K475" s="24"/>
      <c r="L475" s="24"/>
      <c r="M475" s="24"/>
      <c r="N475" s="16" t="str">
        <f t="shared" si="48"/>
        <v/>
      </c>
      <c r="O475" s="16" t="str">
        <f t="shared" ref="O475:O538" si="51">IF(OR($E475="",$F475=""),"",MAX(0,MIN($F475,REFERENCE_DEPTH_CM)-MIN($E475,REFERENCE_DEPTH_CM)))</f>
        <v/>
      </c>
      <c r="P475" s="16" t="str">
        <f t="shared" ref="P475:P538" si="52">IF(OR($J475="",$N475="",$G475=""),"",$J475*($N475/100)*$G475*10)</f>
        <v/>
      </c>
      <c r="Q475" s="16" t="str">
        <f t="shared" ref="Q475:Q538" si="53">IF(OR($J475="",$N475="",$O475=""),"",$J475*($N475/100)*$O475*10)</f>
        <v/>
      </c>
      <c r="R475" s="16">
        <f t="shared" si="49"/>
        <v>0</v>
      </c>
      <c r="S475" s="16" t="str">
        <f>IF(OR($B475="",NOT(ISNUMBER($F475))),"",SUMIFS(community_cores_FS!$P$5:$P$597,community_cores_FS!$B$5:$B$597,$B475,community_cores_FS!$F$5:$F$597,"&lt;="&amp;$F475))</f>
        <v/>
      </c>
      <c r="T475" s="16" t="str">
        <f>IF(AND($A475="",$B475="",$E475=""),"",IF(AND($B475&lt;&gt;"",COUNTIF('2. Core Log'!$A$5:$A$124,$B475)=0),"Core ID not in Core Log. ","")&amp;IF(AND($A475&lt;&gt;"",COUNTIF('1. Plot &amp; Site Log'!$A$5:$A$64,$A475)=0),"Plot ID not in Plot &amp; Site Log. ","")&amp;IF(AND(ISNUMBER($E475),ISNUMBER($F475),$F475&lt;=$E475),"Bottom depth is not below top depth. ","")&amp;IF($I475="","Say which bulk-density basis the lab reported. ","")&amp;IF(AND(ISNUMBER($J475),OR($J475&lt;QC_BD_MIN,$J475&gt;QC_BD_MAX)),"Bulk density outside "&amp;QC_BD_MIN&amp;"–"&amp;QC_BD_MAX&amp;" g/cm³ for peat. Above the top of that range usually means the mineral contact has been passed. ","")&amp;IF(AND(ISNUMBER($N475),$N475&gt;QC_CARBON_PCT_MAX),"Carbon above "&amp;QC_CARBON_PCT_MAX&amp;"% — check units; this may be organic matter rather than carbon. ","")&amp;IF(AND($L475&lt;&gt;"",$M475&lt;&gt;""),"Both LOI and measured carbon given — the measured value is used. ","")&amp;IF(AND($M475="",$L475&lt;&gt;"",OM_FACTOR_IS_LOCAL&lt;&gt;"Yes"),"Carbon derived from LOI using the default factor of "&amp;CARBON_FRACTION_OM&amp;", which has not been calibrated locally. See R1. Reference. ","")&amp;IF(AND(ISNUMBER($O475),$O475=0,ISNUMBER($E475)),"Section lies entirely below the reference depth — it counts to the full-profile stock only. ",""))</f>
        <v/>
      </c>
      <c r="U475" s="14"/>
    </row>
    <row r="476" spans="1:21" ht="15.75" customHeight="1">
      <c r="A476" s="14"/>
      <c r="B476" s="14"/>
      <c r="C476" s="14"/>
      <c r="D476" s="14"/>
      <c r="E476" s="14"/>
      <c r="F476" s="14"/>
      <c r="G476" s="14" t="str">
        <f t="shared" si="50"/>
        <v/>
      </c>
      <c r="H476" s="14"/>
      <c r="I476" s="14"/>
      <c r="J476" s="24"/>
      <c r="K476" s="24"/>
      <c r="L476" s="24"/>
      <c r="M476" s="24"/>
      <c r="N476" s="16" t="str">
        <f t="shared" si="48"/>
        <v/>
      </c>
      <c r="O476" s="16" t="str">
        <f t="shared" si="51"/>
        <v/>
      </c>
      <c r="P476" s="16" t="str">
        <f t="shared" si="52"/>
        <v/>
      </c>
      <c r="Q476" s="16" t="str">
        <f t="shared" si="53"/>
        <v/>
      </c>
      <c r="R476" s="16">
        <f t="shared" si="49"/>
        <v>0</v>
      </c>
      <c r="S476" s="16" t="str">
        <f>IF(OR($B476="",NOT(ISNUMBER($F476))),"",SUMIFS(community_cores_FS!$P$5:$P$597,community_cores_FS!$B$5:$B$597,$B476,community_cores_FS!$F$5:$F$597,"&lt;="&amp;$F476))</f>
        <v/>
      </c>
      <c r="T476" s="16" t="str">
        <f>IF(AND($A476="",$B476="",$E476=""),"",IF(AND($B476&lt;&gt;"",COUNTIF('2. Core Log'!$A$5:$A$124,$B476)=0),"Core ID not in Core Log. ","")&amp;IF(AND($A476&lt;&gt;"",COUNTIF('1. Plot &amp; Site Log'!$A$5:$A$64,$A476)=0),"Plot ID not in Plot &amp; Site Log. ","")&amp;IF(AND(ISNUMBER($E476),ISNUMBER($F476),$F476&lt;=$E476),"Bottom depth is not below top depth. ","")&amp;IF($I476="","Say which bulk-density basis the lab reported. ","")&amp;IF(AND(ISNUMBER($J476),OR($J476&lt;QC_BD_MIN,$J476&gt;QC_BD_MAX)),"Bulk density outside "&amp;QC_BD_MIN&amp;"–"&amp;QC_BD_MAX&amp;" g/cm³ for peat. Above the top of that range usually means the mineral contact has been passed. ","")&amp;IF(AND(ISNUMBER($N476),$N476&gt;QC_CARBON_PCT_MAX),"Carbon above "&amp;QC_CARBON_PCT_MAX&amp;"% — check units; this may be organic matter rather than carbon. ","")&amp;IF(AND($L476&lt;&gt;"",$M476&lt;&gt;""),"Both LOI and measured carbon given — the measured value is used. ","")&amp;IF(AND($M476="",$L476&lt;&gt;"",OM_FACTOR_IS_LOCAL&lt;&gt;"Yes"),"Carbon derived from LOI using the default factor of "&amp;CARBON_FRACTION_OM&amp;", which has not been calibrated locally. See R1. Reference. ","")&amp;IF(AND(ISNUMBER($O476),$O476=0,ISNUMBER($E476)),"Section lies entirely below the reference depth — it counts to the full-profile stock only. ",""))</f>
        <v/>
      </c>
      <c r="U476" s="14"/>
    </row>
    <row r="477" spans="1:21" ht="15.75" customHeight="1">
      <c r="A477" s="14"/>
      <c r="B477" s="14"/>
      <c r="C477" s="14"/>
      <c r="D477" s="14"/>
      <c r="E477" s="14"/>
      <c r="F477" s="14"/>
      <c r="G477" s="14" t="str">
        <f t="shared" si="50"/>
        <v/>
      </c>
      <c r="H477" s="14"/>
      <c r="I477" s="14"/>
      <c r="J477" s="24"/>
      <c r="K477" s="24"/>
      <c r="L477" s="24"/>
      <c r="M477" s="24"/>
      <c r="N477" s="16" t="str">
        <f t="shared" si="48"/>
        <v/>
      </c>
      <c r="O477" s="16" t="str">
        <f t="shared" si="51"/>
        <v/>
      </c>
      <c r="P477" s="16" t="str">
        <f t="shared" si="52"/>
        <v/>
      </c>
      <c r="Q477" s="16" t="str">
        <f t="shared" si="53"/>
        <v/>
      </c>
      <c r="R477" s="16">
        <f t="shared" si="49"/>
        <v>0</v>
      </c>
      <c r="S477" s="16" t="str">
        <f>IF(OR($B477="",NOT(ISNUMBER($F477))),"",SUMIFS(community_cores_FS!$P$5:$P$597,community_cores_FS!$B$5:$B$597,$B477,community_cores_FS!$F$5:$F$597,"&lt;="&amp;$F477))</f>
        <v/>
      </c>
      <c r="T477" s="16" t="str">
        <f>IF(AND($A477="",$B477="",$E477=""),"",IF(AND($B477&lt;&gt;"",COUNTIF('2. Core Log'!$A$5:$A$124,$B477)=0),"Core ID not in Core Log. ","")&amp;IF(AND($A477&lt;&gt;"",COUNTIF('1. Plot &amp; Site Log'!$A$5:$A$64,$A477)=0),"Plot ID not in Plot &amp; Site Log. ","")&amp;IF(AND(ISNUMBER($E477),ISNUMBER($F477),$F477&lt;=$E477),"Bottom depth is not below top depth. ","")&amp;IF($I477="","Say which bulk-density basis the lab reported. ","")&amp;IF(AND(ISNUMBER($J477),OR($J477&lt;QC_BD_MIN,$J477&gt;QC_BD_MAX)),"Bulk density outside "&amp;QC_BD_MIN&amp;"–"&amp;QC_BD_MAX&amp;" g/cm³ for peat. Above the top of that range usually means the mineral contact has been passed. ","")&amp;IF(AND(ISNUMBER($N477),$N477&gt;QC_CARBON_PCT_MAX),"Carbon above "&amp;QC_CARBON_PCT_MAX&amp;"% — check units; this may be organic matter rather than carbon. ","")&amp;IF(AND($L477&lt;&gt;"",$M477&lt;&gt;""),"Both LOI and measured carbon given — the measured value is used. ","")&amp;IF(AND($M477="",$L477&lt;&gt;"",OM_FACTOR_IS_LOCAL&lt;&gt;"Yes"),"Carbon derived from LOI using the default factor of "&amp;CARBON_FRACTION_OM&amp;", which has not been calibrated locally. See R1. Reference. ","")&amp;IF(AND(ISNUMBER($O477),$O477=0,ISNUMBER($E477)),"Section lies entirely below the reference depth — it counts to the full-profile stock only. ",""))</f>
        <v/>
      </c>
      <c r="U477" s="14"/>
    </row>
    <row r="478" spans="1:21" ht="15.75" customHeight="1">
      <c r="A478" s="14"/>
      <c r="B478" s="14"/>
      <c r="C478" s="14"/>
      <c r="D478" s="14"/>
      <c r="E478" s="14"/>
      <c r="F478" s="14"/>
      <c r="G478" s="14" t="str">
        <f t="shared" si="50"/>
        <v/>
      </c>
      <c r="H478" s="14"/>
      <c r="I478" s="14"/>
      <c r="J478" s="24"/>
      <c r="K478" s="24"/>
      <c r="L478" s="24"/>
      <c r="M478" s="24"/>
      <c r="N478" s="16" t="str">
        <f t="shared" si="48"/>
        <v/>
      </c>
      <c r="O478" s="16" t="str">
        <f t="shared" si="51"/>
        <v/>
      </c>
      <c r="P478" s="16" t="str">
        <f t="shared" si="52"/>
        <v/>
      </c>
      <c r="Q478" s="16" t="str">
        <f t="shared" si="53"/>
        <v/>
      </c>
      <c r="R478" s="16">
        <f t="shared" si="49"/>
        <v>0</v>
      </c>
      <c r="S478" s="16" t="str">
        <f>IF(OR($B478="",NOT(ISNUMBER($F478))),"",SUMIFS(community_cores_FS!$P$5:$P$597,community_cores_FS!$B$5:$B$597,$B478,community_cores_FS!$F$5:$F$597,"&lt;="&amp;$F478))</f>
        <v/>
      </c>
      <c r="T478" s="16" t="str">
        <f>IF(AND($A478="",$B478="",$E478=""),"",IF(AND($B478&lt;&gt;"",COUNTIF('2. Core Log'!$A$5:$A$124,$B478)=0),"Core ID not in Core Log. ","")&amp;IF(AND($A478&lt;&gt;"",COUNTIF('1. Plot &amp; Site Log'!$A$5:$A$64,$A478)=0),"Plot ID not in Plot &amp; Site Log. ","")&amp;IF(AND(ISNUMBER($E478),ISNUMBER($F478),$F478&lt;=$E478),"Bottom depth is not below top depth. ","")&amp;IF($I478="","Say which bulk-density basis the lab reported. ","")&amp;IF(AND(ISNUMBER($J478),OR($J478&lt;QC_BD_MIN,$J478&gt;QC_BD_MAX)),"Bulk density outside "&amp;QC_BD_MIN&amp;"–"&amp;QC_BD_MAX&amp;" g/cm³ for peat. Above the top of that range usually means the mineral contact has been passed. ","")&amp;IF(AND(ISNUMBER($N478),$N478&gt;QC_CARBON_PCT_MAX),"Carbon above "&amp;QC_CARBON_PCT_MAX&amp;"% — check units; this may be organic matter rather than carbon. ","")&amp;IF(AND($L478&lt;&gt;"",$M478&lt;&gt;""),"Both LOI and measured carbon given — the measured value is used. ","")&amp;IF(AND($M478="",$L478&lt;&gt;"",OM_FACTOR_IS_LOCAL&lt;&gt;"Yes"),"Carbon derived from LOI using the default factor of "&amp;CARBON_FRACTION_OM&amp;", which has not been calibrated locally. See R1. Reference. ","")&amp;IF(AND(ISNUMBER($O478),$O478=0,ISNUMBER($E478)),"Section lies entirely below the reference depth — it counts to the full-profile stock only. ",""))</f>
        <v/>
      </c>
      <c r="U478" s="14"/>
    </row>
    <row r="479" spans="1:21" ht="15.75" customHeight="1">
      <c r="A479" s="14"/>
      <c r="B479" s="14"/>
      <c r="C479" s="14"/>
      <c r="D479" s="14"/>
      <c r="E479" s="14"/>
      <c r="F479" s="14"/>
      <c r="G479" s="14" t="str">
        <f t="shared" si="50"/>
        <v/>
      </c>
      <c r="H479" s="14"/>
      <c r="I479" s="14"/>
      <c r="J479" s="24"/>
      <c r="K479" s="24"/>
      <c r="L479" s="24"/>
      <c r="M479" s="24"/>
      <c r="N479" s="16" t="str">
        <f t="shared" si="48"/>
        <v/>
      </c>
      <c r="O479" s="16" t="str">
        <f t="shared" si="51"/>
        <v/>
      </c>
      <c r="P479" s="16" t="str">
        <f t="shared" si="52"/>
        <v/>
      </c>
      <c r="Q479" s="16" t="str">
        <f t="shared" si="53"/>
        <v/>
      </c>
      <c r="R479" s="16">
        <f t="shared" si="49"/>
        <v>0</v>
      </c>
      <c r="S479" s="16" t="str">
        <f>IF(OR($B479="",NOT(ISNUMBER($F479))),"",SUMIFS(community_cores_FS!$P$5:$P$597,community_cores_FS!$B$5:$B$597,$B479,community_cores_FS!$F$5:$F$597,"&lt;="&amp;$F479))</f>
        <v/>
      </c>
      <c r="T479" s="16" t="str">
        <f>IF(AND($A479="",$B479="",$E479=""),"",IF(AND($B479&lt;&gt;"",COUNTIF('2. Core Log'!$A$5:$A$124,$B479)=0),"Core ID not in Core Log. ","")&amp;IF(AND($A479&lt;&gt;"",COUNTIF('1. Plot &amp; Site Log'!$A$5:$A$64,$A479)=0),"Plot ID not in Plot &amp; Site Log. ","")&amp;IF(AND(ISNUMBER($E479),ISNUMBER($F479),$F479&lt;=$E479),"Bottom depth is not below top depth. ","")&amp;IF($I479="","Say which bulk-density basis the lab reported. ","")&amp;IF(AND(ISNUMBER($J479),OR($J479&lt;QC_BD_MIN,$J479&gt;QC_BD_MAX)),"Bulk density outside "&amp;QC_BD_MIN&amp;"–"&amp;QC_BD_MAX&amp;" g/cm³ for peat. Above the top of that range usually means the mineral contact has been passed. ","")&amp;IF(AND(ISNUMBER($N479),$N479&gt;QC_CARBON_PCT_MAX),"Carbon above "&amp;QC_CARBON_PCT_MAX&amp;"% — check units; this may be organic matter rather than carbon. ","")&amp;IF(AND($L479&lt;&gt;"",$M479&lt;&gt;""),"Both LOI and measured carbon given — the measured value is used. ","")&amp;IF(AND($M479="",$L479&lt;&gt;"",OM_FACTOR_IS_LOCAL&lt;&gt;"Yes"),"Carbon derived from LOI using the default factor of "&amp;CARBON_FRACTION_OM&amp;", which has not been calibrated locally. See R1. Reference. ","")&amp;IF(AND(ISNUMBER($O479),$O479=0,ISNUMBER($E479)),"Section lies entirely below the reference depth — it counts to the full-profile stock only. ",""))</f>
        <v/>
      </c>
      <c r="U479" s="14"/>
    </row>
    <row r="480" spans="1:21" ht="15.75" customHeight="1">
      <c r="A480" s="14"/>
      <c r="B480" s="14"/>
      <c r="C480" s="14"/>
      <c r="D480" s="14"/>
      <c r="E480" s="14"/>
      <c r="F480" s="14"/>
      <c r="G480" s="14" t="str">
        <f t="shared" si="50"/>
        <v/>
      </c>
      <c r="H480" s="14"/>
      <c r="I480" s="14"/>
      <c r="J480" s="24"/>
      <c r="K480" s="24"/>
      <c r="L480" s="24"/>
      <c r="M480" s="24"/>
      <c r="N480" s="16" t="str">
        <f t="shared" si="48"/>
        <v/>
      </c>
      <c r="O480" s="16" t="str">
        <f t="shared" si="51"/>
        <v/>
      </c>
      <c r="P480" s="16" t="str">
        <f t="shared" si="52"/>
        <v/>
      </c>
      <c r="Q480" s="16" t="str">
        <f t="shared" si="53"/>
        <v/>
      </c>
      <c r="R480" s="16">
        <f t="shared" si="49"/>
        <v>0</v>
      </c>
      <c r="S480" s="16" t="str">
        <f>IF(OR($B480="",NOT(ISNUMBER($F480))),"",SUMIFS(community_cores_FS!$P$5:$P$597,community_cores_FS!$B$5:$B$597,$B480,community_cores_FS!$F$5:$F$597,"&lt;="&amp;$F480))</f>
        <v/>
      </c>
      <c r="T480" s="16" t="str">
        <f>IF(AND($A480="",$B480="",$E480=""),"",IF(AND($B480&lt;&gt;"",COUNTIF('2. Core Log'!$A$5:$A$124,$B480)=0),"Core ID not in Core Log. ","")&amp;IF(AND($A480&lt;&gt;"",COUNTIF('1. Plot &amp; Site Log'!$A$5:$A$64,$A480)=0),"Plot ID not in Plot &amp; Site Log. ","")&amp;IF(AND(ISNUMBER($E480),ISNUMBER($F480),$F480&lt;=$E480),"Bottom depth is not below top depth. ","")&amp;IF($I480="","Say which bulk-density basis the lab reported. ","")&amp;IF(AND(ISNUMBER($J480),OR($J480&lt;QC_BD_MIN,$J480&gt;QC_BD_MAX)),"Bulk density outside "&amp;QC_BD_MIN&amp;"–"&amp;QC_BD_MAX&amp;" g/cm³ for peat. Above the top of that range usually means the mineral contact has been passed. ","")&amp;IF(AND(ISNUMBER($N480),$N480&gt;QC_CARBON_PCT_MAX),"Carbon above "&amp;QC_CARBON_PCT_MAX&amp;"% — check units; this may be organic matter rather than carbon. ","")&amp;IF(AND($L480&lt;&gt;"",$M480&lt;&gt;""),"Both LOI and measured carbon given — the measured value is used. ","")&amp;IF(AND($M480="",$L480&lt;&gt;"",OM_FACTOR_IS_LOCAL&lt;&gt;"Yes"),"Carbon derived from LOI using the default factor of "&amp;CARBON_FRACTION_OM&amp;", which has not been calibrated locally. See R1. Reference. ","")&amp;IF(AND(ISNUMBER($O480),$O480=0,ISNUMBER($E480)),"Section lies entirely below the reference depth — it counts to the full-profile stock only. ",""))</f>
        <v/>
      </c>
      <c r="U480" s="14"/>
    </row>
    <row r="481" spans="1:21" ht="15.75" customHeight="1">
      <c r="A481" s="14"/>
      <c r="B481" s="14"/>
      <c r="C481" s="14"/>
      <c r="D481" s="14"/>
      <c r="E481" s="14"/>
      <c r="F481" s="14"/>
      <c r="G481" s="14" t="str">
        <f t="shared" si="50"/>
        <v/>
      </c>
      <c r="H481" s="14"/>
      <c r="I481" s="14"/>
      <c r="J481" s="24"/>
      <c r="K481" s="24"/>
      <c r="L481" s="24"/>
      <c r="M481" s="24"/>
      <c r="N481" s="16" t="str">
        <f t="shared" si="48"/>
        <v/>
      </c>
      <c r="O481" s="16" t="str">
        <f t="shared" si="51"/>
        <v/>
      </c>
      <c r="P481" s="16" t="str">
        <f t="shared" si="52"/>
        <v/>
      </c>
      <c r="Q481" s="16" t="str">
        <f t="shared" si="53"/>
        <v/>
      </c>
      <c r="R481" s="16">
        <f t="shared" si="49"/>
        <v>0</v>
      </c>
      <c r="S481" s="16" t="str">
        <f>IF(OR($B481="",NOT(ISNUMBER($F481))),"",SUMIFS(community_cores_FS!$P$5:$P$597,community_cores_FS!$B$5:$B$597,$B481,community_cores_FS!$F$5:$F$597,"&lt;="&amp;$F481))</f>
        <v/>
      </c>
      <c r="T481" s="16" t="str">
        <f>IF(AND($A481="",$B481="",$E481=""),"",IF(AND($B481&lt;&gt;"",COUNTIF('2. Core Log'!$A$5:$A$124,$B481)=0),"Core ID not in Core Log. ","")&amp;IF(AND($A481&lt;&gt;"",COUNTIF('1. Plot &amp; Site Log'!$A$5:$A$64,$A481)=0),"Plot ID not in Plot &amp; Site Log. ","")&amp;IF(AND(ISNUMBER($E481),ISNUMBER($F481),$F481&lt;=$E481),"Bottom depth is not below top depth. ","")&amp;IF($I481="","Say which bulk-density basis the lab reported. ","")&amp;IF(AND(ISNUMBER($J481),OR($J481&lt;QC_BD_MIN,$J481&gt;QC_BD_MAX)),"Bulk density outside "&amp;QC_BD_MIN&amp;"–"&amp;QC_BD_MAX&amp;" g/cm³ for peat. Above the top of that range usually means the mineral contact has been passed. ","")&amp;IF(AND(ISNUMBER($N481),$N481&gt;QC_CARBON_PCT_MAX),"Carbon above "&amp;QC_CARBON_PCT_MAX&amp;"% — check units; this may be organic matter rather than carbon. ","")&amp;IF(AND($L481&lt;&gt;"",$M481&lt;&gt;""),"Both LOI and measured carbon given — the measured value is used. ","")&amp;IF(AND($M481="",$L481&lt;&gt;"",OM_FACTOR_IS_LOCAL&lt;&gt;"Yes"),"Carbon derived from LOI using the default factor of "&amp;CARBON_FRACTION_OM&amp;", which has not been calibrated locally. See R1. Reference. ","")&amp;IF(AND(ISNUMBER($O481),$O481=0,ISNUMBER($E481)),"Section lies entirely below the reference depth — it counts to the full-profile stock only. ",""))</f>
        <v/>
      </c>
      <c r="U481" s="14"/>
    </row>
    <row r="482" spans="1:21" ht="15.75" customHeight="1">
      <c r="A482" s="14"/>
      <c r="B482" s="14"/>
      <c r="C482" s="14"/>
      <c r="D482" s="14"/>
      <c r="E482" s="14"/>
      <c r="F482" s="14"/>
      <c r="G482" s="14" t="str">
        <f t="shared" si="50"/>
        <v/>
      </c>
      <c r="H482" s="14"/>
      <c r="I482" s="14"/>
      <c r="J482" s="24"/>
      <c r="K482" s="24"/>
      <c r="L482" s="24"/>
      <c r="M482" s="24"/>
      <c r="N482" s="16" t="str">
        <f t="shared" si="48"/>
        <v/>
      </c>
      <c r="O482" s="16" t="str">
        <f t="shared" si="51"/>
        <v/>
      </c>
      <c r="P482" s="16" t="str">
        <f t="shared" si="52"/>
        <v/>
      </c>
      <c r="Q482" s="16" t="str">
        <f t="shared" si="53"/>
        <v/>
      </c>
      <c r="R482" s="16">
        <f t="shared" si="49"/>
        <v>0</v>
      </c>
      <c r="S482" s="16" t="str">
        <f>IF(OR($B482="",NOT(ISNUMBER($F482))),"",SUMIFS(community_cores_FS!$P$5:$P$597,community_cores_FS!$B$5:$B$597,$B482,community_cores_FS!$F$5:$F$597,"&lt;="&amp;$F482))</f>
        <v/>
      </c>
      <c r="T482" s="16" t="str">
        <f>IF(AND($A482="",$B482="",$E482=""),"",IF(AND($B482&lt;&gt;"",COUNTIF('2. Core Log'!$A$5:$A$124,$B482)=0),"Core ID not in Core Log. ","")&amp;IF(AND($A482&lt;&gt;"",COUNTIF('1. Plot &amp; Site Log'!$A$5:$A$64,$A482)=0),"Plot ID not in Plot &amp; Site Log. ","")&amp;IF(AND(ISNUMBER($E482),ISNUMBER($F482),$F482&lt;=$E482),"Bottom depth is not below top depth. ","")&amp;IF($I482="","Say which bulk-density basis the lab reported. ","")&amp;IF(AND(ISNUMBER($J482),OR($J482&lt;QC_BD_MIN,$J482&gt;QC_BD_MAX)),"Bulk density outside "&amp;QC_BD_MIN&amp;"–"&amp;QC_BD_MAX&amp;" g/cm³ for peat. Above the top of that range usually means the mineral contact has been passed. ","")&amp;IF(AND(ISNUMBER($N482),$N482&gt;QC_CARBON_PCT_MAX),"Carbon above "&amp;QC_CARBON_PCT_MAX&amp;"% — check units; this may be organic matter rather than carbon. ","")&amp;IF(AND($L482&lt;&gt;"",$M482&lt;&gt;""),"Both LOI and measured carbon given — the measured value is used. ","")&amp;IF(AND($M482="",$L482&lt;&gt;"",OM_FACTOR_IS_LOCAL&lt;&gt;"Yes"),"Carbon derived from LOI using the default factor of "&amp;CARBON_FRACTION_OM&amp;", which has not been calibrated locally. See R1. Reference. ","")&amp;IF(AND(ISNUMBER($O482),$O482=0,ISNUMBER($E482)),"Section lies entirely below the reference depth — it counts to the full-profile stock only. ",""))</f>
        <v/>
      </c>
      <c r="U482" s="14"/>
    </row>
    <row r="483" spans="1:21" ht="15.75" customHeight="1">
      <c r="A483" s="14"/>
      <c r="B483" s="14"/>
      <c r="C483" s="14"/>
      <c r="D483" s="14"/>
      <c r="E483" s="14"/>
      <c r="F483" s="14"/>
      <c r="G483" s="14" t="str">
        <f t="shared" si="50"/>
        <v/>
      </c>
      <c r="H483" s="14"/>
      <c r="I483" s="14"/>
      <c r="J483" s="24"/>
      <c r="K483" s="24"/>
      <c r="L483" s="24"/>
      <c r="M483" s="24"/>
      <c r="N483" s="16" t="str">
        <f t="shared" si="48"/>
        <v/>
      </c>
      <c r="O483" s="16" t="str">
        <f t="shared" si="51"/>
        <v/>
      </c>
      <c r="P483" s="16" t="str">
        <f t="shared" si="52"/>
        <v/>
      </c>
      <c r="Q483" s="16" t="str">
        <f t="shared" si="53"/>
        <v/>
      </c>
      <c r="R483" s="16">
        <f t="shared" si="49"/>
        <v>0</v>
      </c>
      <c r="S483" s="16" t="str">
        <f>IF(OR($B483="",NOT(ISNUMBER($F483))),"",SUMIFS(community_cores_FS!$P$5:$P$597,community_cores_FS!$B$5:$B$597,$B483,community_cores_FS!$F$5:$F$597,"&lt;="&amp;$F483))</f>
        <v/>
      </c>
      <c r="T483" s="16" t="str">
        <f>IF(AND($A483="",$B483="",$E483=""),"",IF(AND($B483&lt;&gt;"",COUNTIF('2. Core Log'!$A$5:$A$124,$B483)=0),"Core ID not in Core Log. ","")&amp;IF(AND($A483&lt;&gt;"",COUNTIF('1. Plot &amp; Site Log'!$A$5:$A$64,$A483)=0),"Plot ID not in Plot &amp; Site Log. ","")&amp;IF(AND(ISNUMBER($E483),ISNUMBER($F483),$F483&lt;=$E483),"Bottom depth is not below top depth. ","")&amp;IF($I483="","Say which bulk-density basis the lab reported. ","")&amp;IF(AND(ISNUMBER($J483),OR($J483&lt;QC_BD_MIN,$J483&gt;QC_BD_MAX)),"Bulk density outside "&amp;QC_BD_MIN&amp;"–"&amp;QC_BD_MAX&amp;" g/cm³ for peat. Above the top of that range usually means the mineral contact has been passed. ","")&amp;IF(AND(ISNUMBER($N483),$N483&gt;QC_CARBON_PCT_MAX),"Carbon above "&amp;QC_CARBON_PCT_MAX&amp;"% — check units; this may be organic matter rather than carbon. ","")&amp;IF(AND($L483&lt;&gt;"",$M483&lt;&gt;""),"Both LOI and measured carbon given — the measured value is used. ","")&amp;IF(AND($M483="",$L483&lt;&gt;"",OM_FACTOR_IS_LOCAL&lt;&gt;"Yes"),"Carbon derived from LOI using the default factor of "&amp;CARBON_FRACTION_OM&amp;", which has not been calibrated locally. See R1. Reference. ","")&amp;IF(AND(ISNUMBER($O483),$O483=0,ISNUMBER($E483)),"Section lies entirely below the reference depth — it counts to the full-profile stock only. ",""))</f>
        <v/>
      </c>
      <c r="U483" s="14"/>
    </row>
    <row r="484" spans="1:21" ht="15.75" customHeight="1">
      <c r="A484" s="14"/>
      <c r="B484" s="14"/>
      <c r="C484" s="14"/>
      <c r="D484" s="14"/>
      <c r="E484" s="14"/>
      <c r="F484" s="14"/>
      <c r="G484" s="14" t="str">
        <f t="shared" si="50"/>
        <v/>
      </c>
      <c r="H484" s="14"/>
      <c r="I484" s="14"/>
      <c r="J484" s="24"/>
      <c r="K484" s="24"/>
      <c r="L484" s="24"/>
      <c r="M484" s="24"/>
      <c r="N484" s="16" t="str">
        <f t="shared" si="48"/>
        <v/>
      </c>
      <c r="O484" s="16" t="str">
        <f t="shared" si="51"/>
        <v/>
      </c>
      <c r="P484" s="16" t="str">
        <f t="shared" si="52"/>
        <v/>
      </c>
      <c r="Q484" s="16" t="str">
        <f t="shared" si="53"/>
        <v/>
      </c>
      <c r="R484" s="16">
        <f t="shared" si="49"/>
        <v>0</v>
      </c>
      <c r="S484" s="16" t="str">
        <f>IF(OR($B484="",NOT(ISNUMBER($F484))),"",SUMIFS(community_cores_FS!$P$5:$P$597,community_cores_FS!$B$5:$B$597,$B484,community_cores_FS!$F$5:$F$597,"&lt;="&amp;$F484))</f>
        <v/>
      </c>
      <c r="T484" s="16" t="str">
        <f>IF(AND($A484="",$B484="",$E484=""),"",IF(AND($B484&lt;&gt;"",COUNTIF('2. Core Log'!$A$5:$A$124,$B484)=0),"Core ID not in Core Log. ","")&amp;IF(AND($A484&lt;&gt;"",COUNTIF('1. Plot &amp; Site Log'!$A$5:$A$64,$A484)=0),"Plot ID not in Plot &amp; Site Log. ","")&amp;IF(AND(ISNUMBER($E484),ISNUMBER($F484),$F484&lt;=$E484),"Bottom depth is not below top depth. ","")&amp;IF($I484="","Say which bulk-density basis the lab reported. ","")&amp;IF(AND(ISNUMBER($J484),OR($J484&lt;QC_BD_MIN,$J484&gt;QC_BD_MAX)),"Bulk density outside "&amp;QC_BD_MIN&amp;"–"&amp;QC_BD_MAX&amp;" g/cm³ for peat. Above the top of that range usually means the mineral contact has been passed. ","")&amp;IF(AND(ISNUMBER($N484),$N484&gt;QC_CARBON_PCT_MAX),"Carbon above "&amp;QC_CARBON_PCT_MAX&amp;"% — check units; this may be organic matter rather than carbon. ","")&amp;IF(AND($L484&lt;&gt;"",$M484&lt;&gt;""),"Both LOI and measured carbon given — the measured value is used. ","")&amp;IF(AND($M484="",$L484&lt;&gt;"",OM_FACTOR_IS_LOCAL&lt;&gt;"Yes"),"Carbon derived from LOI using the default factor of "&amp;CARBON_FRACTION_OM&amp;", which has not been calibrated locally. See R1. Reference. ","")&amp;IF(AND(ISNUMBER($O484),$O484=0,ISNUMBER($E484)),"Section lies entirely below the reference depth — it counts to the full-profile stock only. ",""))</f>
        <v/>
      </c>
      <c r="U484" s="14"/>
    </row>
    <row r="485" spans="1:21" ht="15.75" customHeight="1">
      <c r="A485" s="14"/>
      <c r="B485" s="14"/>
      <c r="C485" s="14"/>
      <c r="D485" s="14"/>
      <c r="E485" s="14"/>
      <c r="F485" s="14"/>
      <c r="G485" s="14" t="str">
        <f t="shared" si="50"/>
        <v/>
      </c>
      <c r="H485" s="14"/>
      <c r="I485" s="14"/>
      <c r="J485" s="24"/>
      <c r="K485" s="24"/>
      <c r="L485" s="24"/>
      <c r="M485" s="24"/>
      <c r="N485" s="16" t="str">
        <f t="shared" si="48"/>
        <v/>
      </c>
      <c r="O485" s="16" t="str">
        <f t="shared" si="51"/>
        <v/>
      </c>
      <c r="P485" s="16" t="str">
        <f t="shared" si="52"/>
        <v/>
      </c>
      <c r="Q485" s="16" t="str">
        <f t="shared" si="53"/>
        <v/>
      </c>
      <c r="R485" s="16">
        <f t="shared" si="49"/>
        <v>0</v>
      </c>
      <c r="S485" s="16" t="str">
        <f>IF(OR($B485="",NOT(ISNUMBER($F485))),"",SUMIFS(community_cores_FS!$P$5:$P$597,community_cores_FS!$B$5:$B$597,$B485,community_cores_FS!$F$5:$F$597,"&lt;="&amp;$F485))</f>
        <v/>
      </c>
      <c r="T485" s="16" t="str">
        <f>IF(AND($A485="",$B485="",$E485=""),"",IF(AND($B485&lt;&gt;"",COUNTIF('2. Core Log'!$A$5:$A$124,$B485)=0),"Core ID not in Core Log. ","")&amp;IF(AND($A485&lt;&gt;"",COUNTIF('1. Plot &amp; Site Log'!$A$5:$A$64,$A485)=0),"Plot ID not in Plot &amp; Site Log. ","")&amp;IF(AND(ISNUMBER($E485),ISNUMBER($F485),$F485&lt;=$E485),"Bottom depth is not below top depth. ","")&amp;IF($I485="","Say which bulk-density basis the lab reported. ","")&amp;IF(AND(ISNUMBER($J485),OR($J485&lt;QC_BD_MIN,$J485&gt;QC_BD_MAX)),"Bulk density outside "&amp;QC_BD_MIN&amp;"–"&amp;QC_BD_MAX&amp;" g/cm³ for peat. Above the top of that range usually means the mineral contact has been passed. ","")&amp;IF(AND(ISNUMBER($N485),$N485&gt;QC_CARBON_PCT_MAX),"Carbon above "&amp;QC_CARBON_PCT_MAX&amp;"% — check units; this may be organic matter rather than carbon. ","")&amp;IF(AND($L485&lt;&gt;"",$M485&lt;&gt;""),"Both LOI and measured carbon given — the measured value is used. ","")&amp;IF(AND($M485="",$L485&lt;&gt;"",OM_FACTOR_IS_LOCAL&lt;&gt;"Yes"),"Carbon derived from LOI using the default factor of "&amp;CARBON_FRACTION_OM&amp;", which has not been calibrated locally. See R1. Reference. ","")&amp;IF(AND(ISNUMBER($O485),$O485=0,ISNUMBER($E485)),"Section lies entirely below the reference depth — it counts to the full-profile stock only. ",""))</f>
        <v/>
      </c>
      <c r="U485" s="14"/>
    </row>
    <row r="486" spans="1:21" ht="15.75" customHeight="1">
      <c r="A486" s="14"/>
      <c r="B486" s="14"/>
      <c r="C486" s="14"/>
      <c r="D486" s="14"/>
      <c r="E486" s="14"/>
      <c r="F486" s="14"/>
      <c r="G486" s="14" t="str">
        <f t="shared" si="50"/>
        <v/>
      </c>
      <c r="H486" s="14"/>
      <c r="I486" s="14"/>
      <c r="J486" s="24"/>
      <c r="K486" s="24"/>
      <c r="L486" s="24"/>
      <c r="M486" s="24"/>
      <c r="N486" s="16" t="str">
        <f t="shared" si="48"/>
        <v/>
      </c>
      <c r="O486" s="16" t="str">
        <f t="shared" si="51"/>
        <v/>
      </c>
      <c r="P486" s="16" t="str">
        <f t="shared" si="52"/>
        <v/>
      </c>
      <c r="Q486" s="16" t="str">
        <f t="shared" si="53"/>
        <v/>
      </c>
      <c r="R486" s="16">
        <f t="shared" si="49"/>
        <v>0</v>
      </c>
      <c r="S486" s="16" t="str">
        <f>IF(OR($B486="",NOT(ISNUMBER($F486))),"",SUMIFS(community_cores_FS!$P$5:$P$597,community_cores_FS!$B$5:$B$597,$B486,community_cores_FS!$F$5:$F$597,"&lt;="&amp;$F486))</f>
        <v/>
      </c>
      <c r="T486" s="16" t="str">
        <f>IF(AND($A486="",$B486="",$E486=""),"",IF(AND($B486&lt;&gt;"",COUNTIF('2. Core Log'!$A$5:$A$124,$B486)=0),"Core ID not in Core Log. ","")&amp;IF(AND($A486&lt;&gt;"",COUNTIF('1. Plot &amp; Site Log'!$A$5:$A$64,$A486)=0),"Plot ID not in Plot &amp; Site Log. ","")&amp;IF(AND(ISNUMBER($E486),ISNUMBER($F486),$F486&lt;=$E486),"Bottom depth is not below top depth. ","")&amp;IF($I486="","Say which bulk-density basis the lab reported. ","")&amp;IF(AND(ISNUMBER($J486),OR($J486&lt;QC_BD_MIN,$J486&gt;QC_BD_MAX)),"Bulk density outside "&amp;QC_BD_MIN&amp;"–"&amp;QC_BD_MAX&amp;" g/cm³ for peat. Above the top of that range usually means the mineral contact has been passed. ","")&amp;IF(AND(ISNUMBER($N486),$N486&gt;QC_CARBON_PCT_MAX),"Carbon above "&amp;QC_CARBON_PCT_MAX&amp;"% — check units; this may be organic matter rather than carbon. ","")&amp;IF(AND($L486&lt;&gt;"",$M486&lt;&gt;""),"Both LOI and measured carbon given — the measured value is used. ","")&amp;IF(AND($M486="",$L486&lt;&gt;"",OM_FACTOR_IS_LOCAL&lt;&gt;"Yes"),"Carbon derived from LOI using the default factor of "&amp;CARBON_FRACTION_OM&amp;", which has not been calibrated locally. See R1. Reference. ","")&amp;IF(AND(ISNUMBER($O486),$O486=0,ISNUMBER($E486)),"Section lies entirely below the reference depth — it counts to the full-profile stock only. ",""))</f>
        <v/>
      </c>
      <c r="U486" s="14"/>
    </row>
    <row r="487" spans="1:21" ht="15.75" customHeight="1">
      <c r="A487" s="14"/>
      <c r="B487" s="14"/>
      <c r="C487" s="14"/>
      <c r="D487" s="14"/>
      <c r="E487" s="14"/>
      <c r="F487" s="14"/>
      <c r="G487" s="14" t="str">
        <f t="shared" si="50"/>
        <v/>
      </c>
      <c r="H487" s="14"/>
      <c r="I487" s="14"/>
      <c r="J487" s="24"/>
      <c r="K487" s="24"/>
      <c r="L487" s="24"/>
      <c r="M487" s="24"/>
      <c r="N487" s="16" t="str">
        <f t="shared" si="48"/>
        <v/>
      </c>
      <c r="O487" s="16" t="str">
        <f t="shared" si="51"/>
        <v/>
      </c>
      <c r="P487" s="16" t="str">
        <f t="shared" si="52"/>
        <v/>
      </c>
      <c r="Q487" s="16" t="str">
        <f t="shared" si="53"/>
        <v/>
      </c>
      <c r="R487" s="16">
        <f t="shared" si="49"/>
        <v>0</v>
      </c>
      <c r="S487" s="16" t="str">
        <f>IF(OR($B487="",NOT(ISNUMBER($F487))),"",SUMIFS(community_cores_FS!$P$5:$P$597,community_cores_FS!$B$5:$B$597,$B487,community_cores_FS!$F$5:$F$597,"&lt;="&amp;$F487))</f>
        <v/>
      </c>
      <c r="T487" s="16" t="str">
        <f>IF(AND($A487="",$B487="",$E487=""),"",IF(AND($B487&lt;&gt;"",COUNTIF('2. Core Log'!$A$5:$A$124,$B487)=0),"Core ID not in Core Log. ","")&amp;IF(AND($A487&lt;&gt;"",COUNTIF('1. Plot &amp; Site Log'!$A$5:$A$64,$A487)=0),"Plot ID not in Plot &amp; Site Log. ","")&amp;IF(AND(ISNUMBER($E487),ISNUMBER($F487),$F487&lt;=$E487),"Bottom depth is not below top depth. ","")&amp;IF($I487="","Say which bulk-density basis the lab reported. ","")&amp;IF(AND(ISNUMBER($J487),OR($J487&lt;QC_BD_MIN,$J487&gt;QC_BD_MAX)),"Bulk density outside "&amp;QC_BD_MIN&amp;"–"&amp;QC_BD_MAX&amp;" g/cm³ for peat. Above the top of that range usually means the mineral contact has been passed. ","")&amp;IF(AND(ISNUMBER($N487),$N487&gt;QC_CARBON_PCT_MAX),"Carbon above "&amp;QC_CARBON_PCT_MAX&amp;"% — check units; this may be organic matter rather than carbon. ","")&amp;IF(AND($L487&lt;&gt;"",$M487&lt;&gt;""),"Both LOI and measured carbon given — the measured value is used. ","")&amp;IF(AND($M487="",$L487&lt;&gt;"",OM_FACTOR_IS_LOCAL&lt;&gt;"Yes"),"Carbon derived from LOI using the default factor of "&amp;CARBON_FRACTION_OM&amp;", which has not been calibrated locally. See R1. Reference. ","")&amp;IF(AND(ISNUMBER($O487),$O487=0,ISNUMBER($E487)),"Section lies entirely below the reference depth — it counts to the full-profile stock only. ",""))</f>
        <v/>
      </c>
      <c r="U487" s="14"/>
    </row>
    <row r="488" spans="1:21" ht="15.75" customHeight="1">
      <c r="A488" s="14"/>
      <c r="B488" s="14"/>
      <c r="C488" s="14"/>
      <c r="D488" s="14"/>
      <c r="E488" s="14"/>
      <c r="F488" s="14"/>
      <c r="G488" s="14" t="str">
        <f t="shared" si="50"/>
        <v/>
      </c>
      <c r="H488" s="14"/>
      <c r="I488" s="14"/>
      <c r="J488" s="24"/>
      <c r="K488" s="24"/>
      <c r="L488" s="24"/>
      <c r="M488" s="24"/>
      <c r="N488" s="16" t="str">
        <f t="shared" si="48"/>
        <v/>
      </c>
      <c r="O488" s="16" t="str">
        <f t="shared" si="51"/>
        <v/>
      </c>
      <c r="P488" s="16" t="str">
        <f t="shared" si="52"/>
        <v/>
      </c>
      <c r="Q488" s="16" t="str">
        <f t="shared" si="53"/>
        <v/>
      </c>
      <c r="R488" s="16">
        <f t="shared" si="49"/>
        <v>0</v>
      </c>
      <c r="S488" s="16" t="str">
        <f>IF(OR($B488="",NOT(ISNUMBER($F488))),"",SUMIFS(community_cores_FS!$P$5:$P$597,community_cores_FS!$B$5:$B$597,$B488,community_cores_FS!$F$5:$F$597,"&lt;="&amp;$F488))</f>
        <v/>
      </c>
      <c r="T488" s="16" t="str">
        <f>IF(AND($A488="",$B488="",$E488=""),"",IF(AND($B488&lt;&gt;"",COUNTIF('2. Core Log'!$A$5:$A$124,$B488)=0),"Core ID not in Core Log. ","")&amp;IF(AND($A488&lt;&gt;"",COUNTIF('1. Plot &amp; Site Log'!$A$5:$A$64,$A488)=0),"Plot ID not in Plot &amp; Site Log. ","")&amp;IF(AND(ISNUMBER($E488),ISNUMBER($F488),$F488&lt;=$E488),"Bottom depth is not below top depth. ","")&amp;IF($I488="","Say which bulk-density basis the lab reported. ","")&amp;IF(AND(ISNUMBER($J488),OR($J488&lt;QC_BD_MIN,$J488&gt;QC_BD_MAX)),"Bulk density outside "&amp;QC_BD_MIN&amp;"–"&amp;QC_BD_MAX&amp;" g/cm³ for peat. Above the top of that range usually means the mineral contact has been passed. ","")&amp;IF(AND(ISNUMBER($N488),$N488&gt;QC_CARBON_PCT_MAX),"Carbon above "&amp;QC_CARBON_PCT_MAX&amp;"% — check units; this may be organic matter rather than carbon. ","")&amp;IF(AND($L488&lt;&gt;"",$M488&lt;&gt;""),"Both LOI and measured carbon given — the measured value is used. ","")&amp;IF(AND($M488="",$L488&lt;&gt;"",OM_FACTOR_IS_LOCAL&lt;&gt;"Yes"),"Carbon derived from LOI using the default factor of "&amp;CARBON_FRACTION_OM&amp;", which has not been calibrated locally. See R1. Reference. ","")&amp;IF(AND(ISNUMBER($O488),$O488=0,ISNUMBER($E488)),"Section lies entirely below the reference depth — it counts to the full-profile stock only. ",""))</f>
        <v/>
      </c>
      <c r="U488" s="14"/>
    </row>
    <row r="489" spans="1:21" ht="15.75" customHeight="1">
      <c r="A489" s="14"/>
      <c r="B489" s="14"/>
      <c r="C489" s="14"/>
      <c r="D489" s="14"/>
      <c r="E489" s="14"/>
      <c r="F489" s="14"/>
      <c r="G489" s="14" t="str">
        <f t="shared" si="50"/>
        <v/>
      </c>
      <c r="H489" s="14"/>
      <c r="I489" s="14"/>
      <c r="J489" s="24"/>
      <c r="K489" s="24"/>
      <c r="L489" s="24"/>
      <c r="M489" s="24"/>
      <c r="N489" s="16" t="str">
        <f t="shared" si="48"/>
        <v/>
      </c>
      <c r="O489" s="16" t="str">
        <f t="shared" si="51"/>
        <v/>
      </c>
      <c r="P489" s="16" t="str">
        <f t="shared" si="52"/>
        <v/>
      </c>
      <c r="Q489" s="16" t="str">
        <f t="shared" si="53"/>
        <v/>
      </c>
      <c r="R489" s="16">
        <f t="shared" si="49"/>
        <v>0</v>
      </c>
      <c r="S489" s="16" t="str">
        <f>IF(OR($B489="",NOT(ISNUMBER($F489))),"",SUMIFS(community_cores_FS!$P$5:$P$597,community_cores_FS!$B$5:$B$597,$B489,community_cores_FS!$F$5:$F$597,"&lt;="&amp;$F489))</f>
        <v/>
      </c>
      <c r="T489" s="16" t="str">
        <f>IF(AND($A489="",$B489="",$E489=""),"",IF(AND($B489&lt;&gt;"",COUNTIF('2. Core Log'!$A$5:$A$124,$B489)=0),"Core ID not in Core Log. ","")&amp;IF(AND($A489&lt;&gt;"",COUNTIF('1. Plot &amp; Site Log'!$A$5:$A$64,$A489)=0),"Plot ID not in Plot &amp; Site Log. ","")&amp;IF(AND(ISNUMBER($E489),ISNUMBER($F489),$F489&lt;=$E489),"Bottom depth is not below top depth. ","")&amp;IF($I489="","Say which bulk-density basis the lab reported. ","")&amp;IF(AND(ISNUMBER($J489),OR($J489&lt;QC_BD_MIN,$J489&gt;QC_BD_MAX)),"Bulk density outside "&amp;QC_BD_MIN&amp;"–"&amp;QC_BD_MAX&amp;" g/cm³ for peat. Above the top of that range usually means the mineral contact has been passed. ","")&amp;IF(AND(ISNUMBER($N489),$N489&gt;QC_CARBON_PCT_MAX),"Carbon above "&amp;QC_CARBON_PCT_MAX&amp;"% — check units; this may be organic matter rather than carbon. ","")&amp;IF(AND($L489&lt;&gt;"",$M489&lt;&gt;""),"Both LOI and measured carbon given — the measured value is used. ","")&amp;IF(AND($M489="",$L489&lt;&gt;"",OM_FACTOR_IS_LOCAL&lt;&gt;"Yes"),"Carbon derived from LOI using the default factor of "&amp;CARBON_FRACTION_OM&amp;", which has not been calibrated locally. See R1. Reference. ","")&amp;IF(AND(ISNUMBER($O489),$O489=0,ISNUMBER($E489)),"Section lies entirely below the reference depth — it counts to the full-profile stock only. ",""))</f>
        <v/>
      </c>
      <c r="U489" s="14"/>
    </row>
    <row r="490" spans="1:21" ht="15.75" customHeight="1">
      <c r="A490" s="14"/>
      <c r="B490" s="14"/>
      <c r="C490" s="14"/>
      <c r="D490" s="14"/>
      <c r="E490" s="14"/>
      <c r="F490" s="14"/>
      <c r="G490" s="14" t="str">
        <f t="shared" si="50"/>
        <v/>
      </c>
      <c r="H490" s="14"/>
      <c r="I490" s="14"/>
      <c r="J490" s="24"/>
      <c r="K490" s="24"/>
      <c r="L490" s="24"/>
      <c r="M490" s="24"/>
      <c r="N490" s="16" t="str">
        <f t="shared" si="48"/>
        <v/>
      </c>
      <c r="O490" s="16" t="str">
        <f t="shared" si="51"/>
        <v/>
      </c>
      <c r="P490" s="16" t="str">
        <f t="shared" si="52"/>
        <v/>
      </c>
      <c r="Q490" s="16" t="str">
        <f t="shared" si="53"/>
        <v/>
      </c>
      <c r="R490" s="16">
        <f t="shared" si="49"/>
        <v>0</v>
      </c>
      <c r="S490" s="16" t="str">
        <f>IF(OR($B490="",NOT(ISNUMBER($F490))),"",SUMIFS(community_cores_FS!$P$5:$P$597,community_cores_FS!$B$5:$B$597,$B490,community_cores_FS!$F$5:$F$597,"&lt;="&amp;$F490))</f>
        <v/>
      </c>
      <c r="T490" s="16" t="str">
        <f>IF(AND($A490="",$B490="",$E490=""),"",IF(AND($B490&lt;&gt;"",COUNTIF('2. Core Log'!$A$5:$A$124,$B490)=0),"Core ID not in Core Log. ","")&amp;IF(AND($A490&lt;&gt;"",COUNTIF('1. Plot &amp; Site Log'!$A$5:$A$64,$A490)=0),"Plot ID not in Plot &amp; Site Log. ","")&amp;IF(AND(ISNUMBER($E490),ISNUMBER($F490),$F490&lt;=$E490),"Bottom depth is not below top depth. ","")&amp;IF($I490="","Say which bulk-density basis the lab reported. ","")&amp;IF(AND(ISNUMBER($J490),OR($J490&lt;QC_BD_MIN,$J490&gt;QC_BD_MAX)),"Bulk density outside "&amp;QC_BD_MIN&amp;"–"&amp;QC_BD_MAX&amp;" g/cm³ for peat. Above the top of that range usually means the mineral contact has been passed. ","")&amp;IF(AND(ISNUMBER($N490),$N490&gt;QC_CARBON_PCT_MAX),"Carbon above "&amp;QC_CARBON_PCT_MAX&amp;"% — check units; this may be organic matter rather than carbon. ","")&amp;IF(AND($L490&lt;&gt;"",$M490&lt;&gt;""),"Both LOI and measured carbon given — the measured value is used. ","")&amp;IF(AND($M490="",$L490&lt;&gt;"",OM_FACTOR_IS_LOCAL&lt;&gt;"Yes"),"Carbon derived from LOI using the default factor of "&amp;CARBON_FRACTION_OM&amp;", which has not been calibrated locally. See R1. Reference. ","")&amp;IF(AND(ISNUMBER($O490),$O490=0,ISNUMBER($E490)),"Section lies entirely below the reference depth — it counts to the full-profile stock only. ",""))</f>
        <v/>
      </c>
      <c r="U490" s="14"/>
    </row>
    <row r="491" spans="1:21" ht="15.75" customHeight="1">
      <c r="A491" s="14"/>
      <c r="B491" s="14"/>
      <c r="C491" s="14"/>
      <c r="D491" s="14"/>
      <c r="E491" s="14"/>
      <c r="F491" s="14"/>
      <c r="G491" s="14" t="str">
        <f t="shared" si="50"/>
        <v/>
      </c>
      <c r="H491" s="14"/>
      <c r="I491" s="14"/>
      <c r="J491" s="24"/>
      <c r="K491" s="24"/>
      <c r="L491" s="24"/>
      <c r="M491" s="24"/>
      <c r="N491" s="16" t="str">
        <f t="shared" si="48"/>
        <v/>
      </c>
      <c r="O491" s="16" t="str">
        <f t="shared" si="51"/>
        <v/>
      </c>
      <c r="P491" s="16" t="str">
        <f t="shared" si="52"/>
        <v/>
      </c>
      <c r="Q491" s="16" t="str">
        <f t="shared" si="53"/>
        <v/>
      </c>
      <c r="R491" s="16">
        <f t="shared" si="49"/>
        <v>0</v>
      </c>
      <c r="S491" s="16" t="str">
        <f>IF(OR($B491="",NOT(ISNUMBER($F491))),"",SUMIFS(community_cores_FS!$P$5:$P$597,community_cores_FS!$B$5:$B$597,$B491,community_cores_FS!$F$5:$F$597,"&lt;="&amp;$F491))</f>
        <v/>
      </c>
      <c r="T491" s="16" t="str">
        <f>IF(AND($A491="",$B491="",$E491=""),"",IF(AND($B491&lt;&gt;"",COUNTIF('2. Core Log'!$A$5:$A$124,$B491)=0),"Core ID not in Core Log. ","")&amp;IF(AND($A491&lt;&gt;"",COUNTIF('1. Plot &amp; Site Log'!$A$5:$A$64,$A491)=0),"Plot ID not in Plot &amp; Site Log. ","")&amp;IF(AND(ISNUMBER($E491),ISNUMBER($F491),$F491&lt;=$E491),"Bottom depth is not below top depth. ","")&amp;IF($I491="","Say which bulk-density basis the lab reported. ","")&amp;IF(AND(ISNUMBER($J491),OR($J491&lt;QC_BD_MIN,$J491&gt;QC_BD_MAX)),"Bulk density outside "&amp;QC_BD_MIN&amp;"–"&amp;QC_BD_MAX&amp;" g/cm³ for peat. Above the top of that range usually means the mineral contact has been passed. ","")&amp;IF(AND(ISNUMBER($N491),$N491&gt;QC_CARBON_PCT_MAX),"Carbon above "&amp;QC_CARBON_PCT_MAX&amp;"% — check units; this may be organic matter rather than carbon. ","")&amp;IF(AND($L491&lt;&gt;"",$M491&lt;&gt;""),"Both LOI and measured carbon given — the measured value is used. ","")&amp;IF(AND($M491="",$L491&lt;&gt;"",OM_FACTOR_IS_LOCAL&lt;&gt;"Yes"),"Carbon derived from LOI using the default factor of "&amp;CARBON_FRACTION_OM&amp;", which has not been calibrated locally. See R1. Reference. ","")&amp;IF(AND(ISNUMBER($O491),$O491=0,ISNUMBER($E491)),"Section lies entirely below the reference depth — it counts to the full-profile stock only. ",""))</f>
        <v/>
      </c>
      <c r="U491" s="14"/>
    </row>
    <row r="492" spans="1:21" ht="15.75" customHeight="1">
      <c r="A492" s="14"/>
      <c r="B492" s="14"/>
      <c r="C492" s="14"/>
      <c r="D492" s="14"/>
      <c r="E492" s="14"/>
      <c r="F492" s="14"/>
      <c r="G492" s="14" t="str">
        <f t="shared" si="50"/>
        <v/>
      </c>
      <c r="H492" s="14"/>
      <c r="I492" s="14"/>
      <c r="J492" s="24"/>
      <c r="K492" s="24"/>
      <c r="L492" s="24"/>
      <c r="M492" s="24"/>
      <c r="N492" s="16" t="str">
        <f t="shared" si="48"/>
        <v/>
      </c>
      <c r="O492" s="16" t="str">
        <f t="shared" si="51"/>
        <v/>
      </c>
      <c r="P492" s="16" t="str">
        <f t="shared" si="52"/>
        <v/>
      </c>
      <c r="Q492" s="16" t="str">
        <f t="shared" si="53"/>
        <v/>
      </c>
      <c r="R492" s="16">
        <f t="shared" si="49"/>
        <v>0</v>
      </c>
      <c r="S492" s="16" t="str">
        <f>IF(OR($B492="",NOT(ISNUMBER($F492))),"",SUMIFS(community_cores_FS!$P$5:$P$597,community_cores_FS!$B$5:$B$597,$B492,community_cores_FS!$F$5:$F$597,"&lt;="&amp;$F492))</f>
        <v/>
      </c>
      <c r="T492" s="16" t="str">
        <f>IF(AND($A492="",$B492="",$E492=""),"",IF(AND($B492&lt;&gt;"",COUNTIF('2. Core Log'!$A$5:$A$124,$B492)=0),"Core ID not in Core Log. ","")&amp;IF(AND($A492&lt;&gt;"",COUNTIF('1. Plot &amp; Site Log'!$A$5:$A$64,$A492)=0),"Plot ID not in Plot &amp; Site Log. ","")&amp;IF(AND(ISNUMBER($E492),ISNUMBER($F492),$F492&lt;=$E492),"Bottom depth is not below top depth. ","")&amp;IF($I492="","Say which bulk-density basis the lab reported. ","")&amp;IF(AND(ISNUMBER($J492),OR($J492&lt;QC_BD_MIN,$J492&gt;QC_BD_MAX)),"Bulk density outside "&amp;QC_BD_MIN&amp;"–"&amp;QC_BD_MAX&amp;" g/cm³ for peat. Above the top of that range usually means the mineral contact has been passed. ","")&amp;IF(AND(ISNUMBER($N492),$N492&gt;QC_CARBON_PCT_MAX),"Carbon above "&amp;QC_CARBON_PCT_MAX&amp;"% — check units; this may be organic matter rather than carbon. ","")&amp;IF(AND($L492&lt;&gt;"",$M492&lt;&gt;""),"Both LOI and measured carbon given — the measured value is used. ","")&amp;IF(AND($M492="",$L492&lt;&gt;"",OM_FACTOR_IS_LOCAL&lt;&gt;"Yes"),"Carbon derived from LOI using the default factor of "&amp;CARBON_FRACTION_OM&amp;", which has not been calibrated locally. See R1. Reference. ","")&amp;IF(AND(ISNUMBER($O492),$O492=0,ISNUMBER($E492)),"Section lies entirely below the reference depth — it counts to the full-profile stock only. ",""))</f>
        <v/>
      </c>
      <c r="U492" s="14"/>
    </row>
    <row r="493" spans="1:21" ht="15.75" customHeight="1">
      <c r="A493" s="14"/>
      <c r="B493" s="14"/>
      <c r="C493" s="14"/>
      <c r="D493" s="14"/>
      <c r="E493" s="14"/>
      <c r="F493" s="14"/>
      <c r="G493" s="14" t="str">
        <f t="shared" si="50"/>
        <v/>
      </c>
      <c r="H493" s="14"/>
      <c r="I493" s="14"/>
      <c r="J493" s="24"/>
      <c r="K493" s="24"/>
      <c r="L493" s="24"/>
      <c r="M493" s="24"/>
      <c r="N493" s="16" t="str">
        <f t="shared" si="48"/>
        <v/>
      </c>
      <c r="O493" s="16" t="str">
        <f t="shared" si="51"/>
        <v/>
      </c>
      <c r="P493" s="16" t="str">
        <f t="shared" si="52"/>
        <v/>
      </c>
      <c r="Q493" s="16" t="str">
        <f t="shared" si="53"/>
        <v/>
      </c>
      <c r="R493" s="16">
        <f t="shared" si="49"/>
        <v>0</v>
      </c>
      <c r="S493" s="16" t="str">
        <f>IF(OR($B493="",NOT(ISNUMBER($F493))),"",SUMIFS(community_cores_FS!$P$5:$P$597,community_cores_FS!$B$5:$B$597,$B493,community_cores_FS!$F$5:$F$597,"&lt;="&amp;$F493))</f>
        <v/>
      </c>
      <c r="T493" s="16" t="str">
        <f>IF(AND($A493="",$B493="",$E493=""),"",IF(AND($B493&lt;&gt;"",COUNTIF('2. Core Log'!$A$5:$A$124,$B493)=0),"Core ID not in Core Log. ","")&amp;IF(AND($A493&lt;&gt;"",COUNTIF('1. Plot &amp; Site Log'!$A$5:$A$64,$A493)=0),"Plot ID not in Plot &amp; Site Log. ","")&amp;IF(AND(ISNUMBER($E493),ISNUMBER($F493),$F493&lt;=$E493),"Bottom depth is not below top depth. ","")&amp;IF($I493="","Say which bulk-density basis the lab reported. ","")&amp;IF(AND(ISNUMBER($J493),OR($J493&lt;QC_BD_MIN,$J493&gt;QC_BD_MAX)),"Bulk density outside "&amp;QC_BD_MIN&amp;"–"&amp;QC_BD_MAX&amp;" g/cm³ for peat. Above the top of that range usually means the mineral contact has been passed. ","")&amp;IF(AND(ISNUMBER($N493),$N493&gt;QC_CARBON_PCT_MAX),"Carbon above "&amp;QC_CARBON_PCT_MAX&amp;"% — check units; this may be organic matter rather than carbon. ","")&amp;IF(AND($L493&lt;&gt;"",$M493&lt;&gt;""),"Both LOI and measured carbon given — the measured value is used. ","")&amp;IF(AND($M493="",$L493&lt;&gt;"",OM_FACTOR_IS_LOCAL&lt;&gt;"Yes"),"Carbon derived from LOI using the default factor of "&amp;CARBON_FRACTION_OM&amp;", which has not been calibrated locally. See R1. Reference. ","")&amp;IF(AND(ISNUMBER($O493),$O493=0,ISNUMBER($E493)),"Section lies entirely below the reference depth — it counts to the full-profile stock only. ",""))</f>
        <v/>
      </c>
      <c r="U493" s="14"/>
    </row>
    <row r="494" spans="1:21" ht="15.75" customHeight="1">
      <c r="A494" s="14"/>
      <c r="B494" s="14"/>
      <c r="C494" s="14"/>
      <c r="D494" s="14"/>
      <c r="E494" s="14"/>
      <c r="F494" s="14"/>
      <c r="G494" s="14" t="str">
        <f t="shared" si="50"/>
        <v/>
      </c>
      <c r="H494" s="14"/>
      <c r="I494" s="14"/>
      <c r="J494" s="24"/>
      <c r="K494" s="24"/>
      <c r="L494" s="24"/>
      <c r="M494" s="24"/>
      <c r="N494" s="16" t="str">
        <f t="shared" si="48"/>
        <v/>
      </c>
      <c r="O494" s="16" t="str">
        <f t="shared" si="51"/>
        <v/>
      </c>
      <c r="P494" s="16" t="str">
        <f t="shared" si="52"/>
        <v/>
      </c>
      <c r="Q494" s="16" t="str">
        <f t="shared" si="53"/>
        <v/>
      </c>
      <c r="R494" s="16">
        <f t="shared" si="49"/>
        <v>0</v>
      </c>
      <c r="S494" s="16" t="str">
        <f>IF(OR($B494="",NOT(ISNUMBER($F494))),"",SUMIFS(community_cores_FS!$P$5:$P$597,community_cores_FS!$B$5:$B$597,$B494,community_cores_FS!$F$5:$F$597,"&lt;="&amp;$F494))</f>
        <v/>
      </c>
      <c r="T494" s="16" t="str">
        <f>IF(AND($A494="",$B494="",$E494=""),"",IF(AND($B494&lt;&gt;"",COUNTIF('2. Core Log'!$A$5:$A$124,$B494)=0),"Core ID not in Core Log. ","")&amp;IF(AND($A494&lt;&gt;"",COUNTIF('1. Plot &amp; Site Log'!$A$5:$A$64,$A494)=0),"Plot ID not in Plot &amp; Site Log. ","")&amp;IF(AND(ISNUMBER($E494),ISNUMBER($F494),$F494&lt;=$E494),"Bottom depth is not below top depth. ","")&amp;IF($I494="","Say which bulk-density basis the lab reported. ","")&amp;IF(AND(ISNUMBER($J494),OR($J494&lt;QC_BD_MIN,$J494&gt;QC_BD_MAX)),"Bulk density outside "&amp;QC_BD_MIN&amp;"–"&amp;QC_BD_MAX&amp;" g/cm³ for peat. Above the top of that range usually means the mineral contact has been passed. ","")&amp;IF(AND(ISNUMBER($N494),$N494&gt;QC_CARBON_PCT_MAX),"Carbon above "&amp;QC_CARBON_PCT_MAX&amp;"% — check units; this may be organic matter rather than carbon. ","")&amp;IF(AND($L494&lt;&gt;"",$M494&lt;&gt;""),"Both LOI and measured carbon given — the measured value is used. ","")&amp;IF(AND($M494="",$L494&lt;&gt;"",OM_FACTOR_IS_LOCAL&lt;&gt;"Yes"),"Carbon derived from LOI using the default factor of "&amp;CARBON_FRACTION_OM&amp;", which has not been calibrated locally. See R1. Reference. ","")&amp;IF(AND(ISNUMBER($O494),$O494=0,ISNUMBER($E494)),"Section lies entirely below the reference depth — it counts to the full-profile stock only. ",""))</f>
        <v/>
      </c>
      <c r="U494" s="14"/>
    </row>
    <row r="495" spans="1:21" ht="15.75" customHeight="1">
      <c r="A495" s="14"/>
      <c r="B495" s="14"/>
      <c r="C495" s="14"/>
      <c r="D495" s="14"/>
      <c r="E495" s="14"/>
      <c r="F495" s="14"/>
      <c r="G495" s="14" t="str">
        <f t="shared" si="50"/>
        <v/>
      </c>
      <c r="H495" s="14"/>
      <c r="I495" s="14"/>
      <c r="J495" s="24"/>
      <c r="K495" s="24"/>
      <c r="L495" s="24"/>
      <c r="M495" s="24"/>
      <c r="N495" s="16" t="str">
        <f t="shared" si="48"/>
        <v/>
      </c>
      <c r="O495" s="16" t="str">
        <f t="shared" si="51"/>
        <v/>
      </c>
      <c r="P495" s="16" t="str">
        <f t="shared" si="52"/>
        <v/>
      </c>
      <c r="Q495" s="16" t="str">
        <f t="shared" si="53"/>
        <v/>
      </c>
      <c r="R495" s="16">
        <f t="shared" si="49"/>
        <v>0</v>
      </c>
      <c r="S495" s="16" t="str">
        <f>IF(OR($B495="",NOT(ISNUMBER($F495))),"",SUMIFS(community_cores_FS!$P$5:$P$597,community_cores_FS!$B$5:$B$597,$B495,community_cores_FS!$F$5:$F$597,"&lt;="&amp;$F495))</f>
        <v/>
      </c>
      <c r="T495" s="16" t="str">
        <f>IF(AND($A495="",$B495="",$E495=""),"",IF(AND($B495&lt;&gt;"",COUNTIF('2. Core Log'!$A$5:$A$124,$B495)=0),"Core ID not in Core Log. ","")&amp;IF(AND($A495&lt;&gt;"",COUNTIF('1. Plot &amp; Site Log'!$A$5:$A$64,$A495)=0),"Plot ID not in Plot &amp; Site Log. ","")&amp;IF(AND(ISNUMBER($E495),ISNUMBER($F495),$F495&lt;=$E495),"Bottom depth is not below top depth. ","")&amp;IF($I495="","Say which bulk-density basis the lab reported. ","")&amp;IF(AND(ISNUMBER($J495),OR($J495&lt;QC_BD_MIN,$J495&gt;QC_BD_MAX)),"Bulk density outside "&amp;QC_BD_MIN&amp;"–"&amp;QC_BD_MAX&amp;" g/cm³ for peat. Above the top of that range usually means the mineral contact has been passed. ","")&amp;IF(AND(ISNUMBER($N495),$N495&gt;QC_CARBON_PCT_MAX),"Carbon above "&amp;QC_CARBON_PCT_MAX&amp;"% — check units; this may be organic matter rather than carbon. ","")&amp;IF(AND($L495&lt;&gt;"",$M495&lt;&gt;""),"Both LOI and measured carbon given — the measured value is used. ","")&amp;IF(AND($M495="",$L495&lt;&gt;"",OM_FACTOR_IS_LOCAL&lt;&gt;"Yes"),"Carbon derived from LOI using the default factor of "&amp;CARBON_FRACTION_OM&amp;", which has not been calibrated locally. See R1. Reference. ","")&amp;IF(AND(ISNUMBER($O495),$O495=0,ISNUMBER($E495)),"Section lies entirely below the reference depth — it counts to the full-profile stock only. ",""))</f>
        <v/>
      </c>
      <c r="U495" s="14"/>
    </row>
    <row r="496" spans="1:21" ht="15.75" customHeight="1">
      <c r="A496" s="14"/>
      <c r="B496" s="14"/>
      <c r="C496" s="14"/>
      <c r="D496" s="14"/>
      <c r="E496" s="14"/>
      <c r="F496" s="14"/>
      <c r="G496" s="14" t="str">
        <f t="shared" si="50"/>
        <v/>
      </c>
      <c r="H496" s="14"/>
      <c r="I496" s="14"/>
      <c r="J496" s="24"/>
      <c r="K496" s="24"/>
      <c r="L496" s="24"/>
      <c r="M496" s="24"/>
      <c r="N496" s="16" t="str">
        <f t="shared" si="48"/>
        <v/>
      </c>
      <c r="O496" s="16" t="str">
        <f t="shared" si="51"/>
        <v/>
      </c>
      <c r="P496" s="16" t="str">
        <f t="shared" si="52"/>
        <v/>
      </c>
      <c r="Q496" s="16" t="str">
        <f t="shared" si="53"/>
        <v/>
      </c>
      <c r="R496" s="16">
        <f t="shared" si="49"/>
        <v>0</v>
      </c>
      <c r="S496" s="16" t="str">
        <f>IF(OR($B496="",NOT(ISNUMBER($F496))),"",SUMIFS(community_cores_FS!$P$5:$P$597,community_cores_FS!$B$5:$B$597,$B496,community_cores_FS!$F$5:$F$597,"&lt;="&amp;$F496))</f>
        <v/>
      </c>
      <c r="T496" s="16" t="str">
        <f>IF(AND($A496="",$B496="",$E496=""),"",IF(AND($B496&lt;&gt;"",COUNTIF('2. Core Log'!$A$5:$A$124,$B496)=0),"Core ID not in Core Log. ","")&amp;IF(AND($A496&lt;&gt;"",COUNTIF('1. Plot &amp; Site Log'!$A$5:$A$64,$A496)=0),"Plot ID not in Plot &amp; Site Log. ","")&amp;IF(AND(ISNUMBER($E496),ISNUMBER($F496),$F496&lt;=$E496),"Bottom depth is not below top depth. ","")&amp;IF($I496="","Say which bulk-density basis the lab reported. ","")&amp;IF(AND(ISNUMBER($J496),OR($J496&lt;QC_BD_MIN,$J496&gt;QC_BD_MAX)),"Bulk density outside "&amp;QC_BD_MIN&amp;"–"&amp;QC_BD_MAX&amp;" g/cm³ for peat. Above the top of that range usually means the mineral contact has been passed. ","")&amp;IF(AND(ISNUMBER($N496),$N496&gt;QC_CARBON_PCT_MAX),"Carbon above "&amp;QC_CARBON_PCT_MAX&amp;"% — check units; this may be organic matter rather than carbon. ","")&amp;IF(AND($L496&lt;&gt;"",$M496&lt;&gt;""),"Both LOI and measured carbon given — the measured value is used. ","")&amp;IF(AND($M496="",$L496&lt;&gt;"",OM_FACTOR_IS_LOCAL&lt;&gt;"Yes"),"Carbon derived from LOI using the default factor of "&amp;CARBON_FRACTION_OM&amp;", which has not been calibrated locally. See R1. Reference. ","")&amp;IF(AND(ISNUMBER($O496),$O496=0,ISNUMBER($E496)),"Section lies entirely below the reference depth — it counts to the full-profile stock only. ",""))</f>
        <v/>
      </c>
      <c r="U496" s="14"/>
    </row>
    <row r="497" spans="1:21" ht="15.75" customHeight="1">
      <c r="A497" s="14"/>
      <c r="B497" s="14"/>
      <c r="C497" s="14"/>
      <c r="D497" s="14"/>
      <c r="E497" s="14"/>
      <c r="F497" s="14"/>
      <c r="G497" s="14" t="str">
        <f t="shared" si="50"/>
        <v/>
      </c>
      <c r="H497" s="14"/>
      <c r="I497" s="14"/>
      <c r="J497" s="24"/>
      <c r="K497" s="24"/>
      <c r="L497" s="24"/>
      <c r="M497" s="24"/>
      <c r="N497" s="16" t="str">
        <f t="shared" si="48"/>
        <v/>
      </c>
      <c r="O497" s="16" t="str">
        <f t="shared" si="51"/>
        <v/>
      </c>
      <c r="P497" s="16" t="str">
        <f t="shared" si="52"/>
        <v/>
      </c>
      <c r="Q497" s="16" t="str">
        <f t="shared" si="53"/>
        <v/>
      </c>
      <c r="R497" s="16">
        <f t="shared" si="49"/>
        <v>0</v>
      </c>
      <c r="S497" s="16" t="str">
        <f>IF(OR($B497="",NOT(ISNUMBER($F497))),"",SUMIFS(community_cores_FS!$P$5:$P$597,community_cores_FS!$B$5:$B$597,$B497,community_cores_FS!$F$5:$F$597,"&lt;="&amp;$F497))</f>
        <v/>
      </c>
      <c r="T497" s="16" t="str">
        <f>IF(AND($A497="",$B497="",$E497=""),"",IF(AND($B497&lt;&gt;"",COUNTIF('2. Core Log'!$A$5:$A$124,$B497)=0),"Core ID not in Core Log. ","")&amp;IF(AND($A497&lt;&gt;"",COUNTIF('1. Plot &amp; Site Log'!$A$5:$A$64,$A497)=0),"Plot ID not in Plot &amp; Site Log. ","")&amp;IF(AND(ISNUMBER($E497),ISNUMBER($F497),$F497&lt;=$E497),"Bottom depth is not below top depth. ","")&amp;IF($I497="","Say which bulk-density basis the lab reported. ","")&amp;IF(AND(ISNUMBER($J497),OR($J497&lt;QC_BD_MIN,$J497&gt;QC_BD_MAX)),"Bulk density outside "&amp;QC_BD_MIN&amp;"–"&amp;QC_BD_MAX&amp;" g/cm³ for peat. Above the top of that range usually means the mineral contact has been passed. ","")&amp;IF(AND(ISNUMBER($N497),$N497&gt;QC_CARBON_PCT_MAX),"Carbon above "&amp;QC_CARBON_PCT_MAX&amp;"% — check units; this may be organic matter rather than carbon. ","")&amp;IF(AND($L497&lt;&gt;"",$M497&lt;&gt;""),"Both LOI and measured carbon given — the measured value is used. ","")&amp;IF(AND($M497="",$L497&lt;&gt;"",OM_FACTOR_IS_LOCAL&lt;&gt;"Yes"),"Carbon derived from LOI using the default factor of "&amp;CARBON_FRACTION_OM&amp;", which has not been calibrated locally. See R1. Reference. ","")&amp;IF(AND(ISNUMBER($O497),$O497=0,ISNUMBER($E497)),"Section lies entirely below the reference depth — it counts to the full-profile stock only. ",""))</f>
        <v/>
      </c>
      <c r="U497" s="14"/>
    </row>
    <row r="498" spans="1:21" ht="15.75" customHeight="1">
      <c r="A498" s="14"/>
      <c r="B498" s="14"/>
      <c r="C498" s="14"/>
      <c r="D498" s="14"/>
      <c r="E498" s="14"/>
      <c r="F498" s="14"/>
      <c r="G498" s="14" t="str">
        <f t="shared" si="50"/>
        <v/>
      </c>
      <c r="H498" s="14"/>
      <c r="I498" s="14"/>
      <c r="J498" s="24"/>
      <c r="K498" s="24"/>
      <c r="L498" s="24"/>
      <c r="M498" s="24"/>
      <c r="N498" s="16" t="str">
        <f t="shared" si="48"/>
        <v/>
      </c>
      <c r="O498" s="16" t="str">
        <f t="shared" si="51"/>
        <v/>
      </c>
      <c r="P498" s="16" t="str">
        <f t="shared" si="52"/>
        <v/>
      </c>
      <c r="Q498" s="16" t="str">
        <f t="shared" si="53"/>
        <v/>
      </c>
      <c r="R498" s="16">
        <f t="shared" si="49"/>
        <v>0</v>
      </c>
      <c r="S498" s="16" t="str">
        <f>IF(OR($B498="",NOT(ISNUMBER($F498))),"",SUMIFS(community_cores_FS!$P$5:$P$597,community_cores_FS!$B$5:$B$597,$B498,community_cores_FS!$F$5:$F$597,"&lt;="&amp;$F498))</f>
        <v/>
      </c>
      <c r="T498" s="16" t="str">
        <f>IF(AND($A498="",$B498="",$E498=""),"",IF(AND($B498&lt;&gt;"",COUNTIF('2. Core Log'!$A$5:$A$124,$B498)=0),"Core ID not in Core Log. ","")&amp;IF(AND($A498&lt;&gt;"",COUNTIF('1. Plot &amp; Site Log'!$A$5:$A$64,$A498)=0),"Plot ID not in Plot &amp; Site Log. ","")&amp;IF(AND(ISNUMBER($E498),ISNUMBER($F498),$F498&lt;=$E498),"Bottom depth is not below top depth. ","")&amp;IF($I498="","Say which bulk-density basis the lab reported. ","")&amp;IF(AND(ISNUMBER($J498),OR($J498&lt;QC_BD_MIN,$J498&gt;QC_BD_MAX)),"Bulk density outside "&amp;QC_BD_MIN&amp;"–"&amp;QC_BD_MAX&amp;" g/cm³ for peat. Above the top of that range usually means the mineral contact has been passed. ","")&amp;IF(AND(ISNUMBER($N498),$N498&gt;QC_CARBON_PCT_MAX),"Carbon above "&amp;QC_CARBON_PCT_MAX&amp;"% — check units; this may be organic matter rather than carbon. ","")&amp;IF(AND($L498&lt;&gt;"",$M498&lt;&gt;""),"Both LOI and measured carbon given — the measured value is used. ","")&amp;IF(AND($M498="",$L498&lt;&gt;"",OM_FACTOR_IS_LOCAL&lt;&gt;"Yes"),"Carbon derived from LOI using the default factor of "&amp;CARBON_FRACTION_OM&amp;", which has not been calibrated locally. See R1. Reference. ","")&amp;IF(AND(ISNUMBER($O498),$O498=0,ISNUMBER($E498)),"Section lies entirely below the reference depth — it counts to the full-profile stock only. ",""))</f>
        <v/>
      </c>
      <c r="U498" s="14"/>
    </row>
    <row r="499" spans="1:21" ht="15.75" customHeight="1">
      <c r="A499" s="14"/>
      <c r="B499" s="14"/>
      <c r="C499" s="14"/>
      <c r="D499" s="14"/>
      <c r="E499" s="14"/>
      <c r="F499" s="14"/>
      <c r="G499" s="14" t="str">
        <f t="shared" si="50"/>
        <v/>
      </c>
      <c r="H499" s="14"/>
      <c r="I499" s="14"/>
      <c r="J499" s="24"/>
      <c r="K499" s="24"/>
      <c r="L499" s="24"/>
      <c r="M499" s="24"/>
      <c r="N499" s="16" t="str">
        <f t="shared" si="48"/>
        <v/>
      </c>
      <c r="O499" s="16" t="str">
        <f t="shared" si="51"/>
        <v/>
      </c>
      <c r="P499" s="16" t="str">
        <f t="shared" si="52"/>
        <v/>
      </c>
      <c r="Q499" s="16" t="str">
        <f t="shared" si="53"/>
        <v/>
      </c>
      <c r="R499" s="16">
        <f t="shared" si="49"/>
        <v>0</v>
      </c>
      <c r="S499" s="16" t="str">
        <f>IF(OR($B499="",NOT(ISNUMBER($F499))),"",SUMIFS(community_cores_FS!$P$5:$P$597,community_cores_FS!$B$5:$B$597,$B499,community_cores_FS!$F$5:$F$597,"&lt;="&amp;$F499))</f>
        <v/>
      </c>
      <c r="T499" s="16" t="str">
        <f>IF(AND($A499="",$B499="",$E499=""),"",IF(AND($B499&lt;&gt;"",COUNTIF('2. Core Log'!$A$5:$A$124,$B499)=0),"Core ID not in Core Log. ","")&amp;IF(AND($A499&lt;&gt;"",COUNTIF('1. Plot &amp; Site Log'!$A$5:$A$64,$A499)=0),"Plot ID not in Plot &amp; Site Log. ","")&amp;IF(AND(ISNUMBER($E499),ISNUMBER($F499),$F499&lt;=$E499),"Bottom depth is not below top depth. ","")&amp;IF($I499="","Say which bulk-density basis the lab reported. ","")&amp;IF(AND(ISNUMBER($J499),OR($J499&lt;QC_BD_MIN,$J499&gt;QC_BD_MAX)),"Bulk density outside "&amp;QC_BD_MIN&amp;"–"&amp;QC_BD_MAX&amp;" g/cm³ for peat. Above the top of that range usually means the mineral contact has been passed. ","")&amp;IF(AND(ISNUMBER($N499),$N499&gt;QC_CARBON_PCT_MAX),"Carbon above "&amp;QC_CARBON_PCT_MAX&amp;"% — check units; this may be organic matter rather than carbon. ","")&amp;IF(AND($L499&lt;&gt;"",$M499&lt;&gt;""),"Both LOI and measured carbon given — the measured value is used. ","")&amp;IF(AND($M499="",$L499&lt;&gt;"",OM_FACTOR_IS_LOCAL&lt;&gt;"Yes"),"Carbon derived from LOI using the default factor of "&amp;CARBON_FRACTION_OM&amp;", which has not been calibrated locally. See R1. Reference. ","")&amp;IF(AND(ISNUMBER($O499),$O499=0,ISNUMBER($E499)),"Section lies entirely below the reference depth — it counts to the full-profile stock only. ",""))</f>
        <v/>
      </c>
      <c r="U499" s="14"/>
    </row>
    <row r="500" spans="1:21" ht="15.75" customHeight="1">
      <c r="A500" s="14"/>
      <c r="B500" s="14"/>
      <c r="C500" s="14"/>
      <c r="D500" s="14"/>
      <c r="E500" s="14"/>
      <c r="F500" s="14"/>
      <c r="G500" s="14" t="str">
        <f t="shared" si="50"/>
        <v/>
      </c>
      <c r="H500" s="14"/>
      <c r="I500" s="14"/>
      <c r="J500" s="24"/>
      <c r="K500" s="24"/>
      <c r="L500" s="24"/>
      <c r="M500" s="24"/>
      <c r="N500" s="16" t="str">
        <f t="shared" si="48"/>
        <v/>
      </c>
      <c r="O500" s="16" t="str">
        <f t="shared" si="51"/>
        <v/>
      </c>
      <c r="P500" s="16" t="str">
        <f t="shared" si="52"/>
        <v/>
      </c>
      <c r="Q500" s="16" t="str">
        <f t="shared" si="53"/>
        <v/>
      </c>
      <c r="R500" s="16">
        <f t="shared" si="49"/>
        <v>0</v>
      </c>
      <c r="S500" s="16" t="str">
        <f>IF(OR($B500="",NOT(ISNUMBER($F500))),"",SUMIFS(community_cores_FS!$P$5:$P$597,community_cores_FS!$B$5:$B$597,$B500,community_cores_FS!$F$5:$F$597,"&lt;="&amp;$F500))</f>
        <v/>
      </c>
      <c r="T500" s="16" t="str">
        <f>IF(AND($A500="",$B500="",$E500=""),"",IF(AND($B500&lt;&gt;"",COUNTIF('2. Core Log'!$A$5:$A$124,$B500)=0),"Core ID not in Core Log. ","")&amp;IF(AND($A500&lt;&gt;"",COUNTIF('1. Plot &amp; Site Log'!$A$5:$A$64,$A500)=0),"Plot ID not in Plot &amp; Site Log. ","")&amp;IF(AND(ISNUMBER($E500),ISNUMBER($F500),$F500&lt;=$E500),"Bottom depth is not below top depth. ","")&amp;IF($I500="","Say which bulk-density basis the lab reported. ","")&amp;IF(AND(ISNUMBER($J500),OR($J500&lt;QC_BD_MIN,$J500&gt;QC_BD_MAX)),"Bulk density outside "&amp;QC_BD_MIN&amp;"–"&amp;QC_BD_MAX&amp;" g/cm³ for peat. Above the top of that range usually means the mineral contact has been passed. ","")&amp;IF(AND(ISNUMBER($N500),$N500&gt;QC_CARBON_PCT_MAX),"Carbon above "&amp;QC_CARBON_PCT_MAX&amp;"% — check units; this may be organic matter rather than carbon. ","")&amp;IF(AND($L500&lt;&gt;"",$M500&lt;&gt;""),"Both LOI and measured carbon given — the measured value is used. ","")&amp;IF(AND($M500="",$L500&lt;&gt;"",OM_FACTOR_IS_LOCAL&lt;&gt;"Yes"),"Carbon derived from LOI using the default factor of "&amp;CARBON_FRACTION_OM&amp;", which has not been calibrated locally. See R1. Reference. ","")&amp;IF(AND(ISNUMBER($O500),$O500=0,ISNUMBER($E500)),"Section lies entirely below the reference depth — it counts to the full-profile stock only. ",""))</f>
        <v/>
      </c>
      <c r="U500" s="14"/>
    </row>
    <row r="501" spans="1:21" ht="15.75" customHeight="1">
      <c r="A501" s="14"/>
      <c r="B501" s="14"/>
      <c r="C501" s="14"/>
      <c r="D501" s="14"/>
      <c r="E501" s="14"/>
      <c r="F501" s="14"/>
      <c r="G501" s="14" t="str">
        <f t="shared" si="50"/>
        <v/>
      </c>
      <c r="H501" s="14"/>
      <c r="I501" s="14"/>
      <c r="J501" s="24"/>
      <c r="K501" s="24"/>
      <c r="L501" s="24"/>
      <c r="M501" s="24"/>
      <c r="N501" s="16" t="str">
        <f t="shared" si="48"/>
        <v/>
      </c>
      <c r="O501" s="16" t="str">
        <f t="shared" si="51"/>
        <v/>
      </c>
      <c r="P501" s="16" t="str">
        <f t="shared" si="52"/>
        <v/>
      </c>
      <c r="Q501" s="16" t="str">
        <f t="shared" si="53"/>
        <v/>
      </c>
      <c r="R501" s="16">
        <f t="shared" si="49"/>
        <v>0</v>
      </c>
      <c r="S501" s="16" t="str">
        <f>IF(OR($B501="",NOT(ISNUMBER($F501))),"",SUMIFS(community_cores_FS!$P$5:$P$597,community_cores_FS!$B$5:$B$597,$B501,community_cores_FS!$F$5:$F$597,"&lt;="&amp;$F501))</f>
        <v/>
      </c>
      <c r="T501" s="16" t="str">
        <f>IF(AND($A501="",$B501="",$E501=""),"",IF(AND($B501&lt;&gt;"",COUNTIF('2. Core Log'!$A$5:$A$124,$B501)=0),"Core ID not in Core Log. ","")&amp;IF(AND($A501&lt;&gt;"",COUNTIF('1. Plot &amp; Site Log'!$A$5:$A$64,$A501)=0),"Plot ID not in Plot &amp; Site Log. ","")&amp;IF(AND(ISNUMBER($E501),ISNUMBER($F501),$F501&lt;=$E501),"Bottom depth is not below top depth. ","")&amp;IF($I501="","Say which bulk-density basis the lab reported. ","")&amp;IF(AND(ISNUMBER($J501),OR($J501&lt;QC_BD_MIN,$J501&gt;QC_BD_MAX)),"Bulk density outside "&amp;QC_BD_MIN&amp;"–"&amp;QC_BD_MAX&amp;" g/cm³ for peat. Above the top of that range usually means the mineral contact has been passed. ","")&amp;IF(AND(ISNUMBER($N501),$N501&gt;QC_CARBON_PCT_MAX),"Carbon above "&amp;QC_CARBON_PCT_MAX&amp;"% — check units; this may be organic matter rather than carbon. ","")&amp;IF(AND($L501&lt;&gt;"",$M501&lt;&gt;""),"Both LOI and measured carbon given — the measured value is used. ","")&amp;IF(AND($M501="",$L501&lt;&gt;"",OM_FACTOR_IS_LOCAL&lt;&gt;"Yes"),"Carbon derived from LOI using the default factor of "&amp;CARBON_FRACTION_OM&amp;", which has not been calibrated locally. See R1. Reference. ","")&amp;IF(AND(ISNUMBER($O501),$O501=0,ISNUMBER($E501)),"Section lies entirely below the reference depth — it counts to the full-profile stock only. ",""))</f>
        <v/>
      </c>
      <c r="U501" s="14"/>
    </row>
    <row r="502" spans="1:21" ht="15.75" customHeight="1">
      <c r="A502" s="14"/>
      <c r="B502" s="14"/>
      <c r="C502" s="14"/>
      <c r="D502" s="14"/>
      <c r="E502" s="14"/>
      <c r="F502" s="14"/>
      <c r="G502" s="14" t="str">
        <f t="shared" si="50"/>
        <v/>
      </c>
      <c r="H502" s="14"/>
      <c r="I502" s="14"/>
      <c r="J502" s="24"/>
      <c r="K502" s="24"/>
      <c r="L502" s="24"/>
      <c r="M502" s="24"/>
      <c r="N502" s="16" t="str">
        <f t="shared" si="48"/>
        <v/>
      </c>
      <c r="O502" s="16" t="str">
        <f t="shared" si="51"/>
        <v/>
      </c>
      <c r="P502" s="16" t="str">
        <f t="shared" si="52"/>
        <v/>
      </c>
      <c r="Q502" s="16" t="str">
        <f t="shared" si="53"/>
        <v/>
      </c>
      <c r="R502" s="16">
        <f t="shared" si="49"/>
        <v>0</v>
      </c>
      <c r="S502" s="16" t="str">
        <f>IF(OR($B502="",NOT(ISNUMBER($F502))),"",SUMIFS(community_cores_FS!$P$5:$P$597,community_cores_FS!$B$5:$B$597,$B502,community_cores_FS!$F$5:$F$597,"&lt;="&amp;$F502))</f>
        <v/>
      </c>
      <c r="T502" s="16" t="str">
        <f>IF(AND($A502="",$B502="",$E502=""),"",IF(AND($B502&lt;&gt;"",COUNTIF('2. Core Log'!$A$5:$A$124,$B502)=0),"Core ID not in Core Log. ","")&amp;IF(AND($A502&lt;&gt;"",COUNTIF('1. Plot &amp; Site Log'!$A$5:$A$64,$A502)=0),"Plot ID not in Plot &amp; Site Log. ","")&amp;IF(AND(ISNUMBER($E502),ISNUMBER($F502),$F502&lt;=$E502),"Bottom depth is not below top depth. ","")&amp;IF($I502="","Say which bulk-density basis the lab reported. ","")&amp;IF(AND(ISNUMBER($J502),OR($J502&lt;QC_BD_MIN,$J502&gt;QC_BD_MAX)),"Bulk density outside "&amp;QC_BD_MIN&amp;"–"&amp;QC_BD_MAX&amp;" g/cm³ for peat. Above the top of that range usually means the mineral contact has been passed. ","")&amp;IF(AND(ISNUMBER($N502),$N502&gt;QC_CARBON_PCT_MAX),"Carbon above "&amp;QC_CARBON_PCT_MAX&amp;"% — check units; this may be organic matter rather than carbon. ","")&amp;IF(AND($L502&lt;&gt;"",$M502&lt;&gt;""),"Both LOI and measured carbon given — the measured value is used. ","")&amp;IF(AND($M502="",$L502&lt;&gt;"",OM_FACTOR_IS_LOCAL&lt;&gt;"Yes"),"Carbon derived from LOI using the default factor of "&amp;CARBON_FRACTION_OM&amp;", which has not been calibrated locally. See R1. Reference. ","")&amp;IF(AND(ISNUMBER($O502),$O502=0,ISNUMBER($E502)),"Section lies entirely below the reference depth — it counts to the full-profile stock only. ",""))</f>
        <v/>
      </c>
      <c r="U502" s="14"/>
    </row>
    <row r="503" spans="1:21" ht="15.75" customHeight="1">
      <c r="A503" s="14"/>
      <c r="B503" s="14"/>
      <c r="C503" s="14"/>
      <c r="D503" s="14"/>
      <c r="E503" s="14"/>
      <c r="F503" s="14"/>
      <c r="G503" s="14" t="str">
        <f t="shared" si="50"/>
        <v/>
      </c>
      <c r="H503" s="14"/>
      <c r="I503" s="14"/>
      <c r="J503" s="24"/>
      <c r="K503" s="24"/>
      <c r="L503" s="24"/>
      <c r="M503" s="24"/>
      <c r="N503" s="16" t="str">
        <f t="shared" si="48"/>
        <v/>
      </c>
      <c r="O503" s="16" t="str">
        <f t="shared" si="51"/>
        <v/>
      </c>
      <c r="P503" s="16" t="str">
        <f t="shared" si="52"/>
        <v/>
      </c>
      <c r="Q503" s="16" t="str">
        <f t="shared" si="53"/>
        <v/>
      </c>
      <c r="R503" s="16">
        <f t="shared" si="49"/>
        <v>0</v>
      </c>
      <c r="S503" s="16" t="str">
        <f>IF(OR($B503="",NOT(ISNUMBER($F503))),"",SUMIFS(community_cores_FS!$P$5:$P$597,community_cores_FS!$B$5:$B$597,$B503,community_cores_FS!$F$5:$F$597,"&lt;="&amp;$F503))</f>
        <v/>
      </c>
      <c r="T503" s="16" t="str">
        <f>IF(AND($A503="",$B503="",$E503=""),"",IF(AND($B503&lt;&gt;"",COUNTIF('2. Core Log'!$A$5:$A$124,$B503)=0),"Core ID not in Core Log. ","")&amp;IF(AND($A503&lt;&gt;"",COUNTIF('1. Plot &amp; Site Log'!$A$5:$A$64,$A503)=0),"Plot ID not in Plot &amp; Site Log. ","")&amp;IF(AND(ISNUMBER($E503),ISNUMBER($F503),$F503&lt;=$E503),"Bottom depth is not below top depth. ","")&amp;IF($I503="","Say which bulk-density basis the lab reported. ","")&amp;IF(AND(ISNUMBER($J503),OR($J503&lt;QC_BD_MIN,$J503&gt;QC_BD_MAX)),"Bulk density outside "&amp;QC_BD_MIN&amp;"–"&amp;QC_BD_MAX&amp;" g/cm³ for peat. Above the top of that range usually means the mineral contact has been passed. ","")&amp;IF(AND(ISNUMBER($N503),$N503&gt;QC_CARBON_PCT_MAX),"Carbon above "&amp;QC_CARBON_PCT_MAX&amp;"% — check units; this may be organic matter rather than carbon. ","")&amp;IF(AND($L503&lt;&gt;"",$M503&lt;&gt;""),"Both LOI and measured carbon given — the measured value is used. ","")&amp;IF(AND($M503="",$L503&lt;&gt;"",OM_FACTOR_IS_LOCAL&lt;&gt;"Yes"),"Carbon derived from LOI using the default factor of "&amp;CARBON_FRACTION_OM&amp;", which has not been calibrated locally. See R1. Reference. ","")&amp;IF(AND(ISNUMBER($O503),$O503=0,ISNUMBER($E503)),"Section lies entirely below the reference depth — it counts to the full-profile stock only. ",""))</f>
        <v/>
      </c>
      <c r="U503" s="14"/>
    </row>
    <row r="504" spans="1:21" ht="15.75" customHeight="1">
      <c r="A504" s="14"/>
      <c r="B504" s="14"/>
      <c r="C504" s="14"/>
      <c r="D504" s="14"/>
      <c r="E504" s="14"/>
      <c r="F504" s="14"/>
      <c r="G504" s="14" t="str">
        <f t="shared" si="50"/>
        <v/>
      </c>
      <c r="H504" s="14"/>
      <c r="I504" s="14"/>
      <c r="J504" s="24"/>
      <c r="K504" s="24"/>
      <c r="L504" s="24"/>
      <c r="M504" s="24"/>
      <c r="N504" s="16" t="str">
        <f t="shared" si="48"/>
        <v/>
      </c>
      <c r="O504" s="16" t="str">
        <f t="shared" si="51"/>
        <v/>
      </c>
      <c r="P504" s="16" t="str">
        <f t="shared" si="52"/>
        <v/>
      </c>
      <c r="Q504" s="16" t="str">
        <f t="shared" si="53"/>
        <v/>
      </c>
      <c r="R504" s="16">
        <f t="shared" si="49"/>
        <v>0</v>
      </c>
      <c r="S504" s="16" t="str">
        <f>IF(OR($B504="",NOT(ISNUMBER($F504))),"",SUMIFS(community_cores_FS!$P$5:$P$597,community_cores_FS!$B$5:$B$597,$B504,community_cores_FS!$F$5:$F$597,"&lt;="&amp;$F504))</f>
        <v/>
      </c>
      <c r="T504" s="16" t="str">
        <f>IF(AND($A504="",$B504="",$E504=""),"",IF(AND($B504&lt;&gt;"",COUNTIF('2. Core Log'!$A$5:$A$124,$B504)=0),"Core ID not in Core Log. ","")&amp;IF(AND($A504&lt;&gt;"",COUNTIF('1. Plot &amp; Site Log'!$A$5:$A$64,$A504)=0),"Plot ID not in Plot &amp; Site Log. ","")&amp;IF(AND(ISNUMBER($E504),ISNUMBER($F504),$F504&lt;=$E504),"Bottom depth is not below top depth. ","")&amp;IF($I504="","Say which bulk-density basis the lab reported. ","")&amp;IF(AND(ISNUMBER($J504),OR($J504&lt;QC_BD_MIN,$J504&gt;QC_BD_MAX)),"Bulk density outside "&amp;QC_BD_MIN&amp;"–"&amp;QC_BD_MAX&amp;" g/cm³ for peat. Above the top of that range usually means the mineral contact has been passed. ","")&amp;IF(AND(ISNUMBER($N504),$N504&gt;QC_CARBON_PCT_MAX),"Carbon above "&amp;QC_CARBON_PCT_MAX&amp;"% — check units; this may be organic matter rather than carbon. ","")&amp;IF(AND($L504&lt;&gt;"",$M504&lt;&gt;""),"Both LOI and measured carbon given — the measured value is used. ","")&amp;IF(AND($M504="",$L504&lt;&gt;"",OM_FACTOR_IS_LOCAL&lt;&gt;"Yes"),"Carbon derived from LOI using the default factor of "&amp;CARBON_FRACTION_OM&amp;", which has not been calibrated locally. See R1. Reference. ","")&amp;IF(AND(ISNUMBER($O504),$O504=0,ISNUMBER($E504)),"Section lies entirely below the reference depth — it counts to the full-profile stock only. ",""))</f>
        <v/>
      </c>
      <c r="U504" s="14"/>
    </row>
    <row r="505" spans="1:21" ht="15.75" customHeight="1">
      <c r="A505" s="14"/>
      <c r="B505" s="14"/>
      <c r="C505" s="14"/>
      <c r="D505" s="14"/>
      <c r="E505" s="14"/>
      <c r="F505" s="14"/>
      <c r="G505" s="14" t="str">
        <f t="shared" si="50"/>
        <v/>
      </c>
      <c r="H505" s="14"/>
      <c r="I505" s="14"/>
      <c r="J505" s="24"/>
      <c r="K505" s="24"/>
      <c r="L505" s="24"/>
      <c r="M505" s="24"/>
      <c r="N505" s="16" t="str">
        <f t="shared" si="48"/>
        <v/>
      </c>
      <c r="O505" s="16" t="str">
        <f t="shared" si="51"/>
        <v/>
      </c>
      <c r="P505" s="16" t="str">
        <f t="shared" si="52"/>
        <v/>
      </c>
      <c r="Q505" s="16" t="str">
        <f t="shared" si="53"/>
        <v/>
      </c>
      <c r="R505" s="16">
        <f t="shared" si="49"/>
        <v>0</v>
      </c>
      <c r="S505" s="16" t="str">
        <f>IF(OR($B505="",NOT(ISNUMBER($F505))),"",SUMIFS(community_cores_FS!$P$5:$P$597,community_cores_FS!$B$5:$B$597,$B505,community_cores_FS!$F$5:$F$597,"&lt;="&amp;$F505))</f>
        <v/>
      </c>
      <c r="T505" s="16" t="str">
        <f>IF(AND($A505="",$B505="",$E505=""),"",IF(AND($B505&lt;&gt;"",COUNTIF('2. Core Log'!$A$5:$A$124,$B505)=0),"Core ID not in Core Log. ","")&amp;IF(AND($A505&lt;&gt;"",COUNTIF('1. Plot &amp; Site Log'!$A$5:$A$64,$A505)=0),"Plot ID not in Plot &amp; Site Log. ","")&amp;IF(AND(ISNUMBER($E505),ISNUMBER($F505),$F505&lt;=$E505),"Bottom depth is not below top depth. ","")&amp;IF($I505="","Say which bulk-density basis the lab reported. ","")&amp;IF(AND(ISNUMBER($J505),OR($J505&lt;QC_BD_MIN,$J505&gt;QC_BD_MAX)),"Bulk density outside "&amp;QC_BD_MIN&amp;"–"&amp;QC_BD_MAX&amp;" g/cm³ for peat. Above the top of that range usually means the mineral contact has been passed. ","")&amp;IF(AND(ISNUMBER($N505),$N505&gt;QC_CARBON_PCT_MAX),"Carbon above "&amp;QC_CARBON_PCT_MAX&amp;"% — check units; this may be organic matter rather than carbon. ","")&amp;IF(AND($L505&lt;&gt;"",$M505&lt;&gt;""),"Both LOI and measured carbon given — the measured value is used. ","")&amp;IF(AND($M505="",$L505&lt;&gt;"",OM_FACTOR_IS_LOCAL&lt;&gt;"Yes"),"Carbon derived from LOI using the default factor of "&amp;CARBON_FRACTION_OM&amp;", which has not been calibrated locally. See R1. Reference. ","")&amp;IF(AND(ISNUMBER($O505),$O505=0,ISNUMBER($E505)),"Section lies entirely below the reference depth — it counts to the full-profile stock only. ",""))</f>
        <v/>
      </c>
      <c r="U505" s="14"/>
    </row>
    <row r="506" spans="1:21" ht="15.75" customHeight="1">
      <c r="A506" s="14"/>
      <c r="B506" s="14"/>
      <c r="C506" s="14"/>
      <c r="D506" s="14"/>
      <c r="E506" s="14"/>
      <c r="F506" s="14"/>
      <c r="G506" s="14" t="str">
        <f t="shared" si="50"/>
        <v/>
      </c>
      <c r="H506" s="14"/>
      <c r="I506" s="14"/>
      <c r="J506" s="24"/>
      <c r="K506" s="24"/>
      <c r="L506" s="24"/>
      <c r="M506" s="24"/>
      <c r="N506" s="16" t="str">
        <f t="shared" si="48"/>
        <v/>
      </c>
      <c r="O506" s="16" t="str">
        <f t="shared" si="51"/>
        <v/>
      </c>
      <c r="P506" s="16" t="str">
        <f t="shared" si="52"/>
        <v/>
      </c>
      <c r="Q506" s="16" t="str">
        <f t="shared" si="53"/>
        <v/>
      </c>
      <c r="R506" s="16">
        <f t="shared" si="49"/>
        <v>0</v>
      </c>
      <c r="S506" s="16" t="str">
        <f>IF(OR($B506="",NOT(ISNUMBER($F506))),"",SUMIFS(community_cores_FS!$P$5:$P$597,community_cores_FS!$B$5:$B$597,$B506,community_cores_FS!$F$5:$F$597,"&lt;="&amp;$F506))</f>
        <v/>
      </c>
      <c r="T506" s="16" t="str">
        <f>IF(AND($A506="",$B506="",$E506=""),"",IF(AND($B506&lt;&gt;"",COUNTIF('2. Core Log'!$A$5:$A$124,$B506)=0),"Core ID not in Core Log. ","")&amp;IF(AND($A506&lt;&gt;"",COUNTIF('1. Plot &amp; Site Log'!$A$5:$A$64,$A506)=0),"Plot ID not in Plot &amp; Site Log. ","")&amp;IF(AND(ISNUMBER($E506),ISNUMBER($F506),$F506&lt;=$E506),"Bottom depth is not below top depth. ","")&amp;IF($I506="","Say which bulk-density basis the lab reported. ","")&amp;IF(AND(ISNUMBER($J506),OR($J506&lt;QC_BD_MIN,$J506&gt;QC_BD_MAX)),"Bulk density outside "&amp;QC_BD_MIN&amp;"–"&amp;QC_BD_MAX&amp;" g/cm³ for peat. Above the top of that range usually means the mineral contact has been passed. ","")&amp;IF(AND(ISNUMBER($N506),$N506&gt;QC_CARBON_PCT_MAX),"Carbon above "&amp;QC_CARBON_PCT_MAX&amp;"% — check units; this may be organic matter rather than carbon. ","")&amp;IF(AND($L506&lt;&gt;"",$M506&lt;&gt;""),"Both LOI and measured carbon given — the measured value is used. ","")&amp;IF(AND($M506="",$L506&lt;&gt;"",OM_FACTOR_IS_LOCAL&lt;&gt;"Yes"),"Carbon derived from LOI using the default factor of "&amp;CARBON_FRACTION_OM&amp;", which has not been calibrated locally. See R1. Reference. ","")&amp;IF(AND(ISNUMBER($O506),$O506=0,ISNUMBER($E506)),"Section lies entirely below the reference depth — it counts to the full-profile stock only. ",""))</f>
        <v/>
      </c>
      <c r="U506" s="14"/>
    </row>
    <row r="507" spans="1:21" ht="15.75" customHeight="1">
      <c r="A507" s="14"/>
      <c r="B507" s="14"/>
      <c r="C507" s="14"/>
      <c r="D507" s="14"/>
      <c r="E507" s="14"/>
      <c r="F507" s="14"/>
      <c r="G507" s="14" t="str">
        <f t="shared" si="50"/>
        <v/>
      </c>
      <c r="H507" s="14"/>
      <c r="I507" s="14"/>
      <c r="J507" s="24"/>
      <c r="K507" s="24"/>
      <c r="L507" s="24"/>
      <c r="M507" s="24"/>
      <c r="N507" s="16" t="str">
        <f t="shared" si="48"/>
        <v/>
      </c>
      <c r="O507" s="16" t="str">
        <f t="shared" si="51"/>
        <v/>
      </c>
      <c r="P507" s="16" t="str">
        <f t="shared" si="52"/>
        <v/>
      </c>
      <c r="Q507" s="16" t="str">
        <f t="shared" si="53"/>
        <v/>
      </c>
      <c r="R507" s="16">
        <f t="shared" si="49"/>
        <v>0</v>
      </c>
      <c r="S507" s="16" t="str">
        <f>IF(OR($B507="",NOT(ISNUMBER($F507))),"",SUMIFS(community_cores_FS!$P$5:$P$597,community_cores_FS!$B$5:$B$597,$B507,community_cores_FS!$F$5:$F$597,"&lt;="&amp;$F507))</f>
        <v/>
      </c>
      <c r="T507" s="16" t="str">
        <f>IF(AND($A507="",$B507="",$E507=""),"",IF(AND($B507&lt;&gt;"",COUNTIF('2. Core Log'!$A$5:$A$124,$B507)=0),"Core ID not in Core Log. ","")&amp;IF(AND($A507&lt;&gt;"",COUNTIF('1. Plot &amp; Site Log'!$A$5:$A$64,$A507)=0),"Plot ID not in Plot &amp; Site Log. ","")&amp;IF(AND(ISNUMBER($E507),ISNUMBER($F507),$F507&lt;=$E507),"Bottom depth is not below top depth. ","")&amp;IF($I507="","Say which bulk-density basis the lab reported. ","")&amp;IF(AND(ISNUMBER($J507),OR($J507&lt;QC_BD_MIN,$J507&gt;QC_BD_MAX)),"Bulk density outside "&amp;QC_BD_MIN&amp;"–"&amp;QC_BD_MAX&amp;" g/cm³ for peat. Above the top of that range usually means the mineral contact has been passed. ","")&amp;IF(AND(ISNUMBER($N507),$N507&gt;QC_CARBON_PCT_MAX),"Carbon above "&amp;QC_CARBON_PCT_MAX&amp;"% — check units; this may be organic matter rather than carbon. ","")&amp;IF(AND($L507&lt;&gt;"",$M507&lt;&gt;""),"Both LOI and measured carbon given — the measured value is used. ","")&amp;IF(AND($M507="",$L507&lt;&gt;"",OM_FACTOR_IS_LOCAL&lt;&gt;"Yes"),"Carbon derived from LOI using the default factor of "&amp;CARBON_FRACTION_OM&amp;", which has not been calibrated locally. See R1. Reference. ","")&amp;IF(AND(ISNUMBER($O507),$O507=0,ISNUMBER($E507)),"Section lies entirely below the reference depth — it counts to the full-profile stock only. ",""))</f>
        <v/>
      </c>
      <c r="U507" s="14"/>
    </row>
    <row r="508" spans="1:21" ht="15.75" customHeight="1">
      <c r="A508" s="14"/>
      <c r="B508" s="14"/>
      <c r="C508" s="14"/>
      <c r="D508" s="14"/>
      <c r="E508" s="14"/>
      <c r="F508" s="14"/>
      <c r="G508" s="14" t="str">
        <f t="shared" si="50"/>
        <v/>
      </c>
      <c r="H508" s="14"/>
      <c r="I508" s="14"/>
      <c r="J508" s="24"/>
      <c r="K508" s="24"/>
      <c r="L508" s="24"/>
      <c r="M508" s="24"/>
      <c r="N508" s="16" t="str">
        <f t="shared" si="48"/>
        <v/>
      </c>
      <c r="O508" s="16" t="str">
        <f t="shared" si="51"/>
        <v/>
      </c>
      <c r="P508" s="16" t="str">
        <f t="shared" si="52"/>
        <v/>
      </c>
      <c r="Q508" s="16" t="str">
        <f t="shared" si="53"/>
        <v/>
      </c>
      <c r="R508" s="16">
        <f t="shared" si="49"/>
        <v>0</v>
      </c>
      <c r="S508" s="16" t="str">
        <f>IF(OR($B508="",NOT(ISNUMBER($F508))),"",SUMIFS(community_cores_FS!$P$5:$P$597,community_cores_FS!$B$5:$B$597,$B508,community_cores_FS!$F$5:$F$597,"&lt;="&amp;$F508))</f>
        <v/>
      </c>
      <c r="T508" s="16" t="str">
        <f>IF(AND($A508="",$B508="",$E508=""),"",IF(AND($B508&lt;&gt;"",COUNTIF('2. Core Log'!$A$5:$A$124,$B508)=0),"Core ID not in Core Log. ","")&amp;IF(AND($A508&lt;&gt;"",COUNTIF('1. Plot &amp; Site Log'!$A$5:$A$64,$A508)=0),"Plot ID not in Plot &amp; Site Log. ","")&amp;IF(AND(ISNUMBER($E508),ISNUMBER($F508),$F508&lt;=$E508),"Bottom depth is not below top depth. ","")&amp;IF($I508="","Say which bulk-density basis the lab reported. ","")&amp;IF(AND(ISNUMBER($J508),OR($J508&lt;QC_BD_MIN,$J508&gt;QC_BD_MAX)),"Bulk density outside "&amp;QC_BD_MIN&amp;"–"&amp;QC_BD_MAX&amp;" g/cm³ for peat. Above the top of that range usually means the mineral contact has been passed. ","")&amp;IF(AND(ISNUMBER($N508),$N508&gt;QC_CARBON_PCT_MAX),"Carbon above "&amp;QC_CARBON_PCT_MAX&amp;"% — check units; this may be organic matter rather than carbon. ","")&amp;IF(AND($L508&lt;&gt;"",$M508&lt;&gt;""),"Both LOI and measured carbon given — the measured value is used. ","")&amp;IF(AND($M508="",$L508&lt;&gt;"",OM_FACTOR_IS_LOCAL&lt;&gt;"Yes"),"Carbon derived from LOI using the default factor of "&amp;CARBON_FRACTION_OM&amp;", which has not been calibrated locally. See R1. Reference. ","")&amp;IF(AND(ISNUMBER($O508),$O508=0,ISNUMBER($E508)),"Section lies entirely below the reference depth — it counts to the full-profile stock only. ",""))</f>
        <v/>
      </c>
      <c r="U508" s="14"/>
    </row>
    <row r="509" spans="1:21" ht="15.75" customHeight="1">
      <c r="A509" s="14"/>
      <c r="B509" s="14"/>
      <c r="C509" s="14"/>
      <c r="D509" s="14"/>
      <c r="E509" s="14"/>
      <c r="F509" s="14"/>
      <c r="G509" s="14" t="str">
        <f t="shared" si="50"/>
        <v/>
      </c>
      <c r="H509" s="14"/>
      <c r="I509" s="14"/>
      <c r="J509" s="24"/>
      <c r="K509" s="24"/>
      <c r="L509" s="24"/>
      <c r="M509" s="24"/>
      <c r="N509" s="16" t="str">
        <f t="shared" si="48"/>
        <v/>
      </c>
      <c r="O509" s="16" t="str">
        <f t="shared" si="51"/>
        <v/>
      </c>
      <c r="P509" s="16" t="str">
        <f t="shared" si="52"/>
        <v/>
      </c>
      <c r="Q509" s="16" t="str">
        <f t="shared" si="53"/>
        <v/>
      </c>
      <c r="R509" s="16">
        <f t="shared" si="49"/>
        <v>0</v>
      </c>
      <c r="S509" s="16" t="str">
        <f>IF(OR($B509="",NOT(ISNUMBER($F509))),"",SUMIFS(community_cores_FS!$P$5:$P$597,community_cores_FS!$B$5:$B$597,$B509,community_cores_FS!$F$5:$F$597,"&lt;="&amp;$F509))</f>
        <v/>
      </c>
      <c r="T509" s="16" t="str">
        <f>IF(AND($A509="",$B509="",$E509=""),"",IF(AND($B509&lt;&gt;"",COUNTIF('2. Core Log'!$A$5:$A$124,$B509)=0),"Core ID not in Core Log. ","")&amp;IF(AND($A509&lt;&gt;"",COUNTIF('1. Plot &amp; Site Log'!$A$5:$A$64,$A509)=0),"Plot ID not in Plot &amp; Site Log. ","")&amp;IF(AND(ISNUMBER($E509),ISNUMBER($F509),$F509&lt;=$E509),"Bottom depth is not below top depth. ","")&amp;IF($I509="","Say which bulk-density basis the lab reported. ","")&amp;IF(AND(ISNUMBER($J509),OR($J509&lt;QC_BD_MIN,$J509&gt;QC_BD_MAX)),"Bulk density outside "&amp;QC_BD_MIN&amp;"–"&amp;QC_BD_MAX&amp;" g/cm³ for peat. Above the top of that range usually means the mineral contact has been passed. ","")&amp;IF(AND(ISNUMBER($N509),$N509&gt;QC_CARBON_PCT_MAX),"Carbon above "&amp;QC_CARBON_PCT_MAX&amp;"% — check units; this may be organic matter rather than carbon. ","")&amp;IF(AND($L509&lt;&gt;"",$M509&lt;&gt;""),"Both LOI and measured carbon given — the measured value is used. ","")&amp;IF(AND($M509="",$L509&lt;&gt;"",OM_FACTOR_IS_LOCAL&lt;&gt;"Yes"),"Carbon derived from LOI using the default factor of "&amp;CARBON_FRACTION_OM&amp;", which has not been calibrated locally. See R1. Reference. ","")&amp;IF(AND(ISNUMBER($O509),$O509=0,ISNUMBER($E509)),"Section lies entirely below the reference depth — it counts to the full-profile stock only. ",""))</f>
        <v/>
      </c>
      <c r="U509" s="14"/>
    </row>
    <row r="510" spans="1:21" ht="15.75" customHeight="1">
      <c r="A510" s="14"/>
      <c r="B510" s="14"/>
      <c r="C510" s="14"/>
      <c r="D510" s="14"/>
      <c r="E510" s="14"/>
      <c r="F510" s="14"/>
      <c r="G510" s="14" t="str">
        <f t="shared" si="50"/>
        <v/>
      </c>
      <c r="H510" s="14"/>
      <c r="I510" s="14"/>
      <c r="J510" s="24"/>
      <c r="K510" s="24"/>
      <c r="L510" s="24"/>
      <c r="M510" s="24"/>
      <c r="N510" s="16" t="str">
        <f t="shared" ref="N510:N573" si="54">IF($M510&lt;&gt;"",$M510,IF($L510&lt;&gt;"",$L510*CARBON_FRACTION_OM,""))</f>
        <v/>
      </c>
      <c r="O510" s="16" t="str">
        <f t="shared" si="51"/>
        <v/>
      </c>
      <c r="P510" s="16" t="str">
        <f t="shared" si="52"/>
        <v/>
      </c>
      <c r="Q510" s="16" t="str">
        <f t="shared" si="53"/>
        <v/>
      </c>
      <c r="R510" s="16">
        <f t="shared" ref="R510:R573" si="55">IF(OR(NOT(ISNUMBER($P510)),NOT(ISNUMBER($G510)),$G510=0),0,$P510/$G510)</f>
        <v>0</v>
      </c>
      <c r="S510" s="16" t="str">
        <f>IF(OR($B510="",NOT(ISNUMBER($F510))),"",SUMIFS(community_cores_FS!$P$5:$P$597,community_cores_FS!$B$5:$B$597,$B510,community_cores_FS!$F$5:$F$597,"&lt;="&amp;$F510))</f>
        <v/>
      </c>
      <c r="T510" s="16" t="str">
        <f>IF(AND($A510="",$B510="",$E510=""),"",IF(AND($B510&lt;&gt;"",COUNTIF('2. Core Log'!$A$5:$A$124,$B510)=0),"Core ID not in Core Log. ","")&amp;IF(AND($A510&lt;&gt;"",COUNTIF('1. Plot &amp; Site Log'!$A$5:$A$64,$A510)=0),"Plot ID not in Plot &amp; Site Log. ","")&amp;IF(AND(ISNUMBER($E510),ISNUMBER($F510),$F510&lt;=$E510),"Bottom depth is not below top depth. ","")&amp;IF($I510="","Say which bulk-density basis the lab reported. ","")&amp;IF(AND(ISNUMBER($J510),OR($J510&lt;QC_BD_MIN,$J510&gt;QC_BD_MAX)),"Bulk density outside "&amp;QC_BD_MIN&amp;"–"&amp;QC_BD_MAX&amp;" g/cm³ for peat. Above the top of that range usually means the mineral contact has been passed. ","")&amp;IF(AND(ISNUMBER($N510),$N510&gt;QC_CARBON_PCT_MAX),"Carbon above "&amp;QC_CARBON_PCT_MAX&amp;"% — check units; this may be organic matter rather than carbon. ","")&amp;IF(AND($L510&lt;&gt;"",$M510&lt;&gt;""),"Both LOI and measured carbon given — the measured value is used. ","")&amp;IF(AND($M510="",$L510&lt;&gt;"",OM_FACTOR_IS_LOCAL&lt;&gt;"Yes"),"Carbon derived from LOI using the default factor of "&amp;CARBON_FRACTION_OM&amp;", which has not been calibrated locally. See R1. Reference. ","")&amp;IF(AND(ISNUMBER($O510),$O510=0,ISNUMBER($E510)),"Section lies entirely below the reference depth — it counts to the full-profile stock only. ",""))</f>
        <v/>
      </c>
      <c r="U510" s="14"/>
    </row>
    <row r="511" spans="1:21" ht="15.75" customHeight="1">
      <c r="A511" s="14"/>
      <c r="B511" s="14"/>
      <c r="C511" s="14"/>
      <c r="D511" s="14"/>
      <c r="E511" s="14"/>
      <c r="F511" s="14"/>
      <c r="G511" s="14" t="str">
        <f t="shared" si="50"/>
        <v/>
      </c>
      <c r="H511" s="14"/>
      <c r="I511" s="14"/>
      <c r="J511" s="24"/>
      <c r="K511" s="24"/>
      <c r="L511" s="24"/>
      <c r="M511" s="24"/>
      <c r="N511" s="16" t="str">
        <f t="shared" si="54"/>
        <v/>
      </c>
      <c r="O511" s="16" t="str">
        <f t="shared" si="51"/>
        <v/>
      </c>
      <c r="P511" s="16" t="str">
        <f t="shared" si="52"/>
        <v/>
      </c>
      <c r="Q511" s="16" t="str">
        <f t="shared" si="53"/>
        <v/>
      </c>
      <c r="R511" s="16">
        <f t="shared" si="55"/>
        <v>0</v>
      </c>
      <c r="S511" s="16" t="str">
        <f>IF(OR($B511="",NOT(ISNUMBER($F511))),"",SUMIFS(community_cores_FS!$P$5:$P$597,community_cores_FS!$B$5:$B$597,$B511,community_cores_FS!$F$5:$F$597,"&lt;="&amp;$F511))</f>
        <v/>
      </c>
      <c r="T511" s="16" t="str">
        <f>IF(AND($A511="",$B511="",$E511=""),"",IF(AND($B511&lt;&gt;"",COUNTIF('2. Core Log'!$A$5:$A$124,$B511)=0),"Core ID not in Core Log. ","")&amp;IF(AND($A511&lt;&gt;"",COUNTIF('1. Plot &amp; Site Log'!$A$5:$A$64,$A511)=0),"Plot ID not in Plot &amp; Site Log. ","")&amp;IF(AND(ISNUMBER($E511),ISNUMBER($F511),$F511&lt;=$E511),"Bottom depth is not below top depth. ","")&amp;IF($I511="","Say which bulk-density basis the lab reported. ","")&amp;IF(AND(ISNUMBER($J511),OR($J511&lt;QC_BD_MIN,$J511&gt;QC_BD_MAX)),"Bulk density outside "&amp;QC_BD_MIN&amp;"–"&amp;QC_BD_MAX&amp;" g/cm³ for peat. Above the top of that range usually means the mineral contact has been passed. ","")&amp;IF(AND(ISNUMBER($N511),$N511&gt;QC_CARBON_PCT_MAX),"Carbon above "&amp;QC_CARBON_PCT_MAX&amp;"% — check units; this may be organic matter rather than carbon. ","")&amp;IF(AND($L511&lt;&gt;"",$M511&lt;&gt;""),"Both LOI and measured carbon given — the measured value is used. ","")&amp;IF(AND($M511="",$L511&lt;&gt;"",OM_FACTOR_IS_LOCAL&lt;&gt;"Yes"),"Carbon derived from LOI using the default factor of "&amp;CARBON_FRACTION_OM&amp;", which has not been calibrated locally. See R1. Reference. ","")&amp;IF(AND(ISNUMBER($O511),$O511=0,ISNUMBER($E511)),"Section lies entirely below the reference depth — it counts to the full-profile stock only. ",""))</f>
        <v/>
      </c>
      <c r="U511" s="14"/>
    </row>
    <row r="512" spans="1:21" ht="15.75" customHeight="1">
      <c r="A512" s="14"/>
      <c r="B512" s="14"/>
      <c r="C512" s="14"/>
      <c r="D512" s="14"/>
      <c r="E512" s="14"/>
      <c r="F512" s="14"/>
      <c r="G512" s="14" t="str">
        <f t="shared" si="50"/>
        <v/>
      </c>
      <c r="H512" s="14"/>
      <c r="I512" s="14"/>
      <c r="J512" s="24"/>
      <c r="K512" s="24"/>
      <c r="L512" s="24"/>
      <c r="M512" s="24"/>
      <c r="N512" s="16" t="str">
        <f t="shared" si="54"/>
        <v/>
      </c>
      <c r="O512" s="16" t="str">
        <f t="shared" si="51"/>
        <v/>
      </c>
      <c r="P512" s="16" t="str">
        <f t="shared" si="52"/>
        <v/>
      </c>
      <c r="Q512" s="16" t="str">
        <f t="shared" si="53"/>
        <v/>
      </c>
      <c r="R512" s="16">
        <f t="shared" si="55"/>
        <v>0</v>
      </c>
      <c r="S512" s="16" t="str">
        <f>IF(OR($B512="",NOT(ISNUMBER($F512))),"",SUMIFS(community_cores_FS!$P$5:$P$597,community_cores_FS!$B$5:$B$597,$B512,community_cores_FS!$F$5:$F$597,"&lt;="&amp;$F512))</f>
        <v/>
      </c>
      <c r="T512" s="16" t="str">
        <f>IF(AND($A512="",$B512="",$E512=""),"",IF(AND($B512&lt;&gt;"",COUNTIF('2. Core Log'!$A$5:$A$124,$B512)=0),"Core ID not in Core Log. ","")&amp;IF(AND($A512&lt;&gt;"",COUNTIF('1. Plot &amp; Site Log'!$A$5:$A$64,$A512)=0),"Plot ID not in Plot &amp; Site Log. ","")&amp;IF(AND(ISNUMBER($E512),ISNUMBER($F512),$F512&lt;=$E512),"Bottom depth is not below top depth. ","")&amp;IF($I512="","Say which bulk-density basis the lab reported. ","")&amp;IF(AND(ISNUMBER($J512),OR($J512&lt;QC_BD_MIN,$J512&gt;QC_BD_MAX)),"Bulk density outside "&amp;QC_BD_MIN&amp;"–"&amp;QC_BD_MAX&amp;" g/cm³ for peat. Above the top of that range usually means the mineral contact has been passed. ","")&amp;IF(AND(ISNUMBER($N512),$N512&gt;QC_CARBON_PCT_MAX),"Carbon above "&amp;QC_CARBON_PCT_MAX&amp;"% — check units; this may be organic matter rather than carbon. ","")&amp;IF(AND($L512&lt;&gt;"",$M512&lt;&gt;""),"Both LOI and measured carbon given — the measured value is used. ","")&amp;IF(AND($M512="",$L512&lt;&gt;"",OM_FACTOR_IS_LOCAL&lt;&gt;"Yes"),"Carbon derived from LOI using the default factor of "&amp;CARBON_FRACTION_OM&amp;", which has not been calibrated locally. See R1. Reference. ","")&amp;IF(AND(ISNUMBER($O512),$O512=0,ISNUMBER($E512)),"Section lies entirely below the reference depth — it counts to the full-profile stock only. ",""))</f>
        <v/>
      </c>
      <c r="U512" s="14"/>
    </row>
    <row r="513" spans="1:21" ht="15.75" customHeight="1">
      <c r="A513" s="14"/>
      <c r="B513" s="14"/>
      <c r="C513" s="14"/>
      <c r="D513" s="14"/>
      <c r="E513" s="14"/>
      <c r="F513" s="14"/>
      <c r="G513" s="14" t="str">
        <f t="shared" si="50"/>
        <v/>
      </c>
      <c r="H513" s="14"/>
      <c r="I513" s="14"/>
      <c r="J513" s="24"/>
      <c r="K513" s="24"/>
      <c r="L513" s="24"/>
      <c r="M513" s="24"/>
      <c r="N513" s="16" t="str">
        <f t="shared" si="54"/>
        <v/>
      </c>
      <c r="O513" s="16" t="str">
        <f t="shared" si="51"/>
        <v/>
      </c>
      <c r="P513" s="16" t="str">
        <f t="shared" si="52"/>
        <v/>
      </c>
      <c r="Q513" s="16" t="str">
        <f t="shared" si="53"/>
        <v/>
      </c>
      <c r="R513" s="16">
        <f t="shared" si="55"/>
        <v>0</v>
      </c>
      <c r="S513" s="16" t="str">
        <f>IF(OR($B513="",NOT(ISNUMBER($F513))),"",SUMIFS(community_cores_FS!$P$5:$P$597,community_cores_FS!$B$5:$B$597,$B513,community_cores_FS!$F$5:$F$597,"&lt;="&amp;$F513))</f>
        <v/>
      </c>
      <c r="T513" s="16" t="str">
        <f>IF(AND($A513="",$B513="",$E513=""),"",IF(AND($B513&lt;&gt;"",COUNTIF('2. Core Log'!$A$5:$A$124,$B513)=0),"Core ID not in Core Log. ","")&amp;IF(AND($A513&lt;&gt;"",COUNTIF('1. Plot &amp; Site Log'!$A$5:$A$64,$A513)=0),"Plot ID not in Plot &amp; Site Log. ","")&amp;IF(AND(ISNUMBER($E513),ISNUMBER($F513),$F513&lt;=$E513),"Bottom depth is not below top depth. ","")&amp;IF($I513="","Say which bulk-density basis the lab reported. ","")&amp;IF(AND(ISNUMBER($J513),OR($J513&lt;QC_BD_MIN,$J513&gt;QC_BD_MAX)),"Bulk density outside "&amp;QC_BD_MIN&amp;"–"&amp;QC_BD_MAX&amp;" g/cm³ for peat. Above the top of that range usually means the mineral contact has been passed. ","")&amp;IF(AND(ISNUMBER($N513),$N513&gt;QC_CARBON_PCT_MAX),"Carbon above "&amp;QC_CARBON_PCT_MAX&amp;"% — check units; this may be organic matter rather than carbon. ","")&amp;IF(AND($L513&lt;&gt;"",$M513&lt;&gt;""),"Both LOI and measured carbon given — the measured value is used. ","")&amp;IF(AND($M513="",$L513&lt;&gt;"",OM_FACTOR_IS_LOCAL&lt;&gt;"Yes"),"Carbon derived from LOI using the default factor of "&amp;CARBON_FRACTION_OM&amp;", which has not been calibrated locally. See R1. Reference. ","")&amp;IF(AND(ISNUMBER($O513),$O513=0,ISNUMBER($E513)),"Section lies entirely below the reference depth — it counts to the full-profile stock only. ",""))</f>
        <v/>
      </c>
      <c r="U513" s="14"/>
    </row>
    <row r="514" spans="1:21" ht="15.75" customHeight="1">
      <c r="A514" s="14"/>
      <c r="B514" s="14"/>
      <c r="C514" s="14"/>
      <c r="D514" s="14"/>
      <c r="E514" s="14"/>
      <c r="F514" s="14"/>
      <c r="G514" s="14" t="str">
        <f t="shared" si="50"/>
        <v/>
      </c>
      <c r="H514" s="14"/>
      <c r="I514" s="14"/>
      <c r="J514" s="24"/>
      <c r="K514" s="24"/>
      <c r="L514" s="24"/>
      <c r="M514" s="24"/>
      <c r="N514" s="16" t="str">
        <f t="shared" si="54"/>
        <v/>
      </c>
      <c r="O514" s="16" t="str">
        <f t="shared" si="51"/>
        <v/>
      </c>
      <c r="P514" s="16" t="str">
        <f t="shared" si="52"/>
        <v/>
      </c>
      <c r="Q514" s="16" t="str">
        <f t="shared" si="53"/>
        <v/>
      </c>
      <c r="R514" s="16">
        <f t="shared" si="55"/>
        <v>0</v>
      </c>
      <c r="S514" s="16" t="str">
        <f>IF(OR($B514="",NOT(ISNUMBER($F514))),"",SUMIFS(community_cores_FS!$P$5:$P$597,community_cores_FS!$B$5:$B$597,$B514,community_cores_FS!$F$5:$F$597,"&lt;="&amp;$F514))</f>
        <v/>
      </c>
      <c r="T514" s="16" t="str">
        <f>IF(AND($A514="",$B514="",$E514=""),"",IF(AND($B514&lt;&gt;"",COUNTIF('2. Core Log'!$A$5:$A$124,$B514)=0),"Core ID not in Core Log. ","")&amp;IF(AND($A514&lt;&gt;"",COUNTIF('1. Plot &amp; Site Log'!$A$5:$A$64,$A514)=0),"Plot ID not in Plot &amp; Site Log. ","")&amp;IF(AND(ISNUMBER($E514),ISNUMBER($F514),$F514&lt;=$E514),"Bottom depth is not below top depth. ","")&amp;IF($I514="","Say which bulk-density basis the lab reported. ","")&amp;IF(AND(ISNUMBER($J514),OR($J514&lt;QC_BD_MIN,$J514&gt;QC_BD_MAX)),"Bulk density outside "&amp;QC_BD_MIN&amp;"–"&amp;QC_BD_MAX&amp;" g/cm³ for peat. Above the top of that range usually means the mineral contact has been passed. ","")&amp;IF(AND(ISNUMBER($N514),$N514&gt;QC_CARBON_PCT_MAX),"Carbon above "&amp;QC_CARBON_PCT_MAX&amp;"% — check units; this may be organic matter rather than carbon. ","")&amp;IF(AND($L514&lt;&gt;"",$M514&lt;&gt;""),"Both LOI and measured carbon given — the measured value is used. ","")&amp;IF(AND($M514="",$L514&lt;&gt;"",OM_FACTOR_IS_LOCAL&lt;&gt;"Yes"),"Carbon derived from LOI using the default factor of "&amp;CARBON_FRACTION_OM&amp;", which has not been calibrated locally. See R1. Reference. ","")&amp;IF(AND(ISNUMBER($O514),$O514=0,ISNUMBER($E514)),"Section lies entirely below the reference depth — it counts to the full-profile stock only. ",""))</f>
        <v/>
      </c>
      <c r="U514" s="14"/>
    </row>
    <row r="515" spans="1:21" ht="15.75" customHeight="1">
      <c r="A515" s="14"/>
      <c r="B515" s="14"/>
      <c r="C515" s="14"/>
      <c r="D515" s="14"/>
      <c r="E515" s="14"/>
      <c r="F515" s="14"/>
      <c r="G515" s="14" t="str">
        <f t="shared" si="50"/>
        <v/>
      </c>
      <c r="H515" s="14"/>
      <c r="I515" s="14"/>
      <c r="J515" s="24"/>
      <c r="K515" s="24"/>
      <c r="L515" s="24"/>
      <c r="M515" s="24"/>
      <c r="N515" s="16" t="str">
        <f t="shared" si="54"/>
        <v/>
      </c>
      <c r="O515" s="16" t="str">
        <f t="shared" si="51"/>
        <v/>
      </c>
      <c r="P515" s="16" t="str">
        <f t="shared" si="52"/>
        <v/>
      </c>
      <c r="Q515" s="16" t="str">
        <f t="shared" si="53"/>
        <v/>
      </c>
      <c r="R515" s="16">
        <f t="shared" si="55"/>
        <v>0</v>
      </c>
      <c r="S515" s="16" t="str">
        <f>IF(OR($B515="",NOT(ISNUMBER($F515))),"",SUMIFS(community_cores_FS!$P$5:$P$597,community_cores_FS!$B$5:$B$597,$B515,community_cores_FS!$F$5:$F$597,"&lt;="&amp;$F515))</f>
        <v/>
      </c>
      <c r="T515" s="16" t="str">
        <f>IF(AND($A515="",$B515="",$E515=""),"",IF(AND($B515&lt;&gt;"",COUNTIF('2. Core Log'!$A$5:$A$124,$B515)=0),"Core ID not in Core Log. ","")&amp;IF(AND($A515&lt;&gt;"",COUNTIF('1. Plot &amp; Site Log'!$A$5:$A$64,$A515)=0),"Plot ID not in Plot &amp; Site Log. ","")&amp;IF(AND(ISNUMBER($E515),ISNUMBER($F515),$F515&lt;=$E515),"Bottom depth is not below top depth. ","")&amp;IF($I515="","Say which bulk-density basis the lab reported. ","")&amp;IF(AND(ISNUMBER($J515),OR($J515&lt;QC_BD_MIN,$J515&gt;QC_BD_MAX)),"Bulk density outside "&amp;QC_BD_MIN&amp;"–"&amp;QC_BD_MAX&amp;" g/cm³ for peat. Above the top of that range usually means the mineral contact has been passed. ","")&amp;IF(AND(ISNUMBER($N515),$N515&gt;QC_CARBON_PCT_MAX),"Carbon above "&amp;QC_CARBON_PCT_MAX&amp;"% — check units; this may be organic matter rather than carbon. ","")&amp;IF(AND($L515&lt;&gt;"",$M515&lt;&gt;""),"Both LOI and measured carbon given — the measured value is used. ","")&amp;IF(AND($M515="",$L515&lt;&gt;"",OM_FACTOR_IS_LOCAL&lt;&gt;"Yes"),"Carbon derived from LOI using the default factor of "&amp;CARBON_FRACTION_OM&amp;", which has not been calibrated locally. See R1. Reference. ","")&amp;IF(AND(ISNUMBER($O515),$O515=0,ISNUMBER($E515)),"Section lies entirely below the reference depth — it counts to the full-profile stock only. ",""))</f>
        <v/>
      </c>
      <c r="U515" s="14"/>
    </row>
    <row r="516" spans="1:21" ht="15.75" customHeight="1">
      <c r="A516" s="14"/>
      <c r="B516" s="14"/>
      <c r="C516" s="14"/>
      <c r="D516" s="14"/>
      <c r="E516" s="14"/>
      <c r="F516" s="14"/>
      <c r="G516" s="14" t="str">
        <f t="shared" si="50"/>
        <v/>
      </c>
      <c r="H516" s="14"/>
      <c r="I516" s="14"/>
      <c r="J516" s="24"/>
      <c r="K516" s="24"/>
      <c r="L516" s="24"/>
      <c r="M516" s="24"/>
      <c r="N516" s="16" t="str">
        <f t="shared" si="54"/>
        <v/>
      </c>
      <c r="O516" s="16" t="str">
        <f t="shared" si="51"/>
        <v/>
      </c>
      <c r="P516" s="16" t="str">
        <f t="shared" si="52"/>
        <v/>
      </c>
      <c r="Q516" s="16" t="str">
        <f t="shared" si="53"/>
        <v/>
      </c>
      <c r="R516" s="16">
        <f t="shared" si="55"/>
        <v>0</v>
      </c>
      <c r="S516" s="16" t="str">
        <f>IF(OR($B516="",NOT(ISNUMBER($F516))),"",SUMIFS(community_cores_FS!$P$5:$P$597,community_cores_FS!$B$5:$B$597,$B516,community_cores_FS!$F$5:$F$597,"&lt;="&amp;$F516))</f>
        <v/>
      </c>
      <c r="T516" s="16" t="str">
        <f>IF(AND($A516="",$B516="",$E516=""),"",IF(AND($B516&lt;&gt;"",COUNTIF('2. Core Log'!$A$5:$A$124,$B516)=0),"Core ID not in Core Log. ","")&amp;IF(AND($A516&lt;&gt;"",COUNTIF('1. Plot &amp; Site Log'!$A$5:$A$64,$A516)=0),"Plot ID not in Plot &amp; Site Log. ","")&amp;IF(AND(ISNUMBER($E516),ISNUMBER($F516),$F516&lt;=$E516),"Bottom depth is not below top depth. ","")&amp;IF($I516="","Say which bulk-density basis the lab reported. ","")&amp;IF(AND(ISNUMBER($J516),OR($J516&lt;QC_BD_MIN,$J516&gt;QC_BD_MAX)),"Bulk density outside "&amp;QC_BD_MIN&amp;"–"&amp;QC_BD_MAX&amp;" g/cm³ for peat. Above the top of that range usually means the mineral contact has been passed. ","")&amp;IF(AND(ISNUMBER($N516),$N516&gt;QC_CARBON_PCT_MAX),"Carbon above "&amp;QC_CARBON_PCT_MAX&amp;"% — check units; this may be organic matter rather than carbon. ","")&amp;IF(AND($L516&lt;&gt;"",$M516&lt;&gt;""),"Both LOI and measured carbon given — the measured value is used. ","")&amp;IF(AND($M516="",$L516&lt;&gt;"",OM_FACTOR_IS_LOCAL&lt;&gt;"Yes"),"Carbon derived from LOI using the default factor of "&amp;CARBON_FRACTION_OM&amp;", which has not been calibrated locally. See R1. Reference. ","")&amp;IF(AND(ISNUMBER($O516),$O516=0,ISNUMBER($E516)),"Section lies entirely below the reference depth — it counts to the full-profile stock only. ",""))</f>
        <v/>
      </c>
      <c r="U516" s="14"/>
    </row>
    <row r="517" spans="1:21" ht="15.75" customHeight="1">
      <c r="A517" s="14"/>
      <c r="B517" s="14"/>
      <c r="C517" s="14"/>
      <c r="D517" s="14"/>
      <c r="E517" s="14"/>
      <c r="F517" s="14"/>
      <c r="G517" s="14" t="str">
        <f t="shared" si="50"/>
        <v/>
      </c>
      <c r="H517" s="14"/>
      <c r="I517" s="14"/>
      <c r="J517" s="24"/>
      <c r="K517" s="24"/>
      <c r="L517" s="24"/>
      <c r="M517" s="24"/>
      <c r="N517" s="16" t="str">
        <f t="shared" si="54"/>
        <v/>
      </c>
      <c r="O517" s="16" t="str">
        <f t="shared" si="51"/>
        <v/>
      </c>
      <c r="P517" s="16" t="str">
        <f t="shared" si="52"/>
        <v/>
      </c>
      <c r="Q517" s="16" t="str">
        <f t="shared" si="53"/>
        <v/>
      </c>
      <c r="R517" s="16">
        <f t="shared" si="55"/>
        <v>0</v>
      </c>
      <c r="S517" s="16" t="str">
        <f>IF(OR($B517="",NOT(ISNUMBER($F517))),"",SUMIFS(community_cores_FS!$P$5:$P$597,community_cores_FS!$B$5:$B$597,$B517,community_cores_FS!$F$5:$F$597,"&lt;="&amp;$F517))</f>
        <v/>
      </c>
      <c r="T517" s="16" t="str">
        <f>IF(AND($A517="",$B517="",$E517=""),"",IF(AND($B517&lt;&gt;"",COUNTIF('2. Core Log'!$A$5:$A$124,$B517)=0),"Core ID not in Core Log. ","")&amp;IF(AND($A517&lt;&gt;"",COUNTIF('1. Plot &amp; Site Log'!$A$5:$A$64,$A517)=0),"Plot ID not in Plot &amp; Site Log. ","")&amp;IF(AND(ISNUMBER($E517),ISNUMBER($F517),$F517&lt;=$E517),"Bottom depth is not below top depth. ","")&amp;IF($I517="","Say which bulk-density basis the lab reported. ","")&amp;IF(AND(ISNUMBER($J517),OR($J517&lt;QC_BD_MIN,$J517&gt;QC_BD_MAX)),"Bulk density outside "&amp;QC_BD_MIN&amp;"–"&amp;QC_BD_MAX&amp;" g/cm³ for peat. Above the top of that range usually means the mineral contact has been passed. ","")&amp;IF(AND(ISNUMBER($N517),$N517&gt;QC_CARBON_PCT_MAX),"Carbon above "&amp;QC_CARBON_PCT_MAX&amp;"% — check units; this may be organic matter rather than carbon. ","")&amp;IF(AND($L517&lt;&gt;"",$M517&lt;&gt;""),"Both LOI and measured carbon given — the measured value is used. ","")&amp;IF(AND($M517="",$L517&lt;&gt;"",OM_FACTOR_IS_LOCAL&lt;&gt;"Yes"),"Carbon derived from LOI using the default factor of "&amp;CARBON_FRACTION_OM&amp;", which has not been calibrated locally. See R1. Reference. ","")&amp;IF(AND(ISNUMBER($O517),$O517=0,ISNUMBER($E517)),"Section lies entirely below the reference depth — it counts to the full-profile stock only. ",""))</f>
        <v/>
      </c>
      <c r="U517" s="14"/>
    </row>
    <row r="518" spans="1:21" ht="15.75" customHeight="1">
      <c r="A518" s="14"/>
      <c r="B518" s="14"/>
      <c r="C518" s="14"/>
      <c r="D518" s="14"/>
      <c r="E518" s="14"/>
      <c r="F518" s="14"/>
      <c r="G518" s="14" t="str">
        <f t="shared" si="50"/>
        <v/>
      </c>
      <c r="H518" s="14"/>
      <c r="I518" s="14"/>
      <c r="J518" s="24"/>
      <c r="K518" s="24"/>
      <c r="L518" s="24"/>
      <c r="M518" s="24"/>
      <c r="N518" s="16" t="str">
        <f t="shared" si="54"/>
        <v/>
      </c>
      <c r="O518" s="16" t="str">
        <f t="shared" si="51"/>
        <v/>
      </c>
      <c r="P518" s="16" t="str">
        <f t="shared" si="52"/>
        <v/>
      </c>
      <c r="Q518" s="16" t="str">
        <f t="shared" si="53"/>
        <v/>
      </c>
      <c r="R518" s="16">
        <f t="shared" si="55"/>
        <v>0</v>
      </c>
      <c r="S518" s="16" t="str">
        <f>IF(OR($B518="",NOT(ISNUMBER($F518))),"",SUMIFS(community_cores_FS!$P$5:$P$597,community_cores_FS!$B$5:$B$597,$B518,community_cores_FS!$F$5:$F$597,"&lt;="&amp;$F518))</f>
        <v/>
      </c>
      <c r="T518" s="16" t="str">
        <f>IF(AND($A518="",$B518="",$E518=""),"",IF(AND($B518&lt;&gt;"",COUNTIF('2. Core Log'!$A$5:$A$124,$B518)=0),"Core ID not in Core Log. ","")&amp;IF(AND($A518&lt;&gt;"",COUNTIF('1. Plot &amp; Site Log'!$A$5:$A$64,$A518)=0),"Plot ID not in Plot &amp; Site Log. ","")&amp;IF(AND(ISNUMBER($E518),ISNUMBER($F518),$F518&lt;=$E518),"Bottom depth is not below top depth. ","")&amp;IF($I518="","Say which bulk-density basis the lab reported. ","")&amp;IF(AND(ISNUMBER($J518),OR($J518&lt;QC_BD_MIN,$J518&gt;QC_BD_MAX)),"Bulk density outside "&amp;QC_BD_MIN&amp;"–"&amp;QC_BD_MAX&amp;" g/cm³ for peat. Above the top of that range usually means the mineral contact has been passed. ","")&amp;IF(AND(ISNUMBER($N518),$N518&gt;QC_CARBON_PCT_MAX),"Carbon above "&amp;QC_CARBON_PCT_MAX&amp;"% — check units; this may be organic matter rather than carbon. ","")&amp;IF(AND($L518&lt;&gt;"",$M518&lt;&gt;""),"Both LOI and measured carbon given — the measured value is used. ","")&amp;IF(AND($M518="",$L518&lt;&gt;"",OM_FACTOR_IS_LOCAL&lt;&gt;"Yes"),"Carbon derived from LOI using the default factor of "&amp;CARBON_FRACTION_OM&amp;", which has not been calibrated locally. See R1. Reference. ","")&amp;IF(AND(ISNUMBER($O518),$O518=0,ISNUMBER($E518)),"Section lies entirely below the reference depth — it counts to the full-profile stock only. ",""))</f>
        <v/>
      </c>
      <c r="U518" s="14"/>
    </row>
    <row r="519" spans="1:21" ht="15.75" customHeight="1">
      <c r="A519" s="14"/>
      <c r="B519" s="14"/>
      <c r="C519" s="14"/>
      <c r="D519" s="14"/>
      <c r="E519" s="14"/>
      <c r="F519" s="14"/>
      <c r="G519" s="14" t="str">
        <f t="shared" si="50"/>
        <v/>
      </c>
      <c r="H519" s="14"/>
      <c r="I519" s="14"/>
      <c r="J519" s="24"/>
      <c r="K519" s="24"/>
      <c r="L519" s="24"/>
      <c r="M519" s="24"/>
      <c r="N519" s="16" t="str">
        <f t="shared" si="54"/>
        <v/>
      </c>
      <c r="O519" s="16" t="str">
        <f t="shared" si="51"/>
        <v/>
      </c>
      <c r="P519" s="16" t="str">
        <f t="shared" si="52"/>
        <v/>
      </c>
      <c r="Q519" s="16" t="str">
        <f t="shared" si="53"/>
        <v/>
      </c>
      <c r="R519" s="16">
        <f t="shared" si="55"/>
        <v>0</v>
      </c>
      <c r="S519" s="16" t="str">
        <f>IF(OR($B519="",NOT(ISNUMBER($F519))),"",SUMIFS(community_cores_FS!$P$5:$P$597,community_cores_FS!$B$5:$B$597,$B519,community_cores_FS!$F$5:$F$597,"&lt;="&amp;$F519))</f>
        <v/>
      </c>
      <c r="T519" s="16" t="str">
        <f>IF(AND($A519="",$B519="",$E519=""),"",IF(AND($B519&lt;&gt;"",COUNTIF('2. Core Log'!$A$5:$A$124,$B519)=0),"Core ID not in Core Log. ","")&amp;IF(AND($A519&lt;&gt;"",COUNTIF('1. Plot &amp; Site Log'!$A$5:$A$64,$A519)=0),"Plot ID not in Plot &amp; Site Log. ","")&amp;IF(AND(ISNUMBER($E519),ISNUMBER($F519),$F519&lt;=$E519),"Bottom depth is not below top depth. ","")&amp;IF($I519="","Say which bulk-density basis the lab reported. ","")&amp;IF(AND(ISNUMBER($J519),OR($J519&lt;QC_BD_MIN,$J519&gt;QC_BD_MAX)),"Bulk density outside "&amp;QC_BD_MIN&amp;"–"&amp;QC_BD_MAX&amp;" g/cm³ for peat. Above the top of that range usually means the mineral contact has been passed. ","")&amp;IF(AND(ISNUMBER($N519),$N519&gt;QC_CARBON_PCT_MAX),"Carbon above "&amp;QC_CARBON_PCT_MAX&amp;"% — check units; this may be organic matter rather than carbon. ","")&amp;IF(AND($L519&lt;&gt;"",$M519&lt;&gt;""),"Both LOI and measured carbon given — the measured value is used. ","")&amp;IF(AND($M519="",$L519&lt;&gt;"",OM_FACTOR_IS_LOCAL&lt;&gt;"Yes"),"Carbon derived from LOI using the default factor of "&amp;CARBON_FRACTION_OM&amp;", which has not been calibrated locally. See R1. Reference. ","")&amp;IF(AND(ISNUMBER($O519),$O519=0,ISNUMBER($E519)),"Section lies entirely below the reference depth — it counts to the full-profile stock only. ",""))</f>
        <v/>
      </c>
      <c r="U519" s="14"/>
    </row>
    <row r="520" spans="1:21" ht="15.75" customHeight="1">
      <c r="A520" s="14"/>
      <c r="B520" s="14"/>
      <c r="C520" s="14"/>
      <c r="D520" s="14"/>
      <c r="E520" s="14"/>
      <c r="F520" s="14"/>
      <c r="G520" s="14" t="str">
        <f t="shared" si="50"/>
        <v/>
      </c>
      <c r="H520" s="14"/>
      <c r="I520" s="14"/>
      <c r="J520" s="24"/>
      <c r="K520" s="24"/>
      <c r="L520" s="24"/>
      <c r="M520" s="24"/>
      <c r="N520" s="16" t="str">
        <f t="shared" si="54"/>
        <v/>
      </c>
      <c r="O520" s="16" t="str">
        <f t="shared" si="51"/>
        <v/>
      </c>
      <c r="P520" s="16" t="str">
        <f t="shared" si="52"/>
        <v/>
      </c>
      <c r="Q520" s="16" t="str">
        <f t="shared" si="53"/>
        <v/>
      </c>
      <c r="R520" s="16">
        <f t="shared" si="55"/>
        <v>0</v>
      </c>
      <c r="S520" s="16" t="str">
        <f>IF(OR($B520="",NOT(ISNUMBER($F520))),"",SUMIFS(community_cores_FS!$P$5:$P$597,community_cores_FS!$B$5:$B$597,$B520,community_cores_FS!$F$5:$F$597,"&lt;="&amp;$F520))</f>
        <v/>
      </c>
      <c r="T520" s="16" t="str">
        <f>IF(AND($A520="",$B520="",$E520=""),"",IF(AND($B520&lt;&gt;"",COUNTIF('2. Core Log'!$A$5:$A$124,$B520)=0),"Core ID not in Core Log. ","")&amp;IF(AND($A520&lt;&gt;"",COUNTIF('1. Plot &amp; Site Log'!$A$5:$A$64,$A520)=0),"Plot ID not in Plot &amp; Site Log. ","")&amp;IF(AND(ISNUMBER($E520),ISNUMBER($F520),$F520&lt;=$E520),"Bottom depth is not below top depth. ","")&amp;IF($I520="","Say which bulk-density basis the lab reported. ","")&amp;IF(AND(ISNUMBER($J520),OR($J520&lt;QC_BD_MIN,$J520&gt;QC_BD_MAX)),"Bulk density outside "&amp;QC_BD_MIN&amp;"–"&amp;QC_BD_MAX&amp;" g/cm³ for peat. Above the top of that range usually means the mineral contact has been passed. ","")&amp;IF(AND(ISNUMBER($N520),$N520&gt;QC_CARBON_PCT_MAX),"Carbon above "&amp;QC_CARBON_PCT_MAX&amp;"% — check units; this may be organic matter rather than carbon. ","")&amp;IF(AND($L520&lt;&gt;"",$M520&lt;&gt;""),"Both LOI and measured carbon given — the measured value is used. ","")&amp;IF(AND($M520="",$L520&lt;&gt;"",OM_FACTOR_IS_LOCAL&lt;&gt;"Yes"),"Carbon derived from LOI using the default factor of "&amp;CARBON_FRACTION_OM&amp;", which has not been calibrated locally. See R1. Reference. ","")&amp;IF(AND(ISNUMBER($O520),$O520=0,ISNUMBER($E520)),"Section lies entirely below the reference depth — it counts to the full-profile stock only. ",""))</f>
        <v/>
      </c>
      <c r="U520" s="14"/>
    </row>
    <row r="521" spans="1:21" ht="15.75" customHeight="1">
      <c r="A521" s="14"/>
      <c r="B521" s="14"/>
      <c r="C521" s="14"/>
      <c r="D521" s="14"/>
      <c r="E521" s="14"/>
      <c r="F521" s="14"/>
      <c r="G521" s="14" t="str">
        <f t="shared" si="50"/>
        <v/>
      </c>
      <c r="H521" s="14"/>
      <c r="I521" s="14"/>
      <c r="J521" s="24"/>
      <c r="K521" s="24"/>
      <c r="L521" s="24"/>
      <c r="M521" s="24"/>
      <c r="N521" s="16" t="str">
        <f t="shared" si="54"/>
        <v/>
      </c>
      <c r="O521" s="16" t="str">
        <f t="shared" si="51"/>
        <v/>
      </c>
      <c r="P521" s="16" t="str">
        <f t="shared" si="52"/>
        <v/>
      </c>
      <c r="Q521" s="16" t="str">
        <f t="shared" si="53"/>
        <v/>
      </c>
      <c r="R521" s="16">
        <f t="shared" si="55"/>
        <v>0</v>
      </c>
      <c r="S521" s="16" t="str">
        <f>IF(OR($B521="",NOT(ISNUMBER($F521))),"",SUMIFS(community_cores_FS!$P$5:$P$597,community_cores_FS!$B$5:$B$597,$B521,community_cores_FS!$F$5:$F$597,"&lt;="&amp;$F521))</f>
        <v/>
      </c>
      <c r="T521" s="16" t="str">
        <f>IF(AND($A521="",$B521="",$E521=""),"",IF(AND($B521&lt;&gt;"",COUNTIF('2. Core Log'!$A$5:$A$124,$B521)=0),"Core ID not in Core Log. ","")&amp;IF(AND($A521&lt;&gt;"",COUNTIF('1. Plot &amp; Site Log'!$A$5:$A$64,$A521)=0),"Plot ID not in Plot &amp; Site Log. ","")&amp;IF(AND(ISNUMBER($E521),ISNUMBER($F521),$F521&lt;=$E521),"Bottom depth is not below top depth. ","")&amp;IF($I521="","Say which bulk-density basis the lab reported. ","")&amp;IF(AND(ISNUMBER($J521),OR($J521&lt;QC_BD_MIN,$J521&gt;QC_BD_MAX)),"Bulk density outside "&amp;QC_BD_MIN&amp;"–"&amp;QC_BD_MAX&amp;" g/cm³ for peat. Above the top of that range usually means the mineral contact has been passed. ","")&amp;IF(AND(ISNUMBER($N521),$N521&gt;QC_CARBON_PCT_MAX),"Carbon above "&amp;QC_CARBON_PCT_MAX&amp;"% — check units; this may be organic matter rather than carbon. ","")&amp;IF(AND($L521&lt;&gt;"",$M521&lt;&gt;""),"Both LOI and measured carbon given — the measured value is used. ","")&amp;IF(AND($M521="",$L521&lt;&gt;"",OM_FACTOR_IS_LOCAL&lt;&gt;"Yes"),"Carbon derived from LOI using the default factor of "&amp;CARBON_FRACTION_OM&amp;", which has not been calibrated locally. See R1. Reference. ","")&amp;IF(AND(ISNUMBER($O521),$O521=0,ISNUMBER($E521)),"Section lies entirely below the reference depth — it counts to the full-profile stock only. ",""))</f>
        <v/>
      </c>
      <c r="U521" s="14"/>
    </row>
    <row r="522" spans="1:21" ht="15.75" customHeight="1">
      <c r="A522" s="14"/>
      <c r="B522" s="14"/>
      <c r="C522" s="14"/>
      <c r="D522" s="14"/>
      <c r="E522" s="14"/>
      <c r="F522" s="14"/>
      <c r="G522" s="14" t="str">
        <f t="shared" si="50"/>
        <v/>
      </c>
      <c r="H522" s="14"/>
      <c r="I522" s="14"/>
      <c r="J522" s="24"/>
      <c r="K522" s="24"/>
      <c r="L522" s="24"/>
      <c r="M522" s="24"/>
      <c r="N522" s="16" t="str">
        <f t="shared" si="54"/>
        <v/>
      </c>
      <c r="O522" s="16" t="str">
        <f t="shared" si="51"/>
        <v/>
      </c>
      <c r="P522" s="16" t="str">
        <f t="shared" si="52"/>
        <v/>
      </c>
      <c r="Q522" s="16" t="str">
        <f t="shared" si="53"/>
        <v/>
      </c>
      <c r="R522" s="16">
        <f t="shared" si="55"/>
        <v>0</v>
      </c>
      <c r="S522" s="16" t="str">
        <f>IF(OR($B522="",NOT(ISNUMBER($F522))),"",SUMIFS(community_cores_FS!$P$5:$P$597,community_cores_FS!$B$5:$B$597,$B522,community_cores_FS!$F$5:$F$597,"&lt;="&amp;$F522))</f>
        <v/>
      </c>
      <c r="T522" s="16" t="str">
        <f>IF(AND($A522="",$B522="",$E522=""),"",IF(AND($B522&lt;&gt;"",COUNTIF('2. Core Log'!$A$5:$A$124,$B522)=0),"Core ID not in Core Log. ","")&amp;IF(AND($A522&lt;&gt;"",COUNTIF('1. Plot &amp; Site Log'!$A$5:$A$64,$A522)=0),"Plot ID not in Plot &amp; Site Log. ","")&amp;IF(AND(ISNUMBER($E522),ISNUMBER($F522),$F522&lt;=$E522),"Bottom depth is not below top depth. ","")&amp;IF($I522="","Say which bulk-density basis the lab reported. ","")&amp;IF(AND(ISNUMBER($J522),OR($J522&lt;QC_BD_MIN,$J522&gt;QC_BD_MAX)),"Bulk density outside "&amp;QC_BD_MIN&amp;"–"&amp;QC_BD_MAX&amp;" g/cm³ for peat. Above the top of that range usually means the mineral contact has been passed. ","")&amp;IF(AND(ISNUMBER($N522),$N522&gt;QC_CARBON_PCT_MAX),"Carbon above "&amp;QC_CARBON_PCT_MAX&amp;"% — check units; this may be organic matter rather than carbon. ","")&amp;IF(AND($L522&lt;&gt;"",$M522&lt;&gt;""),"Both LOI and measured carbon given — the measured value is used. ","")&amp;IF(AND($M522="",$L522&lt;&gt;"",OM_FACTOR_IS_LOCAL&lt;&gt;"Yes"),"Carbon derived from LOI using the default factor of "&amp;CARBON_FRACTION_OM&amp;", which has not been calibrated locally. See R1. Reference. ","")&amp;IF(AND(ISNUMBER($O522),$O522=0,ISNUMBER($E522)),"Section lies entirely below the reference depth — it counts to the full-profile stock only. ",""))</f>
        <v/>
      </c>
      <c r="U522" s="14"/>
    </row>
    <row r="523" spans="1:21" ht="15.75" customHeight="1">
      <c r="A523" s="14"/>
      <c r="B523" s="14"/>
      <c r="C523" s="14"/>
      <c r="D523" s="14"/>
      <c r="E523" s="14"/>
      <c r="F523" s="14"/>
      <c r="G523" s="14" t="str">
        <f t="shared" si="50"/>
        <v/>
      </c>
      <c r="H523" s="14"/>
      <c r="I523" s="14"/>
      <c r="J523" s="24"/>
      <c r="K523" s="24"/>
      <c r="L523" s="24"/>
      <c r="M523" s="24"/>
      <c r="N523" s="16" t="str">
        <f t="shared" si="54"/>
        <v/>
      </c>
      <c r="O523" s="16" t="str">
        <f t="shared" si="51"/>
        <v/>
      </c>
      <c r="P523" s="16" t="str">
        <f t="shared" si="52"/>
        <v/>
      </c>
      <c r="Q523" s="16" t="str">
        <f t="shared" si="53"/>
        <v/>
      </c>
      <c r="R523" s="16">
        <f t="shared" si="55"/>
        <v>0</v>
      </c>
      <c r="S523" s="16" t="str">
        <f>IF(OR($B523="",NOT(ISNUMBER($F523))),"",SUMIFS(community_cores_FS!$P$5:$P$597,community_cores_FS!$B$5:$B$597,$B523,community_cores_FS!$F$5:$F$597,"&lt;="&amp;$F523))</f>
        <v/>
      </c>
      <c r="T523" s="16" t="str">
        <f>IF(AND($A523="",$B523="",$E523=""),"",IF(AND($B523&lt;&gt;"",COUNTIF('2. Core Log'!$A$5:$A$124,$B523)=0),"Core ID not in Core Log. ","")&amp;IF(AND($A523&lt;&gt;"",COUNTIF('1. Plot &amp; Site Log'!$A$5:$A$64,$A523)=0),"Plot ID not in Plot &amp; Site Log. ","")&amp;IF(AND(ISNUMBER($E523),ISNUMBER($F523),$F523&lt;=$E523),"Bottom depth is not below top depth. ","")&amp;IF($I523="","Say which bulk-density basis the lab reported. ","")&amp;IF(AND(ISNUMBER($J523),OR($J523&lt;QC_BD_MIN,$J523&gt;QC_BD_MAX)),"Bulk density outside "&amp;QC_BD_MIN&amp;"–"&amp;QC_BD_MAX&amp;" g/cm³ for peat. Above the top of that range usually means the mineral contact has been passed. ","")&amp;IF(AND(ISNUMBER($N523),$N523&gt;QC_CARBON_PCT_MAX),"Carbon above "&amp;QC_CARBON_PCT_MAX&amp;"% — check units; this may be organic matter rather than carbon. ","")&amp;IF(AND($L523&lt;&gt;"",$M523&lt;&gt;""),"Both LOI and measured carbon given — the measured value is used. ","")&amp;IF(AND($M523="",$L523&lt;&gt;"",OM_FACTOR_IS_LOCAL&lt;&gt;"Yes"),"Carbon derived from LOI using the default factor of "&amp;CARBON_FRACTION_OM&amp;", which has not been calibrated locally. See R1. Reference. ","")&amp;IF(AND(ISNUMBER($O523),$O523=0,ISNUMBER($E523)),"Section lies entirely below the reference depth — it counts to the full-profile stock only. ",""))</f>
        <v/>
      </c>
      <c r="U523" s="14"/>
    </row>
    <row r="524" spans="1:21" ht="15.75" customHeight="1">
      <c r="A524" s="14"/>
      <c r="B524" s="14"/>
      <c r="C524" s="14"/>
      <c r="D524" s="14"/>
      <c r="E524" s="14"/>
      <c r="F524" s="14"/>
      <c r="G524" s="14" t="str">
        <f t="shared" si="50"/>
        <v/>
      </c>
      <c r="H524" s="14"/>
      <c r="I524" s="14"/>
      <c r="J524" s="24"/>
      <c r="K524" s="24"/>
      <c r="L524" s="24"/>
      <c r="M524" s="24"/>
      <c r="N524" s="16" t="str">
        <f t="shared" si="54"/>
        <v/>
      </c>
      <c r="O524" s="16" t="str">
        <f t="shared" si="51"/>
        <v/>
      </c>
      <c r="P524" s="16" t="str">
        <f t="shared" si="52"/>
        <v/>
      </c>
      <c r="Q524" s="16" t="str">
        <f t="shared" si="53"/>
        <v/>
      </c>
      <c r="R524" s="16">
        <f t="shared" si="55"/>
        <v>0</v>
      </c>
      <c r="S524" s="16" t="str">
        <f>IF(OR($B524="",NOT(ISNUMBER($F524))),"",SUMIFS(community_cores_FS!$P$5:$P$597,community_cores_FS!$B$5:$B$597,$B524,community_cores_FS!$F$5:$F$597,"&lt;="&amp;$F524))</f>
        <v/>
      </c>
      <c r="T524" s="16" t="str">
        <f>IF(AND($A524="",$B524="",$E524=""),"",IF(AND($B524&lt;&gt;"",COUNTIF('2. Core Log'!$A$5:$A$124,$B524)=0),"Core ID not in Core Log. ","")&amp;IF(AND($A524&lt;&gt;"",COUNTIF('1. Plot &amp; Site Log'!$A$5:$A$64,$A524)=0),"Plot ID not in Plot &amp; Site Log. ","")&amp;IF(AND(ISNUMBER($E524),ISNUMBER($F524),$F524&lt;=$E524),"Bottom depth is not below top depth. ","")&amp;IF($I524="","Say which bulk-density basis the lab reported. ","")&amp;IF(AND(ISNUMBER($J524),OR($J524&lt;QC_BD_MIN,$J524&gt;QC_BD_MAX)),"Bulk density outside "&amp;QC_BD_MIN&amp;"–"&amp;QC_BD_MAX&amp;" g/cm³ for peat. Above the top of that range usually means the mineral contact has been passed. ","")&amp;IF(AND(ISNUMBER($N524),$N524&gt;QC_CARBON_PCT_MAX),"Carbon above "&amp;QC_CARBON_PCT_MAX&amp;"% — check units; this may be organic matter rather than carbon. ","")&amp;IF(AND($L524&lt;&gt;"",$M524&lt;&gt;""),"Both LOI and measured carbon given — the measured value is used. ","")&amp;IF(AND($M524="",$L524&lt;&gt;"",OM_FACTOR_IS_LOCAL&lt;&gt;"Yes"),"Carbon derived from LOI using the default factor of "&amp;CARBON_FRACTION_OM&amp;", which has not been calibrated locally. See R1. Reference. ","")&amp;IF(AND(ISNUMBER($O524),$O524=0,ISNUMBER($E524)),"Section lies entirely below the reference depth — it counts to the full-profile stock only. ",""))</f>
        <v/>
      </c>
      <c r="U524" s="14"/>
    </row>
    <row r="525" spans="1:21" ht="15.75" customHeight="1">
      <c r="A525" s="14"/>
      <c r="B525" s="14"/>
      <c r="C525" s="14"/>
      <c r="D525" s="14"/>
      <c r="E525" s="14"/>
      <c r="F525" s="14"/>
      <c r="G525" s="14" t="str">
        <f t="shared" si="50"/>
        <v/>
      </c>
      <c r="H525" s="14"/>
      <c r="I525" s="14"/>
      <c r="J525" s="24"/>
      <c r="K525" s="24"/>
      <c r="L525" s="24"/>
      <c r="M525" s="24"/>
      <c r="N525" s="16" t="str">
        <f t="shared" si="54"/>
        <v/>
      </c>
      <c r="O525" s="16" t="str">
        <f t="shared" si="51"/>
        <v/>
      </c>
      <c r="P525" s="16" t="str">
        <f t="shared" si="52"/>
        <v/>
      </c>
      <c r="Q525" s="16" t="str">
        <f t="shared" si="53"/>
        <v/>
      </c>
      <c r="R525" s="16">
        <f t="shared" si="55"/>
        <v>0</v>
      </c>
      <c r="S525" s="16" t="str">
        <f>IF(OR($B525="",NOT(ISNUMBER($F525))),"",SUMIFS(community_cores_FS!$P$5:$P$597,community_cores_FS!$B$5:$B$597,$B525,community_cores_FS!$F$5:$F$597,"&lt;="&amp;$F525))</f>
        <v/>
      </c>
      <c r="T525" s="16" t="str">
        <f>IF(AND($A525="",$B525="",$E525=""),"",IF(AND($B525&lt;&gt;"",COUNTIF('2. Core Log'!$A$5:$A$124,$B525)=0),"Core ID not in Core Log. ","")&amp;IF(AND($A525&lt;&gt;"",COUNTIF('1. Plot &amp; Site Log'!$A$5:$A$64,$A525)=0),"Plot ID not in Plot &amp; Site Log. ","")&amp;IF(AND(ISNUMBER($E525),ISNUMBER($F525),$F525&lt;=$E525),"Bottom depth is not below top depth. ","")&amp;IF($I525="","Say which bulk-density basis the lab reported. ","")&amp;IF(AND(ISNUMBER($J525),OR($J525&lt;QC_BD_MIN,$J525&gt;QC_BD_MAX)),"Bulk density outside "&amp;QC_BD_MIN&amp;"–"&amp;QC_BD_MAX&amp;" g/cm³ for peat. Above the top of that range usually means the mineral contact has been passed. ","")&amp;IF(AND(ISNUMBER($N525),$N525&gt;QC_CARBON_PCT_MAX),"Carbon above "&amp;QC_CARBON_PCT_MAX&amp;"% — check units; this may be organic matter rather than carbon. ","")&amp;IF(AND($L525&lt;&gt;"",$M525&lt;&gt;""),"Both LOI and measured carbon given — the measured value is used. ","")&amp;IF(AND($M525="",$L525&lt;&gt;"",OM_FACTOR_IS_LOCAL&lt;&gt;"Yes"),"Carbon derived from LOI using the default factor of "&amp;CARBON_FRACTION_OM&amp;", which has not been calibrated locally. See R1. Reference. ","")&amp;IF(AND(ISNUMBER($O525),$O525=0,ISNUMBER($E525)),"Section lies entirely below the reference depth — it counts to the full-profile stock only. ",""))</f>
        <v/>
      </c>
      <c r="U525" s="14"/>
    </row>
    <row r="526" spans="1:21" ht="15.75" customHeight="1">
      <c r="A526" s="14"/>
      <c r="B526" s="14"/>
      <c r="C526" s="14"/>
      <c r="D526" s="14"/>
      <c r="E526" s="14"/>
      <c r="F526" s="14"/>
      <c r="G526" s="14" t="str">
        <f t="shared" si="50"/>
        <v/>
      </c>
      <c r="H526" s="14"/>
      <c r="I526" s="14"/>
      <c r="J526" s="24"/>
      <c r="K526" s="24"/>
      <c r="L526" s="24"/>
      <c r="M526" s="24"/>
      <c r="N526" s="16" t="str">
        <f t="shared" si="54"/>
        <v/>
      </c>
      <c r="O526" s="16" t="str">
        <f t="shared" si="51"/>
        <v/>
      </c>
      <c r="P526" s="16" t="str">
        <f t="shared" si="52"/>
        <v/>
      </c>
      <c r="Q526" s="16" t="str">
        <f t="shared" si="53"/>
        <v/>
      </c>
      <c r="R526" s="16">
        <f t="shared" si="55"/>
        <v>0</v>
      </c>
      <c r="S526" s="16" t="str">
        <f>IF(OR($B526="",NOT(ISNUMBER($F526))),"",SUMIFS(community_cores_FS!$P$5:$P$597,community_cores_FS!$B$5:$B$597,$B526,community_cores_FS!$F$5:$F$597,"&lt;="&amp;$F526))</f>
        <v/>
      </c>
      <c r="T526" s="16" t="str">
        <f>IF(AND($A526="",$B526="",$E526=""),"",IF(AND($B526&lt;&gt;"",COUNTIF('2. Core Log'!$A$5:$A$124,$B526)=0),"Core ID not in Core Log. ","")&amp;IF(AND($A526&lt;&gt;"",COUNTIF('1. Plot &amp; Site Log'!$A$5:$A$64,$A526)=0),"Plot ID not in Plot &amp; Site Log. ","")&amp;IF(AND(ISNUMBER($E526),ISNUMBER($F526),$F526&lt;=$E526),"Bottom depth is not below top depth. ","")&amp;IF($I526="","Say which bulk-density basis the lab reported. ","")&amp;IF(AND(ISNUMBER($J526),OR($J526&lt;QC_BD_MIN,$J526&gt;QC_BD_MAX)),"Bulk density outside "&amp;QC_BD_MIN&amp;"–"&amp;QC_BD_MAX&amp;" g/cm³ for peat. Above the top of that range usually means the mineral contact has been passed. ","")&amp;IF(AND(ISNUMBER($N526),$N526&gt;QC_CARBON_PCT_MAX),"Carbon above "&amp;QC_CARBON_PCT_MAX&amp;"% — check units; this may be organic matter rather than carbon. ","")&amp;IF(AND($L526&lt;&gt;"",$M526&lt;&gt;""),"Both LOI and measured carbon given — the measured value is used. ","")&amp;IF(AND($M526="",$L526&lt;&gt;"",OM_FACTOR_IS_LOCAL&lt;&gt;"Yes"),"Carbon derived from LOI using the default factor of "&amp;CARBON_FRACTION_OM&amp;", which has not been calibrated locally. See R1. Reference. ","")&amp;IF(AND(ISNUMBER($O526),$O526=0,ISNUMBER($E526)),"Section lies entirely below the reference depth — it counts to the full-profile stock only. ",""))</f>
        <v/>
      </c>
      <c r="U526" s="14"/>
    </row>
    <row r="527" spans="1:21" ht="15.75" customHeight="1">
      <c r="A527" s="14"/>
      <c r="B527" s="14"/>
      <c r="C527" s="14"/>
      <c r="D527" s="14"/>
      <c r="E527" s="14"/>
      <c r="F527" s="14"/>
      <c r="G527" s="14" t="str">
        <f t="shared" si="50"/>
        <v/>
      </c>
      <c r="H527" s="14"/>
      <c r="I527" s="14"/>
      <c r="J527" s="24"/>
      <c r="K527" s="24"/>
      <c r="L527" s="24"/>
      <c r="M527" s="24"/>
      <c r="N527" s="16" t="str">
        <f t="shared" si="54"/>
        <v/>
      </c>
      <c r="O527" s="16" t="str">
        <f t="shared" si="51"/>
        <v/>
      </c>
      <c r="P527" s="16" t="str">
        <f t="shared" si="52"/>
        <v/>
      </c>
      <c r="Q527" s="16" t="str">
        <f t="shared" si="53"/>
        <v/>
      </c>
      <c r="R527" s="16">
        <f t="shared" si="55"/>
        <v>0</v>
      </c>
      <c r="S527" s="16" t="str">
        <f>IF(OR($B527="",NOT(ISNUMBER($F527))),"",SUMIFS(community_cores_FS!$P$5:$P$597,community_cores_FS!$B$5:$B$597,$B527,community_cores_FS!$F$5:$F$597,"&lt;="&amp;$F527))</f>
        <v/>
      </c>
      <c r="T527" s="16" t="str">
        <f>IF(AND($A527="",$B527="",$E527=""),"",IF(AND($B527&lt;&gt;"",COUNTIF('2. Core Log'!$A$5:$A$124,$B527)=0),"Core ID not in Core Log. ","")&amp;IF(AND($A527&lt;&gt;"",COUNTIF('1. Plot &amp; Site Log'!$A$5:$A$64,$A527)=0),"Plot ID not in Plot &amp; Site Log. ","")&amp;IF(AND(ISNUMBER($E527),ISNUMBER($F527),$F527&lt;=$E527),"Bottom depth is not below top depth. ","")&amp;IF($I527="","Say which bulk-density basis the lab reported. ","")&amp;IF(AND(ISNUMBER($J527),OR($J527&lt;QC_BD_MIN,$J527&gt;QC_BD_MAX)),"Bulk density outside "&amp;QC_BD_MIN&amp;"–"&amp;QC_BD_MAX&amp;" g/cm³ for peat. Above the top of that range usually means the mineral contact has been passed. ","")&amp;IF(AND(ISNUMBER($N527),$N527&gt;QC_CARBON_PCT_MAX),"Carbon above "&amp;QC_CARBON_PCT_MAX&amp;"% — check units; this may be organic matter rather than carbon. ","")&amp;IF(AND($L527&lt;&gt;"",$M527&lt;&gt;""),"Both LOI and measured carbon given — the measured value is used. ","")&amp;IF(AND($M527="",$L527&lt;&gt;"",OM_FACTOR_IS_LOCAL&lt;&gt;"Yes"),"Carbon derived from LOI using the default factor of "&amp;CARBON_FRACTION_OM&amp;", which has not been calibrated locally. See R1. Reference. ","")&amp;IF(AND(ISNUMBER($O527),$O527=0,ISNUMBER($E527)),"Section lies entirely below the reference depth — it counts to the full-profile stock only. ",""))</f>
        <v/>
      </c>
      <c r="U527" s="14"/>
    </row>
    <row r="528" spans="1:21" ht="15.75" customHeight="1">
      <c r="A528" s="14"/>
      <c r="B528" s="14"/>
      <c r="C528" s="14"/>
      <c r="D528" s="14"/>
      <c r="E528" s="14"/>
      <c r="F528" s="14"/>
      <c r="G528" s="14" t="str">
        <f t="shared" si="50"/>
        <v/>
      </c>
      <c r="H528" s="14"/>
      <c r="I528" s="14"/>
      <c r="J528" s="24"/>
      <c r="K528" s="24"/>
      <c r="L528" s="24"/>
      <c r="M528" s="24"/>
      <c r="N528" s="16" t="str">
        <f t="shared" si="54"/>
        <v/>
      </c>
      <c r="O528" s="16" t="str">
        <f t="shared" si="51"/>
        <v/>
      </c>
      <c r="P528" s="16" t="str">
        <f t="shared" si="52"/>
        <v/>
      </c>
      <c r="Q528" s="16" t="str">
        <f t="shared" si="53"/>
        <v/>
      </c>
      <c r="R528" s="16">
        <f t="shared" si="55"/>
        <v>0</v>
      </c>
      <c r="S528" s="16" t="str">
        <f>IF(OR($B528="",NOT(ISNUMBER($F528))),"",SUMIFS(community_cores_FS!$P$5:$P$597,community_cores_FS!$B$5:$B$597,$B528,community_cores_FS!$F$5:$F$597,"&lt;="&amp;$F528))</f>
        <v/>
      </c>
      <c r="T528" s="16" t="str">
        <f>IF(AND($A528="",$B528="",$E528=""),"",IF(AND($B528&lt;&gt;"",COUNTIF('2. Core Log'!$A$5:$A$124,$B528)=0),"Core ID not in Core Log. ","")&amp;IF(AND($A528&lt;&gt;"",COUNTIF('1. Plot &amp; Site Log'!$A$5:$A$64,$A528)=0),"Plot ID not in Plot &amp; Site Log. ","")&amp;IF(AND(ISNUMBER($E528),ISNUMBER($F528),$F528&lt;=$E528),"Bottom depth is not below top depth. ","")&amp;IF($I528="","Say which bulk-density basis the lab reported. ","")&amp;IF(AND(ISNUMBER($J528),OR($J528&lt;QC_BD_MIN,$J528&gt;QC_BD_MAX)),"Bulk density outside "&amp;QC_BD_MIN&amp;"–"&amp;QC_BD_MAX&amp;" g/cm³ for peat. Above the top of that range usually means the mineral contact has been passed. ","")&amp;IF(AND(ISNUMBER($N528),$N528&gt;QC_CARBON_PCT_MAX),"Carbon above "&amp;QC_CARBON_PCT_MAX&amp;"% — check units; this may be organic matter rather than carbon. ","")&amp;IF(AND($L528&lt;&gt;"",$M528&lt;&gt;""),"Both LOI and measured carbon given — the measured value is used. ","")&amp;IF(AND($M528="",$L528&lt;&gt;"",OM_FACTOR_IS_LOCAL&lt;&gt;"Yes"),"Carbon derived from LOI using the default factor of "&amp;CARBON_FRACTION_OM&amp;", which has not been calibrated locally. See R1. Reference. ","")&amp;IF(AND(ISNUMBER($O528),$O528=0,ISNUMBER($E528)),"Section lies entirely below the reference depth — it counts to the full-profile stock only. ",""))</f>
        <v/>
      </c>
      <c r="U528" s="14"/>
    </row>
    <row r="529" spans="1:21" ht="15.75" customHeight="1">
      <c r="A529" s="14"/>
      <c r="B529" s="14"/>
      <c r="C529" s="14"/>
      <c r="D529" s="14"/>
      <c r="E529" s="14"/>
      <c r="F529" s="14"/>
      <c r="G529" s="14" t="str">
        <f t="shared" si="50"/>
        <v/>
      </c>
      <c r="H529" s="14"/>
      <c r="I529" s="14"/>
      <c r="J529" s="24"/>
      <c r="K529" s="24"/>
      <c r="L529" s="24"/>
      <c r="M529" s="24"/>
      <c r="N529" s="16" t="str">
        <f t="shared" si="54"/>
        <v/>
      </c>
      <c r="O529" s="16" t="str">
        <f t="shared" si="51"/>
        <v/>
      </c>
      <c r="P529" s="16" t="str">
        <f t="shared" si="52"/>
        <v/>
      </c>
      <c r="Q529" s="16" t="str">
        <f t="shared" si="53"/>
        <v/>
      </c>
      <c r="R529" s="16">
        <f t="shared" si="55"/>
        <v>0</v>
      </c>
      <c r="S529" s="16" t="str">
        <f>IF(OR($B529="",NOT(ISNUMBER($F529))),"",SUMIFS(community_cores_FS!$P$5:$P$597,community_cores_FS!$B$5:$B$597,$B529,community_cores_FS!$F$5:$F$597,"&lt;="&amp;$F529))</f>
        <v/>
      </c>
      <c r="T529" s="16" t="str">
        <f>IF(AND($A529="",$B529="",$E529=""),"",IF(AND($B529&lt;&gt;"",COUNTIF('2. Core Log'!$A$5:$A$124,$B529)=0),"Core ID not in Core Log. ","")&amp;IF(AND($A529&lt;&gt;"",COUNTIF('1. Plot &amp; Site Log'!$A$5:$A$64,$A529)=0),"Plot ID not in Plot &amp; Site Log. ","")&amp;IF(AND(ISNUMBER($E529),ISNUMBER($F529),$F529&lt;=$E529),"Bottom depth is not below top depth. ","")&amp;IF($I529="","Say which bulk-density basis the lab reported. ","")&amp;IF(AND(ISNUMBER($J529),OR($J529&lt;QC_BD_MIN,$J529&gt;QC_BD_MAX)),"Bulk density outside "&amp;QC_BD_MIN&amp;"–"&amp;QC_BD_MAX&amp;" g/cm³ for peat. Above the top of that range usually means the mineral contact has been passed. ","")&amp;IF(AND(ISNUMBER($N529),$N529&gt;QC_CARBON_PCT_MAX),"Carbon above "&amp;QC_CARBON_PCT_MAX&amp;"% — check units; this may be organic matter rather than carbon. ","")&amp;IF(AND($L529&lt;&gt;"",$M529&lt;&gt;""),"Both LOI and measured carbon given — the measured value is used. ","")&amp;IF(AND($M529="",$L529&lt;&gt;"",OM_FACTOR_IS_LOCAL&lt;&gt;"Yes"),"Carbon derived from LOI using the default factor of "&amp;CARBON_FRACTION_OM&amp;", which has not been calibrated locally. See R1. Reference. ","")&amp;IF(AND(ISNUMBER($O529),$O529=0,ISNUMBER($E529)),"Section lies entirely below the reference depth — it counts to the full-profile stock only. ",""))</f>
        <v/>
      </c>
      <c r="U529" s="14"/>
    </row>
    <row r="530" spans="1:21" ht="15.75" customHeight="1">
      <c r="A530" s="14"/>
      <c r="B530" s="14"/>
      <c r="C530" s="14"/>
      <c r="D530" s="14"/>
      <c r="E530" s="14"/>
      <c r="F530" s="14"/>
      <c r="G530" s="14" t="str">
        <f t="shared" si="50"/>
        <v/>
      </c>
      <c r="H530" s="14"/>
      <c r="I530" s="14"/>
      <c r="J530" s="24"/>
      <c r="K530" s="24"/>
      <c r="L530" s="24"/>
      <c r="M530" s="24"/>
      <c r="N530" s="16" t="str">
        <f t="shared" si="54"/>
        <v/>
      </c>
      <c r="O530" s="16" t="str">
        <f t="shared" si="51"/>
        <v/>
      </c>
      <c r="P530" s="16" t="str">
        <f t="shared" si="52"/>
        <v/>
      </c>
      <c r="Q530" s="16" t="str">
        <f t="shared" si="53"/>
        <v/>
      </c>
      <c r="R530" s="16">
        <f t="shared" si="55"/>
        <v>0</v>
      </c>
      <c r="S530" s="16" t="str">
        <f>IF(OR($B530="",NOT(ISNUMBER($F530))),"",SUMIFS(community_cores_FS!$P$5:$P$597,community_cores_FS!$B$5:$B$597,$B530,community_cores_FS!$F$5:$F$597,"&lt;="&amp;$F530))</f>
        <v/>
      </c>
      <c r="T530" s="16" t="str">
        <f>IF(AND($A530="",$B530="",$E530=""),"",IF(AND($B530&lt;&gt;"",COUNTIF('2. Core Log'!$A$5:$A$124,$B530)=0),"Core ID not in Core Log. ","")&amp;IF(AND($A530&lt;&gt;"",COUNTIF('1. Plot &amp; Site Log'!$A$5:$A$64,$A530)=0),"Plot ID not in Plot &amp; Site Log. ","")&amp;IF(AND(ISNUMBER($E530),ISNUMBER($F530),$F530&lt;=$E530),"Bottom depth is not below top depth. ","")&amp;IF($I530="","Say which bulk-density basis the lab reported. ","")&amp;IF(AND(ISNUMBER($J530),OR($J530&lt;QC_BD_MIN,$J530&gt;QC_BD_MAX)),"Bulk density outside "&amp;QC_BD_MIN&amp;"–"&amp;QC_BD_MAX&amp;" g/cm³ for peat. Above the top of that range usually means the mineral contact has been passed. ","")&amp;IF(AND(ISNUMBER($N530),$N530&gt;QC_CARBON_PCT_MAX),"Carbon above "&amp;QC_CARBON_PCT_MAX&amp;"% — check units; this may be organic matter rather than carbon. ","")&amp;IF(AND($L530&lt;&gt;"",$M530&lt;&gt;""),"Both LOI and measured carbon given — the measured value is used. ","")&amp;IF(AND($M530="",$L530&lt;&gt;"",OM_FACTOR_IS_LOCAL&lt;&gt;"Yes"),"Carbon derived from LOI using the default factor of "&amp;CARBON_FRACTION_OM&amp;", which has not been calibrated locally. See R1. Reference. ","")&amp;IF(AND(ISNUMBER($O530),$O530=0,ISNUMBER($E530)),"Section lies entirely below the reference depth — it counts to the full-profile stock only. ",""))</f>
        <v/>
      </c>
      <c r="U530" s="14"/>
    </row>
    <row r="531" spans="1:21" ht="15.75" customHeight="1">
      <c r="A531" s="14"/>
      <c r="B531" s="14"/>
      <c r="C531" s="14"/>
      <c r="D531" s="14"/>
      <c r="E531" s="14"/>
      <c r="F531" s="14"/>
      <c r="G531" s="14" t="str">
        <f t="shared" si="50"/>
        <v/>
      </c>
      <c r="H531" s="14"/>
      <c r="I531" s="14"/>
      <c r="J531" s="24"/>
      <c r="K531" s="24"/>
      <c r="L531" s="24"/>
      <c r="M531" s="24"/>
      <c r="N531" s="16" t="str">
        <f t="shared" si="54"/>
        <v/>
      </c>
      <c r="O531" s="16" t="str">
        <f t="shared" si="51"/>
        <v/>
      </c>
      <c r="P531" s="16" t="str">
        <f t="shared" si="52"/>
        <v/>
      </c>
      <c r="Q531" s="16" t="str">
        <f t="shared" si="53"/>
        <v/>
      </c>
      <c r="R531" s="16">
        <f t="shared" si="55"/>
        <v>0</v>
      </c>
      <c r="S531" s="16" t="str">
        <f>IF(OR($B531="",NOT(ISNUMBER($F531))),"",SUMIFS(community_cores_FS!$P$5:$P$597,community_cores_FS!$B$5:$B$597,$B531,community_cores_FS!$F$5:$F$597,"&lt;="&amp;$F531))</f>
        <v/>
      </c>
      <c r="T531" s="16" t="str">
        <f>IF(AND($A531="",$B531="",$E531=""),"",IF(AND($B531&lt;&gt;"",COUNTIF('2. Core Log'!$A$5:$A$124,$B531)=0),"Core ID not in Core Log. ","")&amp;IF(AND($A531&lt;&gt;"",COUNTIF('1. Plot &amp; Site Log'!$A$5:$A$64,$A531)=0),"Plot ID not in Plot &amp; Site Log. ","")&amp;IF(AND(ISNUMBER($E531),ISNUMBER($F531),$F531&lt;=$E531),"Bottom depth is not below top depth. ","")&amp;IF($I531="","Say which bulk-density basis the lab reported. ","")&amp;IF(AND(ISNUMBER($J531),OR($J531&lt;QC_BD_MIN,$J531&gt;QC_BD_MAX)),"Bulk density outside "&amp;QC_BD_MIN&amp;"–"&amp;QC_BD_MAX&amp;" g/cm³ for peat. Above the top of that range usually means the mineral contact has been passed. ","")&amp;IF(AND(ISNUMBER($N531),$N531&gt;QC_CARBON_PCT_MAX),"Carbon above "&amp;QC_CARBON_PCT_MAX&amp;"% — check units; this may be organic matter rather than carbon. ","")&amp;IF(AND($L531&lt;&gt;"",$M531&lt;&gt;""),"Both LOI and measured carbon given — the measured value is used. ","")&amp;IF(AND($M531="",$L531&lt;&gt;"",OM_FACTOR_IS_LOCAL&lt;&gt;"Yes"),"Carbon derived from LOI using the default factor of "&amp;CARBON_FRACTION_OM&amp;", which has not been calibrated locally. See R1. Reference. ","")&amp;IF(AND(ISNUMBER($O531),$O531=0,ISNUMBER($E531)),"Section lies entirely below the reference depth — it counts to the full-profile stock only. ",""))</f>
        <v/>
      </c>
      <c r="U531" s="14"/>
    </row>
    <row r="532" spans="1:21" ht="15.75" customHeight="1">
      <c r="A532" s="14"/>
      <c r="B532" s="14"/>
      <c r="C532" s="14"/>
      <c r="D532" s="14"/>
      <c r="E532" s="14"/>
      <c r="F532" s="14"/>
      <c r="G532" s="14" t="str">
        <f t="shared" si="50"/>
        <v/>
      </c>
      <c r="H532" s="14"/>
      <c r="I532" s="14"/>
      <c r="J532" s="24"/>
      <c r="K532" s="24"/>
      <c r="L532" s="24"/>
      <c r="M532" s="24"/>
      <c r="N532" s="16" t="str">
        <f t="shared" si="54"/>
        <v/>
      </c>
      <c r="O532" s="16" t="str">
        <f t="shared" si="51"/>
        <v/>
      </c>
      <c r="P532" s="16" t="str">
        <f t="shared" si="52"/>
        <v/>
      </c>
      <c r="Q532" s="16" t="str">
        <f t="shared" si="53"/>
        <v/>
      </c>
      <c r="R532" s="16">
        <f t="shared" si="55"/>
        <v>0</v>
      </c>
      <c r="S532" s="16" t="str">
        <f>IF(OR($B532="",NOT(ISNUMBER($F532))),"",SUMIFS(community_cores_FS!$P$5:$P$597,community_cores_FS!$B$5:$B$597,$B532,community_cores_FS!$F$5:$F$597,"&lt;="&amp;$F532))</f>
        <v/>
      </c>
      <c r="T532" s="16" t="str">
        <f>IF(AND($A532="",$B532="",$E532=""),"",IF(AND($B532&lt;&gt;"",COUNTIF('2. Core Log'!$A$5:$A$124,$B532)=0),"Core ID not in Core Log. ","")&amp;IF(AND($A532&lt;&gt;"",COUNTIF('1. Plot &amp; Site Log'!$A$5:$A$64,$A532)=0),"Plot ID not in Plot &amp; Site Log. ","")&amp;IF(AND(ISNUMBER($E532),ISNUMBER($F532),$F532&lt;=$E532),"Bottom depth is not below top depth. ","")&amp;IF($I532="","Say which bulk-density basis the lab reported. ","")&amp;IF(AND(ISNUMBER($J532),OR($J532&lt;QC_BD_MIN,$J532&gt;QC_BD_MAX)),"Bulk density outside "&amp;QC_BD_MIN&amp;"–"&amp;QC_BD_MAX&amp;" g/cm³ for peat. Above the top of that range usually means the mineral contact has been passed. ","")&amp;IF(AND(ISNUMBER($N532),$N532&gt;QC_CARBON_PCT_MAX),"Carbon above "&amp;QC_CARBON_PCT_MAX&amp;"% — check units; this may be organic matter rather than carbon. ","")&amp;IF(AND($L532&lt;&gt;"",$M532&lt;&gt;""),"Both LOI and measured carbon given — the measured value is used. ","")&amp;IF(AND($M532="",$L532&lt;&gt;"",OM_FACTOR_IS_LOCAL&lt;&gt;"Yes"),"Carbon derived from LOI using the default factor of "&amp;CARBON_FRACTION_OM&amp;", which has not been calibrated locally. See R1. Reference. ","")&amp;IF(AND(ISNUMBER($O532),$O532=0,ISNUMBER($E532)),"Section lies entirely below the reference depth — it counts to the full-profile stock only. ",""))</f>
        <v/>
      </c>
      <c r="U532" s="14"/>
    </row>
    <row r="533" spans="1:21" ht="15.75" customHeight="1">
      <c r="A533" s="14"/>
      <c r="B533" s="14"/>
      <c r="C533" s="14"/>
      <c r="D533" s="14"/>
      <c r="E533" s="14"/>
      <c r="F533" s="14"/>
      <c r="G533" s="14" t="str">
        <f t="shared" si="50"/>
        <v/>
      </c>
      <c r="H533" s="14"/>
      <c r="I533" s="14"/>
      <c r="J533" s="24"/>
      <c r="K533" s="24"/>
      <c r="L533" s="24"/>
      <c r="M533" s="24"/>
      <c r="N533" s="16" t="str">
        <f t="shared" si="54"/>
        <v/>
      </c>
      <c r="O533" s="16" t="str">
        <f t="shared" si="51"/>
        <v/>
      </c>
      <c r="P533" s="16" t="str">
        <f t="shared" si="52"/>
        <v/>
      </c>
      <c r="Q533" s="16" t="str">
        <f t="shared" si="53"/>
        <v/>
      </c>
      <c r="R533" s="16">
        <f t="shared" si="55"/>
        <v>0</v>
      </c>
      <c r="S533" s="16" t="str">
        <f>IF(OR($B533="",NOT(ISNUMBER($F533))),"",SUMIFS(community_cores_FS!$P$5:$P$597,community_cores_FS!$B$5:$B$597,$B533,community_cores_FS!$F$5:$F$597,"&lt;="&amp;$F533))</f>
        <v/>
      </c>
      <c r="T533" s="16" t="str">
        <f>IF(AND($A533="",$B533="",$E533=""),"",IF(AND($B533&lt;&gt;"",COUNTIF('2. Core Log'!$A$5:$A$124,$B533)=0),"Core ID not in Core Log. ","")&amp;IF(AND($A533&lt;&gt;"",COUNTIF('1. Plot &amp; Site Log'!$A$5:$A$64,$A533)=0),"Plot ID not in Plot &amp; Site Log. ","")&amp;IF(AND(ISNUMBER($E533),ISNUMBER($F533),$F533&lt;=$E533),"Bottom depth is not below top depth. ","")&amp;IF($I533="","Say which bulk-density basis the lab reported. ","")&amp;IF(AND(ISNUMBER($J533),OR($J533&lt;QC_BD_MIN,$J533&gt;QC_BD_MAX)),"Bulk density outside "&amp;QC_BD_MIN&amp;"–"&amp;QC_BD_MAX&amp;" g/cm³ for peat. Above the top of that range usually means the mineral contact has been passed. ","")&amp;IF(AND(ISNUMBER($N533),$N533&gt;QC_CARBON_PCT_MAX),"Carbon above "&amp;QC_CARBON_PCT_MAX&amp;"% — check units; this may be organic matter rather than carbon. ","")&amp;IF(AND($L533&lt;&gt;"",$M533&lt;&gt;""),"Both LOI and measured carbon given — the measured value is used. ","")&amp;IF(AND($M533="",$L533&lt;&gt;"",OM_FACTOR_IS_LOCAL&lt;&gt;"Yes"),"Carbon derived from LOI using the default factor of "&amp;CARBON_FRACTION_OM&amp;", which has not been calibrated locally. See R1. Reference. ","")&amp;IF(AND(ISNUMBER($O533),$O533=0,ISNUMBER($E533)),"Section lies entirely below the reference depth — it counts to the full-profile stock only. ",""))</f>
        <v/>
      </c>
      <c r="U533" s="14"/>
    </row>
    <row r="534" spans="1:21" ht="15.75" customHeight="1">
      <c r="A534" s="14"/>
      <c r="B534" s="14"/>
      <c r="C534" s="14"/>
      <c r="D534" s="14"/>
      <c r="E534" s="14"/>
      <c r="F534" s="14"/>
      <c r="G534" s="14" t="str">
        <f t="shared" si="50"/>
        <v/>
      </c>
      <c r="H534" s="14"/>
      <c r="I534" s="14"/>
      <c r="J534" s="24"/>
      <c r="K534" s="24"/>
      <c r="L534" s="24"/>
      <c r="M534" s="24"/>
      <c r="N534" s="16" t="str">
        <f t="shared" si="54"/>
        <v/>
      </c>
      <c r="O534" s="16" t="str">
        <f t="shared" si="51"/>
        <v/>
      </c>
      <c r="P534" s="16" t="str">
        <f t="shared" si="52"/>
        <v/>
      </c>
      <c r="Q534" s="16" t="str">
        <f t="shared" si="53"/>
        <v/>
      </c>
      <c r="R534" s="16">
        <f t="shared" si="55"/>
        <v>0</v>
      </c>
      <c r="S534" s="16" t="str">
        <f>IF(OR($B534="",NOT(ISNUMBER($F534))),"",SUMIFS(community_cores_FS!$P$5:$P$597,community_cores_FS!$B$5:$B$597,$B534,community_cores_FS!$F$5:$F$597,"&lt;="&amp;$F534))</f>
        <v/>
      </c>
      <c r="T534" s="16" t="str">
        <f>IF(AND($A534="",$B534="",$E534=""),"",IF(AND($B534&lt;&gt;"",COUNTIF('2. Core Log'!$A$5:$A$124,$B534)=0),"Core ID not in Core Log. ","")&amp;IF(AND($A534&lt;&gt;"",COUNTIF('1. Plot &amp; Site Log'!$A$5:$A$64,$A534)=0),"Plot ID not in Plot &amp; Site Log. ","")&amp;IF(AND(ISNUMBER($E534),ISNUMBER($F534),$F534&lt;=$E534),"Bottom depth is not below top depth. ","")&amp;IF($I534="","Say which bulk-density basis the lab reported. ","")&amp;IF(AND(ISNUMBER($J534),OR($J534&lt;QC_BD_MIN,$J534&gt;QC_BD_MAX)),"Bulk density outside "&amp;QC_BD_MIN&amp;"–"&amp;QC_BD_MAX&amp;" g/cm³ for peat. Above the top of that range usually means the mineral contact has been passed. ","")&amp;IF(AND(ISNUMBER($N534),$N534&gt;QC_CARBON_PCT_MAX),"Carbon above "&amp;QC_CARBON_PCT_MAX&amp;"% — check units; this may be organic matter rather than carbon. ","")&amp;IF(AND($L534&lt;&gt;"",$M534&lt;&gt;""),"Both LOI and measured carbon given — the measured value is used. ","")&amp;IF(AND($M534="",$L534&lt;&gt;"",OM_FACTOR_IS_LOCAL&lt;&gt;"Yes"),"Carbon derived from LOI using the default factor of "&amp;CARBON_FRACTION_OM&amp;", which has not been calibrated locally. See R1. Reference. ","")&amp;IF(AND(ISNUMBER($O534),$O534=0,ISNUMBER($E534)),"Section lies entirely below the reference depth — it counts to the full-profile stock only. ",""))</f>
        <v/>
      </c>
      <c r="U534" s="14"/>
    </row>
    <row r="535" spans="1:21" ht="15.75" customHeight="1">
      <c r="A535" s="14"/>
      <c r="B535" s="14"/>
      <c r="C535" s="14"/>
      <c r="D535" s="14"/>
      <c r="E535" s="14"/>
      <c r="F535" s="14"/>
      <c r="G535" s="14" t="str">
        <f t="shared" si="50"/>
        <v/>
      </c>
      <c r="H535" s="14"/>
      <c r="I535" s="14"/>
      <c r="J535" s="24"/>
      <c r="K535" s="24"/>
      <c r="L535" s="24"/>
      <c r="M535" s="24"/>
      <c r="N535" s="16" t="str">
        <f t="shared" si="54"/>
        <v/>
      </c>
      <c r="O535" s="16" t="str">
        <f t="shared" si="51"/>
        <v/>
      </c>
      <c r="P535" s="16" t="str">
        <f t="shared" si="52"/>
        <v/>
      </c>
      <c r="Q535" s="16" t="str">
        <f t="shared" si="53"/>
        <v/>
      </c>
      <c r="R535" s="16">
        <f t="shared" si="55"/>
        <v>0</v>
      </c>
      <c r="S535" s="16" t="str">
        <f>IF(OR($B535="",NOT(ISNUMBER($F535))),"",SUMIFS(community_cores_FS!$P$5:$P$597,community_cores_FS!$B$5:$B$597,$B535,community_cores_FS!$F$5:$F$597,"&lt;="&amp;$F535))</f>
        <v/>
      </c>
      <c r="T535" s="16" t="str">
        <f>IF(AND($A535="",$B535="",$E535=""),"",IF(AND($B535&lt;&gt;"",COUNTIF('2. Core Log'!$A$5:$A$124,$B535)=0),"Core ID not in Core Log. ","")&amp;IF(AND($A535&lt;&gt;"",COUNTIF('1. Plot &amp; Site Log'!$A$5:$A$64,$A535)=0),"Plot ID not in Plot &amp; Site Log. ","")&amp;IF(AND(ISNUMBER($E535),ISNUMBER($F535),$F535&lt;=$E535),"Bottom depth is not below top depth. ","")&amp;IF($I535="","Say which bulk-density basis the lab reported. ","")&amp;IF(AND(ISNUMBER($J535),OR($J535&lt;QC_BD_MIN,$J535&gt;QC_BD_MAX)),"Bulk density outside "&amp;QC_BD_MIN&amp;"–"&amp;QC_BD_MAX&amp;" g/cm³ for peat. Above the top of that range usually means the mineral contact has been passed. ","")&amp;IF(AND(ISNUMBER($N535),$N535&gt;QC_CARBON_PCT_MAX),"Carbon above "&amp;QC_CARBON_PCT_MAX&amp;"% — check units; this may be organic matter rather than carbon. ","")&amp;IF(AND($L535&lt;&gt;"",$M535&lt;&gt;""),"Both LOI and measured carbon given — the measured value is used. ","")&amp;IF(AND($M535="",$L535&lt;&gt;"",OM_FACTOR_IS_LOCAL&lt;&gt;"Yes"),"Carbon derived from LOI using the default factor of "&amp;CARBON_FRACTION_OM&amp;", which has not been calibrated locally. See R1. Reference. ","")&amp;IF(AND(ISNUMBER($O535),$O535=0,ISNUMBER($E535)),"Section lies entirely below the reference depth — it counts to the full-profile stock only. ",""))</f>
        <v/>
      </c>
      <c r="U535" s="14"/>
    </row>
    <row r="536" spans="1:21" ht="15.75" customHeight="1">
      <c r="A536" s="14"/>
      <c r="B536" s="14"/>
      <c r="C536" s="14"/>
      <c r="D536" s="14"/>
      <c r="E536" s="14"/>
      <c r="F536" s="14"/>
      <c r="G536" s="14" t="str">
        <f t="shared" si="50"/>
        <v/>
      </c>
      <c r="H536" s="14"/>
      <c r="I536" s="14"/>
      <c r="J536" s="24"/>
      <c r="K536" s="24"/>
      <c r="L536" s="24"/>
      <c r="M536" s="24"/>
      <c r="N536" s="16" t="str">
        <f t="shared" si="54"/>
        <v/>
      </c>
      <c r="O536" s="16" t="str">
        <f t="shared" si="51"/>
        <v/>
      </c>
      <c r="P536" s="16" t="str">
        <f t="shared" si="52"/>
        <v/>
      </c>
      <c r="Q536" s="16" t="str">
        <f t="shared" si="53"/>
        <v/>
      </c>
      <c r="R536" s="16">
        <f t="shared" si="55"/>
        <v>0</v>
      </c>
      <c r="S536" s="16" t="str">
        <f>IF(OR($B536="",NOT(ISNUMBER($F536))),"",SUMIFS(community_cores_FS!$P$5:$P$597,community_cores_FS!$B$5:$B$597,$B536,community_cores_FS!$F$5:$F$597,"&lt;="&amp;$F536))</f>
        <v/>
      </c>
      <c r="T536" s="16" t="str">
        <f>IF(AND($A536="",$B536="",$E536=""),"",IF(AND($B536&lt;&gt;"",COUNTIF('2. Core Log'!$A$5:$A$124,$B536)=0),"Core ID not in Core Log. ","")&amp;IF(AND($A536&lt;&gt;"",COUNTIF('1. Plot &amp; Site Log'!$A$5:$A$64,$A536)=0),"Plot ID not in Plot &amp; Site Log. ","")&amp;IF(AND(ISNUMBER($E536),ISNUMBER($F536),$F536&lt;=$E536),"Bottom depth is not below top depth. ","")&amp;IF($I536="","Say which bulk-density basis the lab reported. ","")&amp;IF(AND(ISNUMBER($J536),OR($J536&lt;QC_BD_MIN,$J536&gt;QC_BD_MAX)),"Bulk density outside "&amp;QC_BD_MIN&amp;"–"&amp;QC_BD_MAX&amp;" g/cm³ for peat. Above the top of that range usually means the mineral contact has been passed. ","")&amp;IF(AND(ISNUMBER($N536),$N536&gt;QC_CARBON_PCT_MAX),"Carbon above "&amp;QC_CARBON_PCT_MAX&amp;"% — check units; this may be organic matter rather than carbon. ","")&amp;IF(AND($L536&lt;&gt;"",$M536&lt;&gt;""),"Both LOI and measured carbon given — the measured value is used. ","")&amp;IF(AND($M536="",$L536&lt;&gt;"",OM_FACTOR_IS_LOCAL&lt;&gt;"Yes"),"Carbon derived from LOI using the default factor of "&amp;CARBON_FRACTION_OM&amp;", which has not been calibrated locally. See R1. Reference. ","")&amp;IF(AND(ISNUMBER($O536),$O536=0,ISNUMBER($E536)),"Section lies entirely below the reference depth — it counts to the full-profile stock only. ",""))</f>
        <v/>
      </c>
      <c r="U536" s="14"/>
    </row>
    <row r="537" spans="1:21" ht="15.75" customHeight="1">
      <c r="A537" s="14"/>
      <c r="B537" s="14"/>
      <c r="C537" s="14"/>
      <c r="D537" s="14"/>
      <c r="E537" s="14"/>
      <c r="F537" s="14"/>
      <c r="G537" s="14" t="str">
        <f t="shared" si="50"/>
        <v/>
      </c>
      <c r="H537" s="14"/>
      <c r="I537" s="14"/>
      <c r="J537" s="24"/>
      <c r="K537" s="24"/>
      <c r="L537" s="24"/>
      <c r="M537" s="24"/>
      <c r="N537" s="16" t="str">
        <f t="shared" si="54"/>
        <v/>
      </c>
      <c r="O537" s="16" t="str">
        <f t="shared" si="51"/>
        <v/>
      </c>
      <c r="P537" s="16" t="str">
        <f t="shared" si="52"/>
        <v/>
      </c>
      <c r="Q537" s="16" t="str">
        <f t="shared" si="53"/>
        <v/>
      </c>
      <c r="R537" s="16">
        <f t="shared" si="55"/>
        <v>0</v>
      </c>
      <c r="S537" s="16" t="str">
        <f>IF(OR($B537="",NOT(ISNUMBER($F537))),"",SUMIFS(community_cores_FS!$P$5:$P$597,community_cores_FS!$B$5:$B$597,$B537,community_cores_FS!$F$5:$F$597,"&lt;="&amp;$F537))</f>
        <v/>
      </c>
      <c r="T537" s="16" t="str">
        <f>IF(AND($A537="",$B537="",$E537=""),"",IF(AND($B537&lt;&gt;"",COUNTIF('2. Core Log'!$A$5:$A$124,$B537)=0),"Core ID not in Core Log. ","")&amp;IF(AND($A537&lt;&gt;"",COUNTIF('1. Plot &amp; Site Log'!$A$5:$A$64,$A537)=0),"Plot ID not in Plot &amp; Site Log. ","")&amp;IF(AND(ISNUMBER($E537),ISNUMBER($F537),$F537&lt;=$E537),"Bottom depth is not below top depth. ","")&amp;IF($I537="","Say which bulk-density basis the lab reported. ","")&amp;IF(AND(ISNUMBER($J537),OR($J537&lt;QC_BD_MIN,$J537&gt;QC_BD_MAX)),"Bulk density outside "&amp;QC_BD_MIN&amp;"–"&amp;QC_BD_MAX&amp;" g/cm³ for peat. Above the top of that range usually means the mineral contact has been passed. ","")&amp;IF(AND(ISNUMBER($N537),$N537&gt;QC_CARBON_PCT_MAX),"Carbon above "&amp;QC_CARBON_PCT_MAX&amp;"% — check units; this may be organic matter rather than carbon. ","")&amp;IF(AND($L537&lt;&gt;"",$M537&lt;&gt;""),"Both LOI and measured carbon given — the measured value is used. ","")&amp;IF(AND($M537="",$L537&lt;&gt;"",OM_FACTOR_IS_LOCAL&lt;&gt;"Yes"),"Carbon derived from LOI using the default factor of "&amp;CARBON_FRACTION_OM&amp;", which has not been calibrated locally. See R1. Reference. ","")&amp;IF(AND(ISNUMBER($O537),$O537=0,ISNUMBER($E537)),"Section lies entirely below the reference depth — it counts to the full-profile stock only. ",""))</f>
        <v/>
      </c>
      <c r="U537" s="14"/>
    </row>
    <row r="538" spans="1:21" ht="15.75" customHeight="1">
      <c r="A538" s="14"/>
      <c r="B538" s="14"/>
      <c r="C538" s="14"/>
      <c r="D538" s="14"/>
      <c r="E538" s="14"/>
      <c r="F538" s="14"/>
      <c r="G538" s="14" t="str">
        <f t="shared" si="50"/>
        <v/>
      </c>
      <c r="H538" s="14"/>
      <c r="I538" s="14"/>
      <c r="J538" s="24"/>
      <c r="K538" s="24"/>
      <c r="L538" s="24"/>
      <c r="M538" s="24"/>
      <c r="N538" s="16" t="str">
        <f t="shared" si="54"/>
        <v/>
      </c>
      <c r="O538" s="16" t="str">
        <f t="shared" si="51"/>
        <v/>
      </c>
      <c r="P538" s="16" t="str">
        <f t="shared" si="52"/>
        <v/>
      </c>
      <c r="Q538" s="16" t="str">
        <f t="shared" si="53"/>
        <v/>
      </c>
      <c r="R538" s="16">
        <f t="shared" si="55"/>
        <v>0</v>
      </c>
      <c r="S538" s="16" t="str">
        <f>IF(OR($B538="",NOT(ISNUMBER($F538))),"",SUMIFS(community_cores_FS!$P$5:$P$597,community_cores_FS!$B$5:$B$597,$B538,community_cores_FS!$F$5:$F$597,"&lt;="&amp;$F538))</f>
        <v/>
      </c>
      <c r="T538" s="16" t="str">
        <f>IF(AND($A538="",$B538="",$E538=""),"",IF(AND($B538&lt;&gt;"",COUNTIF('2. Core Log'!$A$5:$A$124,$B538)=0),"Core ID not in Core Log. ","")&amp;IF(AND($A538&lt;&gt;"",COUNTIF('1. Plot &amp; Site Log'!$A$5:$A$64,$A538)=0),"Plot ID not in Plot &amp; Site Log. ","")&amp;IF(AND(ISNUMBER($E538),ISNUMBER($F538),$F538&lt;=$E538),"Bottom depth is not below top depth. ","")&amp;IF($I538="","Say which bulk-density basis the lab reported. ","")&amp;IF(AND(ISNUMBER($J538),OR($J538&lt;QC_BD_MIN,$J538&gt;QC_BD_MAX)),"Bulk density outside "&amp;QC_BD_MIN&amp;"–"&amp;QC_BD_MAX&amp;" g/cm³ for peat. Above the top of that range usually means the mineral contact has been passed. ","")&amp;IF(AND(ISNUMBER($N538),$N538&gt;QC_CARBON_PCT_MAX),"Carbon above "&amp;QC_CARBON_PCT_MAX&amp;"% — check units; this may be organic matter rather than carbon. ","")&amp;IF(AND($L538&lt;&gt;"",$M538&lt;&gt;""),"Both LOI and measured carbon given — the measured value is used. ","")&amp;IF(AND($M538="",$L538&lt;&gt;"",OM_FACTOR_IS_LOCAL&lt;&gt;"Yes"),"Carbon derived from LOI using the default factor of "&amp;CARBON_FRACTION_OM&amp;", which has not been calibrated locally. See R1. Reference. ","")&amp;IF(AND(ISNUMBER($O538),$O538=0,ISNUMBER($E538)),"Section lies entirely below the reference depth — it counts to the full-profile stock only. ",""))</f>
        <v/>
      </c>
      <c r="U538" s="14"/>
    </row>
    <row r="539" spans="1:21" ht="15.75" customHeight="1">
      <c r="A539" s="14"/>
      <c r="B539" s="14"/>
      <c r="C539" s="14"/>
      <c r="D539" s="14"/>
      <c r="E539" s="14"/>
      <c r="F539" s="14"/>
      <c r="G539" s="14" t="str">
        <f t="shared" ref="G539:G597" si="56">IF(OR($E539="",$F539=""),"",$F539-$E539)</f>
        <v/>
      </c>
      <c r="H539" s="14"/>
      <c r="I539" s="14"/>
      <c r="J539" s="24"/>
      <c r="K539" s="24"/>
      <c r="L539" s="24"/>
      <c r="M539" s="24"/>
      <c r="N539" s="16" t="str">
        <f t="shared" si="54"/>
        <v/>
      </c>
      <c r="O539" s="16" t="str">
        <f t="shared" ref="O539:O597" si="57">IF(OR($E539="",$F539=""),"",MAX(0,MIN($F539,REFERENCE_DEPTH_CM)-MIN($E539,REFERENCE_DEPTH_CM)))</f>
        <v/>
      </c>
      <c r="P539" s="16" t="str">
        <f t="shared" ref="P539:P597" si="58">IF(OR($J539="",$N539="",$G539=""),"",$J539*($N539/100)*$G539*10)</f>
        <v/>
      </c>
      <c r="Q539" s="16" t="str">
        <f t="shared" ref="Q539:Q597" si="59">IF(OR($J539="",$N539="",$O539=""),"",$J539*($N539/100)*$O539*10)</f>
        <v/>
      </c>
      <c r="R539" s="16">
        <f t="shared" si="55"/>
        <v>0</v>
      </c>
      <c r="S539" s="16" t="str">
        <f>IF(OR($B539="",NOT(ISNUMBER($F539))),"",SUMIFS(community_cores_FS!$P$5:$P$597,community_cores_FS!$B$5:$B$597,$B539,community_cores_FS!$F$5:$F$597,"&lt;="&amp;$F539))</f>
        <v/>
      </c>
      <c r="T539" s="16" t="str">
        <f>IF(AND($A539="",$B539="",$E539=""),"",IF(AND($B539&lt;&gt;"",COUNTIF('2. Core Log'!$A$5:$A$124,$B539)=0),"Core ID not in Core Log. ","")&amp;IF(AND($A539&lt;&gt;"",COUNTIF('1. Plot &amp; Site Log'!$A$5:$A$64,$A539)=0),"Plot ID not in Plot &amp; Site Log. ","")&amp;IF(AND(ISNUMBER($E539),ISNUMBER($F539),$F539&lt;=$E539),"Bottom depth is not below top depth. ","")&amp;IF($I539="","Say which bulk-density basis the lab reported. ","")&amp;IF(AND(ISNUMBER($J539),OR($J539&lt;QC_BD_MIN,$J539&gt;QC_BD_MAX)),"Bulk density outside "&amp;QC_BD_MIN&amp;"–"&amp;QC_BD_MAX&amp;" g/cm³ for peat. Above the top of that range usually means the mineral contact has been passed. ","")&amp;IF(AND(ISNUMBER($N539),$N539&gt;QC_CARBON_PCT_MAX),"Carbon above "&amp;QC_CARBON_PCT_MAX&amp;"% — check units; this may be organic matter rather than carbon. ","")&amp;IF(AND($L539&lt;&gt;"",$M539&lt;&gt;""),"Both LOI and measured carbon given — the measured value is used. ","")&amp;IF(AND($M539="",$L539&lt;&gt;"",OM_FACTOR_IS_LOCAL&lt;&gt;"Yes"),"Carbon derived from LOI using the default factor of "&amp;CARBON_FRACTION_OM&amp;", which has not been calibrated locally. See R1. Reference. ","")&amp;IF(AND(ISNUMBER($O539),$O539=0,ISNUMBER($E539)),"Section lies entirely below the reference depth — it counts to the full-profile stock only. ",""))</f>
        <v/>
      </c>
      <c r="U539" s="14"/>
    </row>
    <row r="540" spans="1:21" ht="15.75" customHeight="1">
      <c r="A540" s="14"/>
      <c r="B540" s="14"/>
      <c r="C540" s="14"/>
      <c r="D540" s="14"/>
      <c r="E540" s="14"/>
      <c r="F540" s="14"/>
      <c r="G540" s="14" t="str">
        <f t="shared" si="56"/>
        <v/>
      </c>
      <c r="H540" s="14"/>
      <c r="I540" s="14"/>
      <c r="J540" s="24"/>
      <c r="K540" s="24"/>
      <c r="L540" s="24"/>
      <c r="M540" s="24"/>
      <c r="N540" s="16" t="str">
        <f t="shared" si="54"/>
        <v/>
      </c>
      <c r="O540" s="16" t="str">
        <f t="shared" si="57"/>
        <v/>
      </c>
      <c r="P540" s="16" t="str">
        <f t="shared" si="58"/>
        <v/>
      </c>
      <c r="Q540" s="16" t="str">
        <f t="shared" si="59"/>
        <v/>
      </c>
      <c r="R540" s="16">
        <f t="shared" si="55"/>
        <v>0</v>
      </c>
      <c r="S540" s="16" t="str">
        <f>IF(OR($B540="",NOT(ISNUMBER($F540))),"",SUMIFS(community_cores_FS!$P$5:$P$597,community_cores_FS!$B$5:$B$597,$B540,community_cores_FS!$F$5:$F$597,"&lt;="&amp;$F540))</f>
        <v/>
      </c>
      <c r="T540" s="16" t="str">
        <f>IF(AND($A540="",$B540="",$E540=""),"",IF(AND($B540&lt;&gt;"",COUNTIF('2. Core Log'!$A$5:$A$124,$B540)=0),"Core ID not in Core Log. ","")&amp;IF(AND($A540&lt;&gt;"",COUNTIF('1. Plot &amp; Site Log'!$A$5:$A$64,$A540)=0),"Plot ID not in Plot &amp; Site Log. ","")&amp;IF(AND(ISNUMBER($E540),ISNUMBER($F540),$F540&lt;=$E540),"Bottom depth is not below top depth. ","")&amp;IF($I540="","Say which bulk-density basis the lab reported. ","")&amp;IF(AND(ISNUMBER($J540),OR($J540&lt;QC_BD_MIN,$J540&gt;QC_BD_MAX)),"Bulk density outside "&amp;QC_BD_MIN&amp;"–"&amp;QC_BD_MAX&amp;" g/cm³ for peat. Above the top of that range usually means the mineral contact has been passed. ","")&amp;IF(AND(ISNUMBER($N540),$N540&gt;QC_CARBON_PCT_MAX),"Carbon above "&amp;QC_CARBON_PCT_MAX&amp;"% — check units; this may be organic matter rather than carbon. ","")&amp;IF(AND($L540&lt;&gt;"",$M540&lt;&gt;""),"Both LOI and measured carbon given — the measured value is used. ","")&amp;IF(AND($M540="",$L540&lt;&gt;"",OM_FACTOR_IS_LOCAL&lt;&gt;"Yes"),"Carbon derived from LOI using the default factor of "&amp;CARBON_FRACTION_OM&amp;", which has not been calibrated locally. See R1. Reference. ","")&amp;IF(AND(ISNUMBER($O540),$O540=0,ISNUMBER($E540)),"Section lies entirely below the reference depth — it counts to the full-profile stock only. ",""))</f>
        <v/>
      </c>
      <c r="U540" s="14"/>
    </row>
    <row r="541" spans="1:21" ht="15.75" customHeight="1">
      <c r="A541" s="14"/>
      <c r="B541" s="14"/>
      <c r="C541" s="14"/>
      <c r="D541" s="14"/>
      <c r="E541" s="14"/>
      <c r="F541" s="14"/>
      <c r="G541" s="14" t="str">
        <f t="shared" si="56"/>
        <v/>
      </c>
      <c r="H541" s="14"/>
      <c r="I541" s="14"/>
      <c r="J541" s="24"/>
      <c r="K541" s="24"/>
      <c r="L541" s="24"/>
      <c r="M541" s="24"/>
      <c r="N541" s="16" t="str">
        <f t="shared" si="54"/>
        <v/>
      </c>
      <c r="O541" s="16" t="str">
        <f t="shared" si="57"/>
        <v/>
      </c>
      <c r="P541" s="16" t="str">
        <f t="shared" si="58"/>
        <v/>
      </c>
      <c r="Q541" s="16" t="str">
        <f t="shared" si="59"/>
        <v/>
      </c>
      <c r="R541" s="16">
        <f t="shared" si="55"/>
        <v>0</v>
      </c>
      <c r="S541" s="16" t="str">
        <f>IF(OR($B541="",NOT(ISNUMBER($F541))),"",SUMIFS(community_cores_FS!$P$5:$P$597,community_cores_FS!$B$5:$B$597,$B541,community_cores_FS!$F$5:$F$597,"&lt;="&amp;$F541))</f>
        <v/>
      </c>
      <c r="T541" s="16" t="str">
        <f>IF(AND($A541="",$B541="",$E541=""),"",IF(AND($B541&lt;&gt;"",COUNTIF('2. Core Log'!$A$5:$A$124,$B541)=0),"Core ID not in Core Log. ","")&amp;IF(AND($A541&lt;&gt;"",COUNTIF('1. Plot &amp; Site Log'!$A$5:$A$64,$A541)=0),"Plot ID not in Plot &amp; Site Log. ","")&amp;IF(AND(ISNUMBER($E541),ISNUMBER($F541),$F541&lt;=$E541),"Bottom depth is not below top depth. ","")&amp;IF($I541="","Say which bulk-density basis the lab reported. ","")&amp;IF(AND(ISNUMBER($J541),OR($J541&lt;QC_BD_MIN,$J541&gt;QC_BD_MAX)),"Bulk density outside "&amp;QC_BD_MIN&amp;"–"&amp;QC_BD_MAX&amp;" g/cm³ for peat. Above the top of that range usually means the mineral contact has been passed. ","")&amp;IF(AND(ISNUMBER($N541),$N541&gt;QC_CARBON_PCT_MAX),"Carbon above "&amp;QC_CARBON_PCT_MAX&amp;"% — check units; this may be organic matter rather than carbon. ","")&amp;IF(AND($L541&lt;&gt;"",$M541&lt;&gt;""),"Both LOI and measured carbon given — the measured value is used. ","")&amp;IF(AND($M541="",$L541&lt;&gt;"",OM_FACTOR_IS_LOCAL&lt;&gt;"Yes"),"Carbon derived from LOI using the default factor of "&amp;CARBON_FRACTION_OM&amp;", which has not been calibrated locally. See R1. Reference. ","")&amp;IF(AND(ISNUMBER($O541),$O541=0,ISNUMBER($E541)),"Section lies entirely below the reference depth — it counts to the full-profile stock only. ",""))</f>
        <v/>
      </c>
      <c r="U541" s="14"/>
    </row>
    <row r="542" spans="1:21" ht="15.75" customHeight="1">
      <c r="A542" s="14"/>
      <c r="B542" s="14"/>
      <c r="C542" s="14"/>
      <c r="D542" s="14"/>
      <c r="E542" s="14"/>
      <c r="F542" s="14"/>
      <c r="G542" s="14" t="str">
        <f t="shared" si="56"/>
        <v/>
      </c>
      <c r="H542" s="14"/>
      <c r="I542" s="14"/>
      <c r="J542" s="24"/>
      <c r="K542" s="24"/>
      <c r="L542" s="24"/>
      <c r="M542" s="24"/>
      <c r="N542" s="16" t="str">
        <f t="shared" si="54"/>
        <v/>
      </c>
      <c r="O542" s="16" t="str">
        <f t="shared" si="57"/>
        <v/>
      </c>
      <c r="P542" s="16" t="str">
        <f t="shared" si="58"/>
        <v/>
      </c>
      <c r="Q542" s="16" t="str">
        <f t="shared" si="59"/>
        <v/>
      </c>
      <c r="R542" s="16">
        <f t="shared" si="55"/>
        <v>0</v>
      </c>
      <c r="S542" s="16" t="str">
        <f>IF(OR($B542="",NOT(ISNUMBER($F542))),"",SUMIFS(community_cores_FS!$P$5:$P$597,community_cores_FS!$B$5:$B$597,$B542,community_cores_FS!$F$5:$F$597,"&lt;="&amp;$F542))</f>
        <v/>
      </c>
      <c r="T542" s="16" t="str">
        <f>IF(AND($A542="",$B542="",$E542=""),"",IF(AND($B542&lt;&gt;"",COUNTIF('2. Core Log'!$A$5:$A$124,$B542)=0),"Core ID not in Core Log. ","")&amp;IF(AND($A542&lt;&gt;"",COUNTIF('1. Plot &amp; Site Log'!$A$5:$A$64,$A542)=0),"Plot ID not in Plot &amp; Site Log. ","")&amp;IF(AND(ISNUMBER($E542),ISNUMBER($F542),$F542&lt;=$E542),"Bottom depth is not below top depth. ","")&amp;IF($I542="","Say which bulk-density basis the lab reported. ","")&amp;IF(AND(ISNUMBER($J542),OR($J542&lt;QC_BD_MIN,$J542&gt;QC_BD_MAX)),"Bulk density outside "&amp;QC_BD_MIN&amp;"–"&amp;QC_BD_MAX&amp;" g/cm³ for peat. Above the top of that range usually means the mineral contact has been passed. ","")&amp;IF(AND(ISNUMBER($N542),$N542&gt;QC_CARBON_PCT_MAX),"Carbon above "&amp;QC_CARBON_PCT_MAX&amp;"% — check units; this may be organic matter rather than carbon. ","")&amp;IF(AND($L542&lt;&gt;"",$M542&lt;&gt;""),"Both LOI and measured carbon given — the measured value is used. ","")&amp;IF(AND($M542="",$L542&lt;&gt;"",OM_FACTOR_IS_LOCAL&lt;&gt;"Yes"),"Carbon derived from LOI using the default factor of "&amp;CARBON_FRACTION_OM&amp;", which has not been calibrated locally. See R1. Reference. ","")&amp;IF(AND(ISNUMBER($O542),$O542=0,ISNUMBER($E542)),"Section lies entirely below the reference depth — it counts to the full-profile stock only. ",""))</f>
        <v/>
      </c>
      <c r="U542" s="14"/>
    </row>
    <row r="543" spans="1:21" ht="15.75" customHeight="1">
      <c r="A543" s="14"/>
      <c r="B543" s="14"/>
      <c r="C543" s="14"/>
      <c r="D543" s="14"/>
      <c r="E543" s="14"/>
      <c r="F543" s="14"/>
      <c r="G543" s="14" t="str">
        <f t="shared" si="56"/>
        <v/>
      </c>
      <c r="H543" s="14"/>
      <c r="I543" s="14"/>
      <c r="J543" s="24"/>
      <c r="K543" s="24"/>
      <c r="L543" s="24"/>
      <c r="M543" s="24"/>
      <c r="N543" s="16" t="str">
        <f t="shared" si="54"/>
        <v/>
      </c>
      <c r="O543" s="16" t="str">
        <f t="shared" si="57"/>
        <v/>
      </c>
      <c r="P543" s="16" t="str">
        <f t="shared" si="58"/>
        <v/>
      </c>
      <c r="Q543" s="16" t="str">
        <f t="shared" si="59"/>
        <v/>
      </c>
      <c r="R543" s="16">
        <f t="shared" si="55"/>
        <v>0</v>
      </c>
      <c r="S543" s="16" t="str">
        <f>IF(OR($B543="",NOT(ISNUMBER($F543))),"",SUMIFS(community_cores_FS!$P$5:$P$597,community_cores_FS!$B$5:$B$597,$B543,community_cores_FS!$F$5:$F$597,"&lt;="&amp;$F543))</f>
        <v/>
      </c>
      <c r="T543" s="16" t="str">
        <f>IF(AND($A543="",$B543="",$E543=""),"",IF(AND($B543&lt;&gt;"",COUNTIF('2. Core Log'!$A$5:$A$124,$B543)=0),"Core ID not in Core Log. ","")&amp;IF(AND($A543&lt;&gt;"",COUNTIF('1. Plot &amp; Site Log'!$A$5:$A$64,$A543)=0),"Plot ID not in Plot &amp; Site Log. ","")&amp;IF(AND(ISNUMBER($E543),ISNUMBER($F543),$F543&lt;=$E543),"Bottom depth is not below top depth. ","")&amp;IF($I543="","Say which bulk-density basis the lab reported. ","")&amp;IF(AND(ISNUMBER($J543),OR($J543&lt;QC_BD_MIN,$J543&gt;QC_BD_MAX)),"Bulk density outside "&amp;QC_BD_MIN&amp;"–"&amp;QC_BD_MAX&amp;" g/cm³ for peat. Above the top of that range usually means the mineral contact has been passed. ","")&amp;IF(AND(ISNUMBER($N543),$N543&gt;QC_CARBON_PCT_MAX),"Carbon above "&amp;QC_CARBON_PCT_MAX&amp;"% — check units; this may be organic matter rather than carbon. ","")&amp;IF(AND($L543&lt;&gt;"",$M543&lt;&gt;""),"Both LOI and measured carbon given — the measured value is used. ","")&amp;IF(AND($M543="",$L543&lt;&gt;"",OM_FACTOR_IS_LOCAL&lt;&gt;"Yes"),"Carbon derived from LOI using the default factor of "&amp;CARBON_FRACTION_OM&amp;", which has not been calibrated locally. See R1. Reference. ","")&amp;IF(AND(ISNUMBER($O543),$O543=0,ISNUMBER($E543)),"Section lies entirely below the reference depth — it counts to the full-profile stock only. ",""))</f>
        <v/>
      </c>
      <c r="U543" s="14"/>
    </row>
    <row r="544" spans="1:21" ht="15.75" customHeight="1">
      <c r="A544" s="14"/>
      <c r="B544" s="14"/>
      <c r="C544" s="14"/>
      <c r="D544" s="14"/>
      <c r="E544" s="14"/>
      <c r="F544" s="14"/>
      <c r="G544" s="14" t="str">
        <f t="shared" si="56"/>
        <v/>
      </c>
      <c r="H544" s="14"/>
      <c r="I544" s="14"/>
      <c r="J544" s="24"/>
      <c r="K544" s="24"/>
      <c r="L544" s="24"/>
      <c r="M544" s="24"/>
      <c r="N544" s="16" t="str">
        <f t="shared" si="54"/>
        <v/>
      </c>
      <c r="O544" s="16" t="str">
        <f t="shared" si="57"/>
        <v/>
      </c>
      <c r="P544" s="16" t="str">
        <f t="shared" si="58"/>
        <v/>
      </c>
      <c r="Q544" s="16" t="str">
        <f t="shared" si="59"/>
        <v/>
      </c>
      <c r="R544" s="16">
        <f t="shared" si="55"/>
        <v>0</v>
      </c>
      <c r="S544" s="16" t="str">
        <f>IF(OR($B544="",NOT(ISNUMBER($F544))),"",SUMIFS(community_cores_FS!$P$5:$P$597,community_cores_FS!$B$5:$B$597,$B544,community_cores_FS!$F$5:$F$597,"&lt;="&amp;$F544))</f>
        <v/>
      </c>
      <c r="T544" s="16" t="str">
        <f>IF(AND($A544="",$B544="",$E544=""),"",IF(AND($B544&lt;&gt;"",COUNTIF('2. Core Log'!$A$5:$A$124,$B544)=0),"Core ID not in Core Log. ","")&amp;IF(AND($A544&lt;&gt;"",COUNTIF('1. Plot &amp; Site Log'!$A$5:$A$64,$A544)=0),"Plot ID not in Plot &amp; Site Log. ","")&amp;IF(AND(ISNUMBER($E544),ISNUMBER($F544),$F544&lt;=$E544),"Bottom depth is not below top depth. ","")&amp;IF($I544="","Say which bulk-density basis the lab reported. ","")&amp;IF(AND(ISNUMBER($J544),OR($J544&lt;QC_BD_MIN,$J544&gt;QC_BD_MAX)),"Bulk density outside "&amp;QC_BD_MIN&amp;"–"&amp;QC_BD_MAX&amp;" g/cm³ for peat. Above the top of that range usually means the mineral contact has been passed. ","")&amp;IF(AND(ISNUMBER($N544),$N544&gt;QC_CARBON_PCT_MAX),"Carbon above "&amp;QC_CARBON_PCT_MAX&amp;"% — check units; this may be organic matter rather than carbon. ","")&amp;IF(AND($L544&lt;&gt;"",$M544&lt;&gt;""),"Both LOI and measured carbon given — the measured value is used. ","")&amp;IF(AND($M544="",$L544&lt;&gt;"",OM_FACTOR_IS_LOCAL&lt;&gt;"Yes"),"Carbon derived from LOI using the default factor of "&amp;CARBON_FRACTION_OM&amp;", which has not been calibrated locally. See R1. Reference. ","")&amp;IF(AND(ISNUMBER($O544),$O544=0,ISNUMBER($E544)),"Section lies entirely below the reference depth — it counts to the full-profile stock only. ",""))</f>
        <v/>
      </c>
      <c r="U544" s="14"/>
    </row>
    <row r="545" spans="1:21" ht="15.75" customHeight="1">
      <c r="A545" s="14"/>
      <c r="B545" s="14"/>
      <c r="C545" s="14"/>
      <c r="D545" s="14"/>
      <c r="E545" s="14"/>
      <c r="F545" s="14"/>
      <c r="G545" s="14" t="str">
        <f t="shared" si="56"/>
        <v/>
      </c>
      <c r="H545" s="14"/>
      <c r="I545" s="14"/>
      <c r="J545" s="24"/>
      <c r="K545" s="24"/>
      <c r="L545" s="24"/>
      <c r="M545" s="24"/>
      <c r="N545" s="16" t="str">
        <f t="shared" si="54"/>
        <v/>
      </c>
      <c r="O545" s="16" t="str">
        <f t="shared" si="57"/>
        <v/>
      </c>
      <c r="P545" s="16" t="str">
        <f t="shared" si="58"/>
        <v/>
      </c>
      <c r="Q545" s="16" t="str">
        <f t="shared" si="59"/>
        <v/>
      </c>
      <c r="R545" s="16">
        <f t="shared" si="55"/>
        <v>0</v>
      </c>
      <c r="S545" s="16" t="str">
        <f>IF(OR($B545="",NOT(ISNUMBER($F545))),"",SUMIFS(community_cores_FS!$P$5:$P$597,community_cores_FS!$B$5:$B$597,$B545,community_cores_FS!$F$5:$F$597,"&lt;="&amp;$F545))</f>
        <v/>
      </c>
      <c r="T545" s="16" t="str">
        <f>IF(AND($A545="",$B545="",$E545=""),"",IF(AND($B545&lt;&gt;"",COUNTIF('2. Core Log'!$A$5:$A$124,$B545)=0),"Core ID not in Core Log. ","")&amp;IF(AND($A545&lt;&gt;"",COUNTIF('1. Plot &amp; Site Log'!$A$5:$A$64,$A545)=0),"Plot ID not in Plot &amp; Site Log. ","")&amp;IF(AND(ISNUMBER($E545),ISNUMBER($F545),$F545&lt;=$E545),"Bottom depth is not below top depth. ","")&amp;IF($I545="","Say which bulk-density basis the lab reported. ","")&amp;IF(AND(ISNUMBER($J545),OR($J545&lt;QC_BD_MIN,$J545&gt;QC_BD_MAX)),"Bulk density outside "&amp;QC_BD_MIN&amp;"–"&amp;QC_BD_MAX&amp;" g/cm³ for peat. Above the top of that range usually means the mineral contact has been passed. ","")&amp;IF(AND(ISNUMBER($N545),$N545&gt;QC_CARBON_PCT_MAX),"Carbon above "&amp;QC_CARBON_PCT_MAX&amp;"% — check units; this may be organic matter rather than carbon. ","")&amp;IF(AND($L545&lt;&gt;"",$M545&lt;&gt;""),"Both LOI and measured carbon given — the measured value is used. ","")&amp;IF(AND($M545="",$L545&lt;&gt;"",OM_FACTOR_IS_LOCAL&lt;&gt;"Yes"),"Carbon derived from LOI using the default factor of "&amp;CARBON_FRACTION_OM&amp;", which has not been calibrated locally. See R1. Reference. ","")&amp;IF(AND(ISNUMBER($O545),$O545=0,ISNUMBER($E545)),"Section lies entirely below the reference depth — it counts to the full-profile stock only. ",""))</f>
        <v/>
      </c>
      <c r="U545" s="14"/>
    </row>
    <row r="546" spans="1:21" ht="15.75" customHeight="1">
      <c r="A546" s="14"/>
      <c r="B546" s="14"/>
      <c r="C546" s="14"/>
      <c r="D546" s="14"/>
      <c r="E546" s="14"/>
      <c r="F546" s="14"/>
      <c r="G546" s="14" t="str">
        <f t="shared" si="56"/>
        <v/>
      </c>
      <c r="H546" s="14"/>
      <c r="I546" s="14"/>
      <c r="J546" s="24"/>
      <c r="K546" s="24"/>
      <c r="L546" s="24"/>
      <c r="M546" s="24"/>
      <c r="N546" s="16" t="str">
        <f t="shared" si="54"/>
        <v/>
      </c>
      <c r="O546" s="16" t="str">
        <f t="shared" si="57"/>
        <v/>
      </c>
      <c r="P546" s="16" t="str">
        <f t="shared" si="58"/>
        <v/>
      </c>
      <c r="Q546" s="16" t="str">
        <f t="shared" si="59"/>
        <v/>
      </c>
      <c r="R546" s="16">
        <f t="shared" si="55"/>
        <v>0</v>
      </c>
      <c r="S546" s="16" t="str">
        <f>IF(OR($B546="",NOT(ISNUMBER($F546))),"",SUMIFS(community_cores_FS!$P$5:$P$597,community_cores_FS!$B$5:$B$597,$B546,community_cores_FS!$F$5:$F$597,"&lt;="&amp;$F546))</f>
        <v/>
      </c>
      <c r="T546" s="16" t="str">
        <f>IF(AND($A546="",$B546="",$E546=""),"",IF(AND($B546&lt;&gt;"",COUNTIF('2. Core Log'!$A$5:$A$124,$B546)=0),"Core ID not in Core Log. ","")&amp;IF(AND($A546&lt;&gt;"",COUNTIF('1. Plot &amp; Site Log'!$A$5:$A$64,$A546)=0),"Plot ID not in Plot &amp; Site Log. ","")&amp;IF(AND(ISNUMBER($E546),ISNUMBER($F546),$F546&lt;=$E546),"Bottom depth is not below top depth. ","")&amp;IF($I546="","Say which bulk-density basis the lab reported. ","")&amp;IF(AND(ISNUMBER($J546),OR($J546&lt;QC_BD_MIN,$J546&gt;QC_BD_MAX)),"Bulk density outside "&amp;QC_BD_MIN&amp;"–"&amp;QC_BD_MAX&amp;" g/cm³ for peat. Above the top of that range usually means the mineral contact has been passed. ","")&amp;IF(AND(ISNUMBER($N546),$N546&gt;QC_CARBON_PCT_MAX),"Carbon above "&amp;QC_CARBON_PCT_MAX&amp;"% — check units; this may be organic matter rather than carbon. ","")&amp;IF(AND($L546&lt;&gt;"",$M546&lt;&gt;""),"Both LOI and measured carbon given — the measured value is used. ","")&amp;IF(AND($M546="",$L546&lt;&gt;"",OM_FACTOR_IS_LOCAL&lt;&gt;"Yes"),"Carbon derived from LOI using the default factor of "&amp;CARBON_FRACTION_OM&amp;", which has not been calibrated locally. See R1. Reference. ","")&amp;IF(AND(ISNUMBER($O546),$O546=0,ISNUMBER($E546)),"Section lies entirely below the reference depth — it counts to the full-profile stock only. ",""))</f>
        <v/>
      </c>
      <c r="U546" s="14"/>
    </row>
    <row r="547" spans="1:21" ht="15.75" customHeight="1">
      <c r="A547" s="14"/>
      <c r="B547" s="14"/>
      <c r="C547" s="14"/>
      <c r="D547" s="14"/>
      <c r="E547" s="14"/>
      <c r="F547" s="14"/>
      <c r="G547" s="14" t="str">
        <f t="shared" si="56"/>
        <v/>
      </c>
      <c r="H547" s="14"/>
      <c r="I547" s="14"/>
      <c r="J547" s="24"/>
      <c r="K547" s="24"/>
      <c r="L547" s="24"/>
      <c r="M547" s="24"/>
      <c r="N547" s="16" t="str">
        <f t="shared" si="54"/>
        <v/>
      </c>
      <c r="O547" s="16" t="str">
        <f t="shared" si="57"/>
        <v/>
      </c>
      <c r="P547" s="16" t="str">
        <f t="shared" si="58"/>
        <v/>
      </c>
      <c r="Q547" s="16" t="str">
        <f t="shared" si="59"/>
        <v/>
      </c>
      <c r="R547" s="16">
        <f t="shared" si="55"/>
        <v>0</v>
      </c>
      <c r="S547" s="16" t="str">
        <f>IF(OR($B547="",NOT(ISNUMBER($F547))),"",SUMIFS(community_cores_FS!$P$5:$P$597,community_cores_FS!$B$5:$B$597,$B547,community_cores_FS!$F$5:$F$597,"&lt;="&amp;$F547))</f>
        <v/>
      </c>
      <c r="T547" s="16" t="str">
        <f>IF(AND($A547="",$B547="",$E547=""),"",IF(AND($B547&lt;&gt;"",COUNTIF('2. Core Log'!$A$5:$A$124,$B547)=0),"Core ID not in Core Log. ","")&amp;IF(AND($A547&lt;&gt;"",COUNTIF('1. Plot &amp; Site Log'!$A$5:$A$64,$A547)=0),"Plot ID not in Plot &amp; Site Log. ","")&amp;IF(AND(ISNUMBER($E547),ISNUMBER($F547),$F547&lt;=$E547),"Bottom depth is not below top depth. ","")&amp;IF($I547="","Say which bulk-density basis the lab reported. ","")&amp;IF(AND(ISNUMBER($J547),OR($J547&lt;QC_BD_MIN,$J547&gt;QC_BD_MAX)),"Bulk density outside "&amp;QC_BD_MIN&amp;"–"&amp;QC_BD_MAX&amp;" g/cm³ for peat. Above the top of that range usually means the mineral contact has been passed. ","")&amp;IF(AND(ISNUMBER($N547),$N547&gt;QC_CARBON_PCT_MAX),"Carbon above "&amp;QC_CARBON_PCT_MAX&amp;"% — check units; this may be organic matter rather than carbon. ","")&amp;IF(AND($L547&lt;&gt;"",$M547&lt;&gt;""),"Both LOI and measured carbon given — the measured value is used. ","")&amp;IF(AND($M547="",$L547&lt;&gt;"",OM_FACTOR_IS_LOCAL&lt;&gt;"Yes"),"Carbon derived from LOI using the default factor of "&amp;CARBON_FRACTION_OM&amp;", which has not been calibrated locally. See R1. Reference. ","")&amp;IF(AND(ISNUMBER($O547),$O547=0,ISNUMBER($E547)),"Section lies entirely below the reference depth — it counts to the full-profile stock only. ",""))</f>
        <v/>
      </c>
      <c r="U547" s="14"/>
    </row>
    <row r="548" spans="1:21" ht="15.75" customHeight="1">
      <c r="A548" s="14"/>
      <c r="B548" s="14"/>
      <c r="C548" s="14"/>
      <c r="D548" s="14"/>
      <c r="E548" s="14"/>
      <c r="F548" s="14"/>
      <c r="G548" s="14" t="str">
        <f t="shared" si="56"/>
        <v/>
      </c>
      <c r="H548" s="14"/>
      <c r="I548" s="14"/>
      <c r="J548" s="24"/>
      <c r="K548" s="24"/>
      <c r="L548" s="24"/>
      <c r="M548" s="24"/>
      <c r="N548" s="16" t="str">
        <f t="shared" si="54"/>
        <v/>
      </c>
      <c r="O548" s="16" t="str">
        <f t="shared" si="57"/>
        <v/>
      </c>
      <c r="P548" s="16" t="str">
        <f t="shared" si="58"/>
        <v/>
      </c>
      <c r="Q548" s="16" t="str">
        <f t="shared" si="59"/>
        <v/>
      </c>
      <c r="R548" s="16">
        <f t="shared" si="55"/>
        <v>0</v>
      </c>
      <c r="S548" s="16" t="str">
        <f>IF(OR($B548="",NOT(ISNUMBER($F548))),"",SUMIFS(community_cores_FS!$P$5:$P$597,community_cores_FS!$B$5:$B$597,$B548,community_cores_FS!$F$5:$F$597,"&lt;="&amp;$F548))</f>
        <v/>
      </c>
      <c r="T548" s="16" t="str">
        <f>IF(AND($A548="",$B548="",$E548=""),"",IF(AND($B548&lt;&gt;"",COUNTIF('2. Core Log'!$A$5:$A$124,$B548)=0),"Core ID not in Core Log. ","")&amp;IF(AND($A548&lt;&gt;"",COUNTIF('1. Plot &amp; Site Log'!$A$5:$A$64,$A548)=0),"Plot ID not in Plot &amp; Site Log. ","")&amp;IF(AND(ISNUMBER($E548),ISNUMBER($F548),$F548&lt;=$E548),"Bottom depth is not below top depth. ","")&amp;IF($I548="","Say which bulk-density basis the lab reported. ","")&amp;IF(AND(ISNUMBER($J548),OR($J548&lt;QC_BD_MIN,$J548&gt;QC_BD_MAX)),"Bulk density outside "&amp;QC_BD_MIN&amp;"–"&amp;QC_BD_MAX&amp;" g/cm³ for peat. Above the top of that range usually means the mineral contact has been passed. ","")&amp;IF(AND(ISNUMBER($N548),$N548&gt;QC_CARBON_PCT_MAX),"Carbon above "&amp;QC_CARBON_PCT_MAX&amp;"% — check units; this may be organic matter rather than carbon. ","")&amp;IF(AND($L548&lt;&gt;"",$M548&lt;&gt;""),"Both LOI and measured carbon given — the measured value is used. ","")&amp;IF(AND($M548="",$L548&lt;&gt;"",OM_FACTOR_IS_LOCAL&lt;&gt;"Yes"),"Carbon derived from LOI using the default factor of "&amp;CARBON_FRACTION_OM&amp;", which has not been calibrated locally. See R1. Reference. ","")&amp;IF(AND(ISNUMBER($O548),$O548=0,ISNUMBER($E548)),"Section lies entirely below the reference depth — it counts to the full-profile stock only. ",""))</f>
        <v/>
      </c>
      <c r="U548" s="14"/>
    </row>
    <row r="549" spans="1:21" ht="15.75" customHeight="1">
      <c r="A549" s="14"/>
      <c r="B549" s="14"/>
      <c r="C549" s="14"/>
      <c r="D549" s="14"/>
      <c r="E549" s="14"/>
      <c r="F549" s="14"/>
      <c r="G549" s="14" t="str">
        <f t="shared" si="56"/>
        <v/>
      </c>
      <c r="H549" s="14"/>
      <c r="I549" s="14"/>
      <c r="J549" s="24"/>
      <c r="K549" s="24"/>
      <c r="L549" s="24"/>
      <c r="M549" s="24"/>
      <c r="N549" s="16" t="str">
        <f t="shared" si="54"/>
        <v/>
      </c>
      <c r="O549" s="16" t="str">
        <f t="shared" si="57"/>
        <v/>
      </c>
      <c r="P549" s="16" t="str">
        <f t="shared" si="58"/>
        <v/>
      </c>
      <c r="Q549" s="16" t="str">
        <f t="shared" si="59"/>
        <v/>
      </c>
      <c r="R549" s="16">
        <f t="shared" si="55"/>
        <v>0</v>
      </c>
      <c r="S549" s="16" t="str">
        <f>IF(OR($B549="",NOT(ISNUMBER($F549))),"",SUMIFS(community_cores_FS!$P$5:$P$597,community_cores_FS!$B$5:$B$597,$B549,community_cores_FS!$F$5:$F$597,"&lt;="&amp;$F549))</f>
        <v/>
      </c>
      <c r="T549" s="16" t="str">
        <f>IF(AND($A549="",$B549="",$E549=""),"",IF(AND($B549&lt;&gt;"",COUNTIF('2. Core Log'!$A$5:$A$124,$B549)=0),"Core ID not in Core Log. ","")&amp;IF(AND($A549&lt;&gt;"",COUNTIF('1. Plot &amp; Site Log'!$A$5:$A$64,$A549)=0),"Plot ID not in Plot &amp; Site Log. ","")&amp;IF(AND(ISNUMBER($E549),ISNUMBER($F549),$F549&lt;=$E549),"Bottom depth is not below top depth. ","")&amp;IF($I549="","Say which bulk-density basis the lab reported. ","")&amp;IF(AND(ISNUMBER($J549),OR($J549&lt;QC_BD_MIN,$J549&gt;QC_BD_MAX)),"Bulk density outside "&amp;QC_BD_MIN&amp;"–"&amp;QC_BD_MAX&amp;" g/cm³ for peat. Above the top of that range usually means the mineral contact has been passed. ","")&amp;IF(AND(ISNUMBER($N549),$N549&gt;QC_CARBON_PCT_MAX),"Carbon above "&amp;QC_CARBON_PCT_MAX&amp;"% — check units; this may be organic matter rather than carbon. ","")&amp;IF(AND($L549&lt;&gt;"",$M549&lt;&gt;""),"Both LOI and measured carbon given — the measured value is used. ","")&amp;IF(AND($M549="",$L549&lt;&gt;"",OM_FACTOR_IS_LOCAL&lt;&gt;"Yes"),"Carbon derived from LOI using the default factor of "&amp;CARBON_FRACTION_OM&amp;", which has not been calibrated locally. See R1. Reference. ","")&amp;IF(AND(ISNUMBER($O549),$O549=0,ISNUMBER($E549)),"Section lies entirely below the reference depth — it counts to the full-profile stock only. ",""))</f>
        <v/>
      </c>
      <c r="U549" s="14"/>
    </row>
    <row r="550" spans="1:21" ht="15.75" customHeight="1">
      <c r="A550" s="14"/>
      <c r="B550" s="14"/>
      <c r="C550" s="14"/>
      <c r="D550" s="14"/>
      <c r="E550" s="14"/>
      <c r="F550" s="14"/>
      <c r="G550" s="14" t="str">
        <f t="shared" si="56"/>
        <v/>
      </c>
      <c r="H550" s="14"/>
      <c r="I550" s="14"/>
      <c r="J550" s="24"/>
      <c r="K550" s="24"/>
      <c r="L550" s="24"/>
      <c r="M550" s="24"/>
      <c r="N550" s="16" t="str">
        <f t="shared" si="54"/>
        <v/>
      </c>
      <c r="O550" s="16" t="str">
        <f t="shared" si="57"/>
        <v/>
      </c>
      <c r="P550" s="16" t="str">
        <f t="shared" si="58"/>
        <v/>
      </c>
      <c r="Q550" s="16" t="str">
        <f t="shared" si="59"/>
        <v/>
      </c>
      <c r="R550" s="16">
        <f t="shared" si="55"/>
        <v>0</v>
      </c>
      <c r="S550" s="16" t="str">
        <f>IF(OR($B550="",NOT(ISNUMBER($F550))),"",SUMIFS(community_cores_FS!$P$5:$P$597,community_cores_FS!$B$5:$B$597,$B550,community_cores_FS!$F$5:$F$597,"&lt;="&amp;$F550))</f>
        <v/>
      </c>
      <c r="T550" s="16" t="str">
        <f>IF(AND($A550="",$B550="",$E550=""),"",IF(AND($B550&lt;&gt;"",COUNTIF('2. Core Log'!$A$5:$A$124,$B550)=0),"Core ID not in Core Log. ","")&amp;IF(AND($A550&lt;&gt;"",COUNTIF('1. Plot &amp; Site Log'!$A$5:$A$64,$A550)=0),"Plot ID not in Plot &amp; Site Log. ","")&amp;IF(AND(ISNUMBER($E550),ISNUMBER($F550),$F550&lt;=$E550),"Bottom depth is not below top depth. ","")&amp;IF($I550="","Say which bulk-density basis the lab reported. ","")&amp;IF(AND(ISNUMBER($J550),OR($J550&lt;QC_BD_MIN,$J550&gt;QC_BD_MAX)),"Bulk density outside "&amp;QC_BD_MIN&amp;"–"&amp;QC_BD_MAX&amp;" g/cm³ for peat. Above the top of that range usually means the mineral contact has been passed. ","")&amp;IF(AND(ISNUMBER($N550),$N550&gt;QC_CARBON_PCT_MAX),"Carbon above "&amp;QC_CARBON_PCT_MAX&amp;"% — check units; this may be organic matter rather than carbon. ","")&amp;IF(AND($L550&lt;&gt;"",$M550&lt;&gt;""),"Both LOI and measured carbon given — the measured value is used. ","")&amp;IF(AND($M550="",$L550&lt;&gt;"",OM_FACTOR_IS_LOCAL&lt;&gt;"Yes"),"Carbon derived from LOI using the default factor of "&amp;CARBON_FRACTION_OM&amp;", which has not been calibrated locally. See R1. Reference. ","")&amp;IF(AND(ISNUMBER($O550),$O550=0,ISNUMBER($E550)),"Section lies entirely below the reference depth — it counts to the full-profile stock only. ",""))</f>
        <v/>
      </c>
      <c r="U550" s="14"/>
    </row>
    <row r="551" spans="1:21" ht="15.75" customHeight="1">
      <c r="A551" s="14"/>
      <c r="B551" s="14"/>
      <c r="C551" s="14"/>
      <c r="D551" s="14"/>
      <c r="E551" s="14"/>
      <c r="F551" s="14"/>
      <c r="G551" s="14" t="str">
        <f t="shared" si="56"/>
        <v/>
      </c>
      <c r="H551" s="14"/>
      <c r="I551" s="14"/>
      <c r="J551" s="24"/>
      <c r="K551" s="24"/>
      <c r="L551" s="24"/>
      <c r="M551" s="24"/>
      <c r="N551" s="16" t="str">
        <f t="shared" si="54"/>
        <v/>
      </c>
      <c r="O551" s="16" t="str">
        <f t="shared" si="57"/>
        <v/>
      </c>
      <c r="P551" s="16" t="str">
        <f t="shared" si="58"/>
        <v/>
      </c>
      <c r="Q551" s="16" t="str">
        <f t="shared" si="59"/>
        <v/>
      </c>
      <c r="R551" s="16">
        <f t="shared" si="55"/>
        <v>0</v>
      </c>
      <c r="S551" s="16" t="str">
        <f>IF(OR($B551="",NOT(ISNUMBER($F551))),"",SUMIFS(community_cores_FS!$P$5:$P$597,community_cores_FS!$B$5:$B$597,$B551,community_cores_FS!$F$5:$F$597,"&lt;="&amp;$F551))</f>
        <v/>
      </c>
      <c r="T551" s="16" t="str">
        <f>IF(AND($A551="",$B551="",$E551=""),"",IF(AND($B551&lt;&gt;"",COUNTIF('2. Core Log'!$A$5:$A$124,$B551)=0),"Core ID not in Core Log. ","")&amp;IF(AND($A551&lt;&gt;"",COUNTIF('1. Plot &amp; Site Log'!$A$5:$A$64,$A551)=0),"Plot ID not in Plot &amp; Site Log. ","")&amp;IF(AND(ISNUMBER($E551),ISNUMBER($F551),$F551&lt;=$E551),"Bottom depth is not below top depth. ","")&amp;IF($I551="","Say which bulk-density basis the lab reported. ","")&amp;IF(AND(ISNUMBER($J551),OR($J551&lt;QC_BD_MIN,$J551&gt;QC_BD_MAX)),"Bulk density outside "&amp;QC_BD_MIN&amp;"–"&amp;QC_BD_MAX&amp;" g/cm³ for peat. Above the top of that range usually means the mineral contact has been passed. ","")&amp;IF(AND(ISNUMBER($N551),$N551&gt;QC_CARBON_PCT_MAX),"Carbon above "&amp;QC_CARBON_PCT_MAX&amp;"% — check units; this may be organic matter rather than carbon. ","")&amp;IF(AND($L551&lt;&gt;"",$M551&lt;&gt;""),"Both LOI and measured carbon given — the measured value is used. ","")&amp;IF(AND($M551="",$L551&lt;&gt;"",OM_FACTOR_IS_LOCAL&lt;&gt;"Yes"),"Carbon derived from LOI using the default factor of "&amp;CARBON_FRACTION_OM&amp;", which has not been calibrated locally. See R1. Reference. ","")&amp;IF(AND(ISNUMBER($O551),$O551=0,ISNUMBER($E551)),"Section lies entirely below the reference depth — it counts to the full-profile stock only. ",""))</f>
        <v/>
      </c>
      <c r="U551" s="14"/>
    </row>
    <row r="552" spans="1:21" ht="15.75" customHeight="1">
      <c r="A552" s="14"/>
      <c r="B552" s="14"/>
      <c r="C552" s="14"/>
      <c r="D552" s="14"/>
      <c r="E552" s="14"/>
      <c r="F552" s="14"/>
      <c r="G552" s="14" t="str">
        <f t="shared" si="56"/>
        <v/>
      </c>
      <c r="H552" s="14"/>
      <c r="I552" s="14"/>
      <c r="J552" s="24"/>
      <c r="K552" s="24"/>
      <c r="L552" s="24"/>
      <c r="M552" s="24"/>
      <c r="N552" s="16" t="str">
        <f t="shared" si="54"/>
        <v/>
      </c>
      <c r="O552" s="16" t="str">
        <f t="shared" si="57"/>
        <v/>
      </c>
      <c r="P552" s="16" t="str">
        <f t="shared" si="58"/>
        <v/>
      </c>
      <c r="Q552" s="16" t="str">
        <f t="shared" si="59"/>
        <v/>
      </c>
      <c r="R552" s="16">
        <f t="shared" si="55"/>
        <v>0</v>
      </c>
      <c r="S552" s="16" t="str">
        <f>IF(OR($B552="",NOT(ISNUMBER($F552))),"",SUMIFS(community_cores_FS!$P$5:$P$597,community_cores_FS!$B$5:$B$597,$B552,community_cores_FS!$F$5:$F$597,"&lt;="&amp;$F552))</f>
        <v/>
      </c>
      <c r="T552" s="16" t="str">
        <f>IF(AND($A552="",$B552="",$E552=""),"",IF(AND($B552&lt;&gt;"",COUNTIF('2. Core Log'!$A$5:$A$124,$B552)=0),"Core ID not in Core Log. ","")&amp;IF(AND($A552&lt;&gt;"",COUNTIF('1. Plot &amp; Site Log'!$A$5:$A$64,$A552)=0),"Plot ID not in Plot &amp; Site Log. ","")&amp;IF(AND(ISNUMBER($E552),ISNUMBER($F552),$F552&lt;=$E552),"Bottom depth is not below top depth. ","")&amp;IF($I552="","Say which bulk-density basis the lab reported. ","")&amp;IF(AND(ISNUMBER($J552),OR($J552&lt;QC_BD_MIN,$J552&gt;QC_BD_MAX)),"Bulk density outside "&amp;QC_BD_MIN&amp;"–"&amp;QC_BD_MAX&amp;" g/cm³ for peat. Above the top of that range usually means the mineral contact has been passed. ","")&amp;IF(AND(ISNUMBER($N552),$N552&gt;QC_CARBON_PCT_MAX),"Carbon above "&amp;QC_CARBON_PCT_MAX&amp;"% — check units; this may be organic matter rather than carbon. ","")&amp;IF(AND($L552&lt;&gt;"",$M552&lt;&gt;""),"Both LOI and measured carbon given — the measured value is used. ","")&amp;IF(AND($M552="",$L552&lt;&gt;"",OM_FACTOR_IS_LOCAL&lt;&gt;"Yes"),"Carbon derived from LOI using the default factor of "&amp;CARBON_FRACTION_OM&amp;", which has not been calibrated locally. See R1. Reference. ","")&amp;IF(AND(ISNUMBER($O552),$O552=0,ISNUMBER($E552)),"Section lies entirely below the reference depth — it counts to the full-profile stock only. ",""))</f>
        <v/>
      </c>
      <c r="U552" s="14"/>
    </row>
    <row r="553" spans="1:21" ht="15.75" customHeight="1">
      <c r="A553" s="14"/>
      <c r="B553" s="14"/>
      <c r="C553" s="14"/>
      <c r="D553" s="14"/>
      <c r="E553" s="14"/>
      <c r="F553" s="14"/>
      <c r="G553" s="14" t="str">
        <f t="shared" si="56"/>
        <v/>
      </c>
      <c r="H553" s="14"/>
      <c r="I553" s="14"/>
      <c r="J553" s="24"/>
      <c r="K553" s="24"/>
      <c r="L553" s="24"/>
      <c r="M553" s="24"/>
      <c r="N553" s="16" t="str">
        <f t="shared" si="54"/>
        <v/>
      </c>
      <c r="O553" s="16" t="str">
        <f t="shared" si="57"/>
        <v/>
      </c>
      <c r="P553" s="16" t="str">
        <f t="shared" si="58"/>
        <v/>
      </c>
      <c r="Q553" s="16" t="str">
        <f t="shared" si="59"/>
        <v/>
      </c>
      <c r="R553" s="16">
        <f t="shared" si="55"/>
        <v>0</v>
      </c>
      <c r="S553" s="16" t="str">
        <f>IF(OR($B553="",NOT(ISNUMBER($F553))),"",SUMIFS(community_cores_FS!$P$5:$P$597,community_cores_FS!$B$5:$B$597,$B553,community_cores_FS!$F$5:$F$597,"&lt;="&amp;$F553))</f>
        <v/>
      </c>
      <c r="T553" s="16" t="str">
        <f>IF(AND($A553="",$B553="",$E553=""),"",IF(AND($B553&lt;&gt;"",COUNTIF('2. Core Log'!$A$5:$A$124,$B553)=0),"Core ID not in Core Log. ","")&amp;IF(AND($A553&lt;&gt;"",COUNTIF('1. Plot &amp; Site Log'!$A$5:$A$64,$A553)=0),"Plot ID not in Plot &amp; Site Log. ","")&amp;IF(AND(ISNUMBER($E553),ISNUMBER($F553),$F553&lt;=$E553),"Bottom depth is not below top depth. ","")&amp;IF($I553="","Say which bulk-density basis the lab reported. ","")&amp;IF(AND(ISNUMBER($J553),OR($J553&lt;QC_BD_MIN,$J553&gt;QC_BD_MAX)),"Bulk density outside "&amp;QC_BD_MIN&amp;"–"&amp;QC_BD_MAX&amp;" g/cm³ for peat. Above the top of that range usually means the mineral contact has been passed. ","")&amp;IF(AND(ISNUMBER($N553),$N553&gt;QC_CARBON_PCT_MAX),"Carbon above "&amp;QC_CARBON_PCT_MAX&amp;"% — check units; this may be organic matter rather than carbon. ","")&amp;IF(AND($L553&lt;&gt;"",$M553&lt;&gt;""),"Both LOI and measured carbon given — the measured value is used. ","")&amp;IF(AND($M553="",$L553&lt;&gt;"",OM_FACTOR_IS_LOCAL&lt;&gt;"Yes"),"Carbon derived from LOI using the default factor of "&amp;CARBON_FRACTION_OM&amp;", which has not been calibrated locally. See R1. Reference. ","")&amp;IF(AND(ISNUMBER($O553),$O553=0,ISNUMBER($E553)),"Section lies entirely below the reference depth — it counts to the full-profile stock only. ",""))</f>
        <v/>
      </c>
      <c r="U553" s="14"/>
    </row>
    <row r="554" spans="1:21" ht="15.75" customHeight="1">
      <c r="A554" s="14"/>
      <c r="B554" s="14"/>
      <c r="C554" s="14"/>
      <c r="D554" s="14"/>
      <c r="E554" s="14"/>
      <c r="F554" s="14"/>
      <c r="G554" s="14" t="str">
        <f t="shared" si="56"/>
        <v/>
      </c>
      <c r="H554" s="14"/>
      <c r="I554" s="14"/>
      <c r="J554" s="24"/>
      <c r="K554" s="24"/>
      <c r="L554" s="24"/>
      <c r="M554" s="24"/>
      <c r="N554" s="16" t="str">
        <f t="shared" si="54"/>
        <v/>
      </c>
      <c r="O554" s="16" t="str">
        <f t="shared" si="57"/>
        <v/>
      </c>
      <c r="P554" s="16" t="str">
        <f t="shared" si="58"/>
        <v/>
      </c>
      <c r="Q554" s="16" t="str">
        <f t="shared" si="59"/>
        <v/>
      </c>
      <c r="R554" s="16">
        <f t="shared" si="55"/>
        <v>0</v>
      </c>
      <c r="S554" s="16" t="str">
        <f>IF(OR($B554="",NOT(ISNUMBER($F554))),"",SUMIFS(community_cores_FS!$P$5:$P$597,community_cores_FS!$B$5:$B$597,$B554,community_cores_FS!$F$5:$F$597,"&lt;="&amp;$F554))</f>
        <v/>
      </c>
      <c r="T554" s="16" t="str">
        <f>IF(AND($A554="",$B554="",$E554=""),"",IF(AND($B554&lt;&gt;"",COUNTIF('2. Core Log'!$A$5:$A$124,$B554)=0),"Core ID not in Core Log. ","")&amp;IF(AND($A554&lt;&gt;"",COUNTIF('1. Plot &amp; Site Log'!$A$5:$A$64,$A554)=0),"Plot ID not in Plot &amp; Site Log. ","")&amp;IF(AND(ISNUMBER($E554),ISNUMBER($F554),$F554&lt;=$E554),"Bottom depth is not below top depth. ","")&amp;IF($I554="","Say which bulk-density basis the lab reported. ","")&amp;IF(AND(ISNUMBER($J554),OR($J554&lt;QC_BD_MIN,$J554&gt;QC_BD_MAX)),"Bulk density outside "&amp;QC_BD_MIN&amp;"–"&amp;QC_BD_MAX&amp;" g/cm³ for peat. Above the top of that range usually means the mineral contact has been passed. ","")&amp;IF(AND(ISNUMBER($N554),$N554&gt;QC_CARBON_PCT_MAX),"Carbon above "&amp;QC_CARBON_PCT_MAX&amp;"% — check units; this may be organic matter rather than carbon. ","")&amp;IF(AND($L554&lt;&gt;"",$M554&lt;&gt;""),"Both LOI and measured carbon given — the measured value is used. ","")&amp;IF(AND($M554="",$L554&lt;&gt;"",OM_FACTOR_IS_LOCAL&lt;&gt;"Yes"),"Carbon derived from LOI using the default factor of "&amp;CARBON_FRACTION_OM&amp;", which has not been calibrated locally. See R1. Reference. ","")&amp;IF(AND(ISNUMBER($O554),$O554=0,ISNUMBER($E554)),"Section lies entirely below the reference depth — it counts to the full-profile stock only. ",""))</f>
        <v/>
      </c>
      <c r="U554" s="14"/>
    </row>
    <row r="555" spans="1:21" ht="15.75" customHeight="1">
      <c r="A555" s="14"/>
      <c r="B555" s="14"/>
      <c r="C555" s="14"/>
      <c r="D555" s="14"/>
      <c r="E555" s="14"/>
      <c r="F555" s="14"/>
      <c r="G555" s="14" t="str">
        <f t="shared" si="56"/>
        <v/>
      </c>
      <c r="H555" s="14"/>
      <c r="I555" s="14"/>
      <c r="J555" s="24"/>
      <c r="K555" s="24"/>
      <c r="L555" s="24"/>
      <c r="M555" s="24"/>
      <c r="N555" s="16" t="str">
        <f t="shared" si="54"/>
        <v/>
      </c>
      <c r="O555" s="16" t="str">
        <f t="shared" si="57"/>
        <v/>
      </c>
      <c r="P555" s="16" t="str">
        <f t="shared" si="58"/>
        <v/>
      </c>
      <c r="Q555" s="16" t="str">
        <f t="shared" si="59"/>
        <v/>
      </c>
      <c r="R555" s="16">
        <f t="shared" si="55"/>
        <v>0</v>
      </c>
      <c r="S555" s="16" t="str">
        <f>IF(OR($B555="",NOT(ISNUMBER($F555))),"",SUMIFS(community_cores_FS!$P$5:$P$597,community_cores_FS!$B$5:$B$597,$B555,community_cores_FS!$F$5:$F$597,"&lt;="&amp;$F555))</f>
        <v/>
      </c>
      <c r="T555" s="16" t="str">
        <f>IF(AND($A555="",$B555="",$E555=""),"",IF(AND($B555&lt;&gt;"",COUNTIF('2. Core Log'!$A$5:$A$124,$B555)=0),"Core ID not in Core Log. ","")&amp;IF(AND($A555&lt;&gt;"",COUNTIF('1. Plot &amp; Site Log'!$A$5:$A$64,$A555)=0),"Plot ID not in Plot &amp; Site Log. ","")&amp;IF(AND(ISNUMBER($E555),ISNUMBER($F555),$F555&lt;=$E555),"Bottom depth is not below top depth. ","")&amp;IF($I555="","Say which bulk-density basis the lab reported. ","")&amp;IF(AND(ISNUMBER($J555),OR($J555&lt;QC_BD_MIN,$J555&gt;QC_BD_MAX)),"Bulk density outside "&amp;QC_BD_MIN&amp;"–"&amp;QC_BD_MAX&amp;" g/cm³ for peat. Above the top of that range usually means the mineral contact has been passed. ","")&amp;IF(AND(ISNUMBER($N555),$N555&gt;QC_CARBON_PCT_MAX),"Carbon above "&amp;QC_CARBON_PCT_MAX&amp;"% — check units; this may be organic matter rather than carbon. ","")&amp;IF(AND($L555&lt;&gt;"",$M555&lt;&gt;""),"Both LOI and measured carbon given — the measured value is used. ","")&amp;IF(AND($M555="",$L555&lt;&gt;"",OM_FACTOR_IS_LOCAL&lt;&gt;"Yes"),"Carbon derived from LOI using the default factor of "&amp;CARBON_FRACTION_OM&amp;", which has not been calibrated locally. See R1. Reference. ","")&amp;IF(AND(ISNUMBER($O555),$O555=0,ISNUMBER($E555)),"Section lies entirely below the reference depth — it counts to the full-profile stock only. ",""))</f>
        <v/>
      </c>
      <c r="U555" s="14"/>
    </row>
    <row r="556" spans="1:21" ht="15.75" customHeight="1">
      <c r="A556" s="14"/>
      <c r="B556" s="14"/>
      <c r="C556" s="14"/>
      <c r="D556" s="14"/>
      <c r="E556" s="14"/>
      <c r="F556" s="14"/>
      <c r="G556" s="14" t="str">
        <f t="shared" si="56"/>
        <v/>
      </c>
      <c r="H556" s="14"/>
      <c r="I556" s="14"/>
      <c r="J556" s="24"/>
      <c r="K556" s="24"/>
      <c r="L556" s="24"/>
      <c r="M556" s="24"/>
      <c r="N556" s="16" t="str">
        <f t="shared" si="54"/>
        <v/>
      </c>
      <c r="O556" s="16" t="str">
        <f t="shared" si="57"/>
        <v/>
      </c>
      <c r="P556" s="16" t="str">
        <f t="shared" si="58"/>
        <v/>
      </c>
      <c r="Q556" s="16" t="str">
        <f t="shared" si="59"/>
        <v/>
      </c>
      <c r="R556" s="16">
        <f t="shared" si="55"/>
        <v>0</v>
      </c>
      <c r="S556" s="16" t="str">
        <f>IF(OR($B556="",NOT(ISNUMBER($F556))),"",SUMIFS(community_cores_FS!$P$5:$P$597,community_cores_FS!$B$5:$B$597,$B556,community_cores_FS!$F$5:$F$597,"&lt;="&amp;$F556))</f>
        <v/>
      </c>
      <c r="T556" s="16" t="str">
        <f>IF(AND($A556="",$B556="",$E556=""),"",IF(AND($B556&lt;&gt;"",COUNTIF('2. Core Log'!$A$5:$A$124,$B556)=0),"Core ID not in Core Log. ","")&amp;IF(AND($A556&lt;&gt;"",COUNTIF('1. Plot &amp; Site Log'!$A$5:$A$64,$A556)=0),"Plot ID not in Plot &amp; Site Log. ","")&amp;IF(AND(ISNUMBER($E556),ISNUMBER($F556),$F556&lt;=$E556),"Bottom depth is not below top depth. ","")&amp;IF($I556="","Say which bulk-density basis the lab reported. ","")&amp;IF(AND(ISNUMBER($J556),OR($J556&lt;QC_BD_MIN,$J556&gt;QC_BD_MAX)),"Bulk density outside "&amp;QC_BD_MIN&amp;"–"&amp;QC_BD_MAX&amp;" g/cm³ for peat. Above the top of that range usually means the mineral contact has been passed. ","")&amp;IF(AND(ISNUMBER($N556),$N556&gt;QC_CARBON_PCT_MAX),"Carbon above "&amp;QC_CARBON_PCT_MAX&amp;"% — check units; this may be organic matter rather than carbon. ","")&amp;IF(AND($L556&lt;&gt;"",$M556&lt;&gt;""),"Both LOI and measured carbon given — the measured value is used. ","")&amp;IF(AND($M556="",$L556&lt;&gt;"",OM_FACTOR_IS_LOCAL&lt;&gt;"Yes"),"Carbon derived from LOI using the default factor of "&amp;CARBON_FRACTION_OM&amp;", which has not been calibrated locally. See R1. Reference. ","")&amp;IF(AND(ISNUMBER($O556),$O556=0,ISNUMBER($E556)),"Section lies entirely below the reference depth — it counts to the full-profile stock only. ",""))</f>
        <v/>
      </c>
      <c r="U556" s="14"/>
    </row>
    <row r="557" spans="1:21" ht="15.75" customHeight="1">
      <c r="A557" s="14"/>
      <c r="B557" s="14"/>
      <c r="C557" s="14"/>
      <c r="D557" s="14"/>
      <c r="E557" s="14"/>
      <c r="F557" s="14"/>
      <c r="G557" s="14" t="str">
        <f t="shared" si="56"/>
        <v/>
      </c>
      <c r="H557" s="14"/>
      <c r="I557" s="14"/>
      <c r="J557" s="24"/>
      <c r="K557" s="24"/>
      <c r="L557" s="24"/>
      <c r="M557" s="24"/>
      <c r="N557" s="16" t="str">
        <f t="shared" si="54"/>
        <v/>
      </c>
      <c r="O557" s="16" t="str">
        <f t="shared" si="57"/>
        <v/>
      </c>
      <c r="P557" s="16" t="str">
        <f t="shared" si="58"/>
        <v/>
      </c>
      <c r="Q557" s="16" t="str">
        <f t="shared" si="59"/>
        <v/>
      </c>
      <c r="R557" s="16">
        <f t="shared" si="55"/>
        <v>0</v>
      </c>
      <c r="S557" s="16" t="str">
        <f>IF(OR($B557="",NOT(ISNUMBER($F557))),"",SUMIFS(community_cores_FS!$P$5:$P$597,community_cores_FS!$B$5:$B$597,$B557,community_cores_FS!$F$5:$F$597,"&lt;="&amp;$F557))</f>
        <v/>
      </c>
      <c r="T557" s="16" t="str">
        <f>IF(AND($A557="",$B557="",$E557=""),"",IF(AND($B557&lt;&gt;"",COUNTIF('2. Core Log'!$A$5:$A$124,$B557)=0),"Core ID not in Core Log. ","")&amp;IF(AND($A557&lt;&gt;"",COUNTIF('1. Plot &amp; Site Log'!$A$5:$A$64,$A557)=0),"Plot ID not in Plot &amp; Site Log. ","")&amp;IF(AND(ISNUMBER($E557),ISNUMBER($F557),$F557&lt;=$E557),"Bottom depth is not below top depth. ","")&amp;IF($I557="","Say which bulk-density basis the lab reported. ","")&amp;IF(AND(ISNUMBER($J557),OR($J557&lt;QC_BD_MIN,$J557&gt;QC_BD_MAX)),"Bulk density outside "&amp;QC_BD_MIN&amp;"–"&amp;QC_BD_MAX&amp;" g/cm³ for peat. Above the top of that range usually means the mineral contact has been passed. ","")&amp;IF(AND(ISNUMBER($N557),$N557&gt;QC_CARBON_PCT_MAX),"Carbon above "&amp;QC_CARBON_PCT_MAX&amp;"% — check units; this may be organic matter rather than carbon. ","")&amp;IF(AND($L557&lt;&gt;"",$M557&lt;&gt;""),"Both LOI and measured carbon given — the measured value is used. ","")&amp;IF(AND($M557="",$L557&lt;&gt;"",OM_FACTOR_IS_LOCAL&lt;&gt;"Yes"),"Carbon derived from LOI using the default factor of "&amp;CARBON_FRACTION_OM&amp;", which has not been calibrated locally. See R1. Reference. ","")&amp;IF(AND(ISNUMBER($O557),$O557=0,ISNUMBER($E557)),"Section lies entirely below the reference depth — it counts to the full-profile stock only. ",""))</f>
        <v/>
      </c>
      <c r="U557" s="14"/>
    </row>
    <row r="558" spans="1:21" ht="15.75" customHeight="1">
      <c r="A558" s="14"/>
      <c r="B558" s="14"/>
      <c r="C558" s="14"/>
      <c r="D558" s="14"/>
      <c r="E558" s="14"/>
      <c r="F558" s="14"/>
      <c r="G558" s="14" t="str">
        <f t="shared" si="56"/>
        <v/>
      </c>
      <c r="H558" s="14"/>
      <c r="I558" s="14"/>
      <c r="J558" s="24"/>
      <c r="K558" s="24"/>
      <c r="L558" s="24"/>
      <c r="M558" s="24"/>
      <c r="N558" s="16" t="str">
        <f t="shared" si="54"/>
        <v/>
      </c>
      <c r="O558" s="16" t="str">
        <f t="shared" si="57"/>
        <v/>
      </c>
      <c r="P558" s="16" t="str">
        <f t="shared" si="58"/>
        <v/>
      </c>
      <c r="Q558" s="16" t="str">
        <f t="shared" si="59"/>
        <v/>
      </c>
      <c r="R558" s="16">
        <f t="shared" si="55"/>
        <v>0</v>
      </c>
      <c r="S558" s="16" t="str">
        <f>IF(OR($B558="",NOT(ISNUMBER($F558))),"",SUMIFS(community_cores_FS!$P$5:$P$597,community_cores_FS!$B$5:$B$597,$B558,community_cores_FS!$F$5:$F$597,"&lt;="&amp;$F558))</f>
        <v/>
      </c>
      <c r="T558" s="16" t="str">
        <f>IF(AND($A558="",$B558="",$E558=""),"",IF(AND($B558&lt;&gt;"",COUNTIF('2. Core Log'!$A$5:$A$124,$B558)=0),"Core ID not in Core Log. ","")&amp;IF(AND($A558&lt;&gt;"",COUNTIF('1. Plot &amp; Site Log'!$A$5:$A$64,$A558)=0),"Plot ID not in Plot &amp; Site Log. ","")&amp;IF(AND(ISNUMBER($E558),ISNUMBER($F558),$F558&lt;=$E558),"Bottom depth is not below top depth. ","")&amp;IF($I558="","Say which bulk-density basis the lab reported. ","")&amp;IF(AND(ISNUMBER($J558),OR($J558&lt;QC_BD_MIN,$J558&gt;QC_BD_MAX)),"Bulk density outside "&amp;QC_BD_MIN&amp;"–"&amp;QC_BD_MAX&amp;" g/cm³ for peat. Above the top of that range usually means the mineral contact has been passed. ","")&amp;IF(AND(ISNUMBER($N558),$N558&gt;QC_CARBON_PCT_MAX),"Carbon above "&amp;QC_CARBON_PCT_MAX&amp;"% — check units; this may be organic matter rather than carbon. ","")&amp;IF(AND($L558&lt;&gt;"",$M558&lt;&gt;""),"Both LOI and measured carbon given — the measured value is used. ","")&amp;IF(AND($M558="",$L558&lt;&gt;"",OM_FACTOR_IS_LOCAL&lt;&gt;"Yes"),"Carbon derived from LOI using the default factor of "&amp;CARBON_FRACTION_OM&amp;", which has not been calibrated locally. See R1. Reference. ","")&amp;IF(AND(ISNUMBER($O558),$O558=0,ISNUMBER($E558)),"Section lies entirely below the reference depth — it counts to the full-profile stock only. ",""))</f>
        <v/>
      </c>
      <c r="U558" s="14"/>
    </row>
    <row r="559" spans="1:21" ht="15.75" customHeight="1">
      <c r="A559" s="14"/>
      <c r="B559" s="14"/>
      <c r="C559" s="14"/>
      <c r="D559" s="14"/>
      <c r="E559" s="14"/>
      <c r="F559" s="14"/>
      <c r="G559" s="14" t="str">
        <f t="shared" si="56"/>
        <v/>
      </c>
      <c r="H559" s="14"/>
      <c r="I559" s="14"/>
      <c r="J559" s="24"/>
      <c r="K559" s="24"/>
      <c r="L559" s="24"/>
      <c r="M559" s="24"/>
      <c r="N559" s="16" t="str">
        <f t="shared" si="54"/>
        <v/>
      </c>
      <c r="O559" s="16" t="str">
        <f t="shared" si="57"/>
        <v/>
      </c>
      <c r="P559" s="16" t="str">
        <f t="shared" si="58"/>
        <v/>
      </c>
      <c r="Q559" s="16" t="str">
        <f t="shared" si="59"/>
        <v/>
      </c>
      <c r="R559" s="16">
        <f t="shared" si="55"/>
        <v>0</v>
      </c>
      <c r="S559" s="16" t="str">
        <f>IF(OR($B559="",NOT(ISNUMBER($F559))),"",SUMIFS(community_cores_FS!$P$5:$P$597,community_cores_FS!$B$5:$B$597,$B559,community_cores_FS!$F$5:$F$597,"&lt;="&amp;$F559))</f>
        <v/>
      </c>
      <c r="T559" s="16" t="str">
        <f>IF(AND($A559="",$B559="",$E559=""),"",IF(AND($B559&lt;&gt;"",COUNTIF('2. Core Log'!$A$5:$A$124,$B559)=0),"Core ID not in Core Log. ","")&amp;IF(AND($A559&lt;&gt;"",COUNTIF('1. Plot &amp; Site Log'!$A$5:$A$64,$A559)=0),"Plot ID not in Plot &amp; Site Log. ","")&amp;IF(AND(ISNUMBER($E559),ISNUMBER($F559),$F559&lt;=$E559),"Bottom depth is not below top depth. ","")&amp;IF($I559="","Say which bulk-density basis the lab reported. ","")&amp;IF(AND(ISNUMBER($J559),OR($J559&lt;QC_BD_MIN,$J559&gt;QC_BD_MAX)),"Bulk density outside "&amp;QC_BD_MIN&amp;"–"&amp;QC_BD_MAX&amp;" g/cm³ for peat. Above the top of that range usually means the mineral contact has been passed. ","")&amp;IF(AND(ISNUMBER($N559),$N559&gt;QC_CARBON_PCT_MAX),"Carbon above "&amp;QC_CARBON_PCT_MAX&amp;"% — check units; this may be organic matter rather than carbon. ","")&amp;IF(AND($L559&lt;&gt;"",$M559&lt;&gt;""),"Both LOI and measured carbon given — the measured value is used. ","")&amp;IF(AND($M559="",$L559&lt;&gt;"",OM_FACTOR_IS_LOCAL&lt;&gt;"Yes"),"Carbon derived from LOI using the default factor of "&amp;CARBON_FRACTION_OM&amp;", which has not been calibrated locally. See R1. Reference. ","")&amp;IF(AND(ISNUMBER($O559),$O559=0,ISNUMBER($E559)),"Section lies entirely below the reference depth — it counts to the full-profile stock only. ",""))</f>
        <v/>
      </c>
      <c r="U559" s="14"/>
    </row>
    <row r="560" spans="1:21" ht="15.75" customHeight="1">
      <c r="A560" s="14"/>
      <c r="B560" s="14"/>
      <c r="C560" s="14"/>
      <c r="D560" s="14"/>
      <c r="E560" s="14"/>
      <c r="F560" s="14"/>
      <c r="G560" s="14" t="str">
        <f t="shared" si="56"/>
        <v/>
      </c>
      <c r="H560" s="14"/>
      <c r="I560" s="14"/>
      <c r="J560" s="24"/>
      <c r="K560" s="24"/>
      <c r="L560" s="24"/>
      <c r="M560" s="24"/>
      <c r="N560" s="16" t="str">
        <f t="shared" si="54"/>
        <v/>
      </c>
      <c r="O560" s="16" t="str">
        <f t="shared" si="57"/>
        <v/>
      </c>
      <c r="P560" s="16" t="str">
        <f t="shared" si="58"/>
        <v/>
      </c>
      <c r="Q560" s="16" t="str">
        <f t="shared" si="59"/>
        <v/>
      </c>
      <c r="R560" s="16">
        <f t="shared" si="55"/>
        <v>0</v>
      </c>
      <c r="S560" s="16" t="str">
        <f>IF(OR($B560="",NOT(ISNUMBER($F560))),"",SUMIFS(community_cores_FS!$P$5:$P$597,community_cores_FS!$B$5:$B$597,$B560,community_cores_FS!$F$5:$F$597,"&lt;="&amp;$F560))</f>
        <v/>
      </c>
      <c r="T560" s="16" t="str">
        <f>IF(AND($A560="",$B560="",$E560=""),"",IF(AND($B560&lt;&gt;"",COUNTIF('2. Core Log'!$A$5:$A$124,$B560)=0),"Core ID not in Core Log. ","")&amp;IF(AND($A560&lt;&gt;"",COUNTIF('1. Plot &amp; Site Log'!$A$5:$A$64,$A560)=0),"Plot ID not in Plot &amp; Site Log. ","")&amp;IF(AND(ISNUMBER($E560),ISNUMBER($F560),$F560&lt;=$E560),"Bottom depth is not below top depth. ","")&amp;IF($I560="","Say which bulk-density basis the lab reported. ","")&amp;IF(AND(ISNUMBER($J560),OR($J560&lt;QC_BD_MIN,$J560&gt;QC_BD_MAX)),"Bulk density outside "&amp;QC_BD_MIN&amp;"–"&amp;QC_BD_MAX&amp;" g/cm³ for peat. Above the top of that range usually means the mineral contact has been passed. ","")&amp;IF(AND(ISNUMBER($N560),$N560&gt;QC_CARBON_PCT_MAX),"Carbon above "&amp;QC_CARBON_PCT_MAX&amp;"% — check units; this may be organic matter rather than carbon. ","")&amp;IF(AND($L560&lt;&gt;"",$M560&lt;&gt;""),"Both LOI and measured carbon given — the measured value is used. ","")&amp;IF(AND($M560="",$L560&lt;&gt;"",OM_FACTOR_IS_LOCAL&lt;&gt;"Yes"),"Carbon derived from LOI using the default factor of "&amp;CARBON_FRACTION_OM&amp;", which has not been calibrated locally. See R1. Reference. ","")&amp;IF(AND(ISNUMBER($O560),$O560=0,ISNUMBER($E560)),"Section lies entirely below the reference depth — it counts to the full-profile stock only. ",""))</f>
        <v/>
      </c>
      <c r="U560" s="14"/>
    </row>
    <row r="561" spans="1:21" ht="15.75" customHeight="1">
      <c r="A561" s="14"/>
      <c r="B561" s="14"/>
      <c r="C561" s="14"/>
      <c r="D561" s="14"/>
      <c r="E561" s="14"/>
      <c r="F561" s="14"/>
      <c r="G561" s="14" t="str">
        <f t="shared" si="56"/>
        <v/>
      </c>
      <c r="H561" s="14"/>
      <c r="I561" s="14"/>
      <c r="J561" s="24"/>
      <c r="K561" s="24"/>
      <c r="L561" s="24"/>
      <c r="M561" s="24"/>
      <c r="N561" s="16" t="str">
        <f t="shared" si="54"/>
        <v/>
      </c>
      <c r="O561" s="16" t="str">
        <f t="shared" si="57"/>
        <v/>
      </c>
      <c r="P561" s="16" t="str">
        <f t="shared" si="58"/>
        <v/>
      </c>
      <c r="Q561" s="16" t="str">
        <f t="shared" si="59"/>
        <v/>
      </c>
      <c r="R561" s="16">
        <f t="shared" si="55"/>
        <v>0</v>
      </c>
      <c r="S561" s="16" t="str">
        <f>IF(OR($B561="",NOT(ISNUMBER($F561))),"",SUMIFS(community_cores_FS!$P$5:$P$597,community_cores_FS!$B$5:$B$597,$B561,community_cores_FS!$F$5:$F$597,"&lt;="&amp;$F561))</f>
        <v/>
      </c>
      <c r="T561" s="16" t="str">
        <f>IF(AND($A561="",$B561="",$E561=""),"",IF(AND($B561&lt;&gt;"",COUNTIF('2. Core Log'!$A$5:$A$124,$B561)=0),"Core ID not in Core Log. ","")&amp;IF(AND($A561&lt;&gt;"",COUNTIF('1. Plot &amp; Site Log'!$A$5:$A$64,$A561)=0),"Plot ID not in Plot &amp; Site Log. ","")&amp;IF(AND(ISNUMBER($E561),ISNUMBER($F561),$F561&lt;=$E561),"Bottom depth is not below top depth. ","")&amp;IF($I561="","Say which bulk-density basis the lab reported. ","")&amp;IF(AND(ISNUMBER($J561),OR($J561&lt;QC_BD_MIN,$J561&gt;QC_BD_MAX)),"Bulk density outside "&amp;QC_BD_MIN&amp;"–"&amp;QC_BD_MAX&amp;" g/cm³ for peat. Above the top of that range usually means the mineral contact has been passed. ","")&amp;IF(AND(ISNUMBER($N561),$N561&gt;QC_CARBON_PCT_MAX),"Carbon above "&amp;QC_CARBON_PCT_MAX&amp;"% — check units; this may be organic matter rather than carbon. ","")&amp;IF(AND($L561&lt;&gt;"",$M561&lt;&gt;""),"Both LOI and measured carbon given — the measured value is used. ","")&amp;IF(AND($M561="",$L561&lt;&gt;"",OM_FACTOR_IS_LOCAL&lt;&gt;"Yes"),"Carbon derived from LOI using the default factor of "&amp;CARBON_FRACTION_OM&amp;", which has not been calibrated locally. See R1. Reference. ","")&amp;IF(AND(ISNUMBER($O561),$O561=0,ISNUMBER($E561)),"Section lies entirely below the reference depth — it counts to the full-profile stock only. ",""))</f>
        <v/>
      </c>
      <c r="U561" s="14"/>
    </row>
    <row r="562" spans="1:21" ht="15.75" customHeight="1">
      <c r="A562" s="14"/>
      <c r="B562" s="14"/>
      <c r="C562" s="14"/>
      <c r="D562" s="14"/>
      <c r="E562" s="14"/>
      <c r="F562" s="14"/>
      <c r="G562" s="14" t="str">
        <f t="shared" si="56"/>
        <v/>
      </c>
      <c r="H562" s="14"/>
      <c r="I562" s="14"/>
      <c r="J562" s="24"/>
      <c r="K562" s="24"/>
      <c r="L562" s="24"/>
      <c r="M562" s="24"/>
      <c r="N562" s="16" t="str">
        <f t="shared" si="54"/>
        <v/>
      </c>
      <c r="O562" s="16" t="str">
        <f t="shared" si="57"/>
        <v/>
      </c>
      <c r="P562" s="16" t="str">
        <f t="shared" si="58"/>
        <v/>
      </c>
      <c r="Q562" s="16" t="str">
        <f t="shared" si="59"/>
        <v/>
      </c>
      <c r="R562" s="16">
        <f t="shared" si="55"/>
        <v>0</v>
      </c>
      <c r="S562" s="16" t="str">
        <f>IF(OR($B562="",NOT(ISNUMBER($F562))),"",SUMIFS(community_cores_FS!$P$5:$P$597,community_cores_FS!$B$5:$B$597,$B562,community_cores_FS!$F$5:$F$597,"&lt;="&amp;$F562))</f>
        <v/>
      </c>
      <c r="T562" s="16" t="str">
        <f>IF(AND($A562="",$B562="",$E562=""),"",IF(AND($B562&lt;&gt;"",COUNTIF('2. Core Log'!$A$5:$A$124,$B562)=0),"Core ID not in Core Log. ","")&amp;IF(AND($A562&lt;&gt;"",COUNTIF('1. Plot &amp; Site Log'!$A$5:$A$64,$A562)=0),"Plot ID not in Plot &amp; Site Log. ","")&amp;IF(AND(ISNUMBER($E562),ISNUMBER($F562),$F562&lt;=$E562),"Bottom depth is not below top depth. ","")&amp;IF($I562="","Say which bulk-density basis the lab reported. ","")&amp;IF(AND(ISNUMBER($J562),OR($J562&lt;QC_BD_MIN,$J562&gt;QC_BD_MAX)),"Bulk density outside "&amp;QC_BD_MIN&amp;"–"&amp;QC_BD_MAX&amp;" g/cm³ for peat. Above the top of that range usually means the mineral contact has been passed. ","")&amp;IF(AND(ISNUMBER($N562),$N562&gt;QC_CARBON_PCT_MAX),"Carbon above "&amp;QC_CARBON_PCT_MAX&amp;"% — check units; this may be organic matter rather than carbon. ","")&amp;IF(AND($L562&lt;&gt;"",$M562&lt;&gt;""),"Both LOI and measured carbon given — the measured value is used. ","")&amp;IF(AND($M562="",$L562&lt;&gt;"",OM_FACTOR_IS_LOCAL&lt;&gt;"Yes"),"Carbon derived from LOI using the default factor of "&amp;CARBON_FRACTION_OM&amp;", which has not been calibrated locally. See R1. Reference. ","")&amp;IF(AND(ISNUMBER($O562),$O562=0,ISNUMBER($E562)),"Section lies entirely below the reference depth — it counts to the full-profile stock only. ",""))</f>
        <v/>
      </c>
      <c r="U562" s="14"/>
    </row>
    <row r="563" spans="1:21" ht="15.75" customHeight="1">
      <c r="A563" s="14"/>
      <c r="B563" s="14"/>
      <c r="C563" s="14"/>
      <c r="D563" s="14"/>
      <c r="E563" s="14"/>
      <c r="F563" s="14"/>
      <c r="G563" s="14" t="str">
        <f t="shared" si="56"/>
        <v/>
      </c>
      <c r="H563" s="14"/>
      <c r="I563" s="14"/>
      <c r="J563" s="24"/>
      <c r="K563" s="24"/>
      <c r="L563" s="24"/>
      <c r="M563" s="24"/>
      <c r="N563" s="16" t="str">
        <f t="shared" si="54"/>
        <v/>
      </c>
      <c r="O563" s="16" t="str">
        <f t="shared" si="57"/>
        <v/>
      </c>
      <c r="P563" s="16" t="str">
        <f t="shared" si="58"/>
        <v/>
      </c>
      <c r="Q563" s="16" t="str">
        <f t="shared" si="59"/>
        <v/>
      </c>
      <c r="R563" s="16">
        <f t="shared" si="55"/>
        <v>0</v>
      </c>
      <c r="S563" s="16" t="str">
        <f>IF(OR($B563="",NOT(ISNUMBER($F563))),"",SUMIFS(community_cores_FS!$P$5:$P$597,community_cores_FS!$B$5:$B$597,$B563,community_cores_FS!$F$5:$F$597,"&lt;="&amp;$F563))</f>
        <v/>
      </c>
      <c r="T563" s="16" t="str">
        <f>IF(AND($A563="",$B563="",$E563=""),"",IF(AND($B563&lt;&gt;"",COUNTIF('2. Core Log'!$A$5:$A$124,$B563)=0),"Core ID not in Core Log. ","")&amp;IF(AND($A563&lt;&gt;"",COUNTIF('1. Plot &amp; Site Log'!$A$5:$A$64,$A563)=0),"Plot ID not in Plot &amp; Site Log. ","")&amp;IF(AND(ISNUMBER($E563),ISNUMBER($F563),$F563&lt;=$E563),"Bottom depth is not below top depth. ","")&amp;IF($I563="","Say which bulk-density basis the lab reported. ","")&amp;IF(AND(ISNUMBER($J563),OR($J563&lt;QC_BD_MIN,$J563&gt;QC_BD_MAX)),"Bulk density outside "&amp;QC_BD_MIN&amp;"–"&amp;QC_BD_MAX&amp;" g/cm³ for peat. Above the top of that range usually means the mineral contact has been passed. ","")&amp;IF(AND(ISNUMBER($N563),$N563&gt;QC_CARBON_PCT_MAX),"Carbon above "&amp;QC_CARBON_PCT_MAX&amp;"% — check units; this may be organic matter rather than carbon. ","")&amp;IF(AND($L563&lt;&gt;"",$M563&lt;&gt;""),"Both LOI and measured carbon given — the measured value is used. ","")&amp;IF(AND($M563="",$L563&lt;&gt;"",OM_FACTOR_IS_LOCAL&lt;&gt;"Yes"),"Carbon derived from LOI using the default factor of "&amp;CARBON_FRACTION_OM&amp;", which has not been calibrated locally. See R1. Reference. ","")&amp;IF(AND(ISNUMBER($O563),$O563=0,ISNUMBER($E563)),"Section lies entirely below the reference depth — it counts to the full-profile stock only. ",""))</f>
        <v/>
      </c>
      <c r="U563" s="14"/>
    </row>
    <row r="564" spans="1:21" ht="15.75" customHeight="1">
      <c r="A564" s="14"/>
      <c r="B564" s="14"/>
      <c r="C564" s="14"/>
      <c r="D564" s="14"/>
      <c r="E564" s="14"/>
      <c r="F564" s="14"/>
      <c r="G564" s="14" t="str">
        <f t="shared" si="56"/>
        <v/>
      </c>
      <c r="H564" s="14"/>
      <c r="I564" s="14"/>
      <c r="J564" s="24"/>
      <c r="K564" s="24"/>
      <c r="L564" s="24"/>
      <c r="M564" s="24"/>
      <c r="N564" s="16" t="str">
        <f t="shared" si="54"/>
        <v/>
      </c>
      <c r="O564" s="16" t="str">
        <f t="shared" si="57"/>
        <v/>
      </c>
      <c r="P564" s="16" t="str">
        <f t="shared" si="58"/>
        <v/>
      </c>
      <c r="Q564" s="16" t="str">
        <f t="shared" si="59"/>
        <v/>
      </c>
      <c r="R564" s="16">
        <f t="shared" si="55"/>
        <v>0</v>
      </c>
      <c r="S564" s="16" t="str">
        <f>IF(OR($B564="",NOT(ISNUMBER($F564))),"",SUMIFS(community_cores_FS!$P$5:$P$597,community_cores_FS!$B$5:$B$597,$B564,community_cores_FS!$F$5:$F$597,"&lt;="&amp;$F564))</f>
        <v/>
      </c>
      <c r="T564" s="16" t="str">
        <f>IF(AND($A564="",$B564="",$E564=""),"",IF(AND($B564&lt;&gt;"",COUNTIF('2. Core Log'!$A$5:$A$124,$B564)=0),"Core ID not in Core Log. ","")&amp;IF(AND($A564&lt;&gt;"",COUNTIF('1. Plot &amp; Site Log'!$A$5:$A$64,$A564)=0),"Plot ID not in Plot &amp; Site Log. ","")&amp;IF(AND(ISNUMBER($E564),ISNUMBER($F564),$F564&lt;=$E564),"Bottom depth is not below top depth. ","")&amp;IF($I564="","Say which bulk-density basis the lab reported. ","")&amp;IF(AND(ISNUMBER($J564),OR($J564&lt;QC_BD_MIN,$J564&gt;QC_BD_MAX)),"Bulk density outside "&amp;QC_BD_MIN&amp;"–"&amp;QC_BD_MAX&amp;" g/cm³ for peat. Above the top of that range usually means the mineral contact has been passed. ","")&amp;IF(AND(ISNUMBER($N564),$N564&gt;QC_CARBON_PCT_MAX),"Carbon above "&amp;QC_CARBON_PCT_MAX&amp;"% — check units; this may be organic matter rather than carbon. ","")&amp;IF(AND($L564&lt;&gt;"",$M564&lt;&gt;""),"Both LOI and measured carbon given — the measured value is used. ","")&amp;IF(AND($M564="",$L564&lt;&gt;"",OM_FACTOR_IS_LOCAL&lt;&gt;"Yes"),"Carbon derived from LOI using the default factor of "&amp;CARBON_FRACTION_OM&amp;", which has not been calibrated locally. See R1. Reference. ","")&amp;IF(AND(ISNUMBER($O564),$O564=0,ISNUMBER($E564)),"Section lies entirely below the reference depth — it counts to the full-profile stock only. ",""))</f>
        <v/>
      </c>
      <c r="U564" s="14"/>
    </row>
    <row r="565" spans="1:21" ht="15.75" customHeight="1">
      <c r="A565" s="14"/>
      <c r="B565" s="14"/>
      <c r="C565" s="14"/>
      <c r="D565" s="14"/>
      <c r="E565" s="14"/>
      <c r="F565" s="14"/>
      <c r="G565" s="14" t="str">
        <f t="shared" si="56"/>
        <v/>
      </c>
      <c r="H565" s="14"/>
      <c r="I565" s="14"/>
      <c r="J565" s="24"/>
      <c r="K565" s="24"/>
      <c r="L565" s="24"/>
      <c r="M565" s="24"/>
      <c r="N565" s="16" t="str">
        <f t="shared" si="54"/>
        <v/>
      </c>
      <c r="O565" s="16" t="str">
        <f t="shared" si="57"/>
        <v/>
      </c>
      <c r="P565" s="16" t="str">
        <f t="shared" si="58"/>
        <v/>
      </c>
      <c r="Q565" s="16" t="str">
        <f t="shared" si="59"/>
        <v/>
      </c>
      <c r="R565" s="16">
        <f t="shared" si="55"/>
        <v>0</v>
      </c>
      <c r="S565" s="16" t="str">
        <f>IF(OR($B565="",NOT(ISNUMBER($F565))),"",SUMIFS(community_cores_FS!$P$5:$P$597,community_cores_FS!$B$5:$B$597,$B565,community_cores_FS!$F$5:$F$597,"&lt;="&amp;$F565))</f>
        <v/>
      </c>
      <c r="T565" s="16" t="str">
        <f>IF(AND($A565="",$B565="",$E565=""),"",IF(AND($B565&lt;&gt;"",COUNTIF('2. Core Log'!$A$5:$A$124,$B565)=0),"Core ID not in Core Log. ","")&amp;IF(AND($A565&lt;&gt;"",COUNTIF('1. Plot &amp; Site Log'!$A$5:$A$64,$A565)=0),"Plot ID not in Plot &amp; Site Log. ","")&amp;IF(AND(ISNUMBER($E565),ISNUMBER($F565),$F565&lt;=$E565),"Bottom depth is not below top depth. ","")&amp;IF($I565="","Say which bulk-density basis the lab reported. ","")&amp;IF(AND(ISNUMBER($J565),OR($J565&lt;QC_BD_MIN,$J565&gt;QC_BD_MAX)),"Bulk density outside "&amp;QC_BD_MIN&amp;"–"&amp;QC_BD_MAX&amp;" g/cm³ for peat. Above the top of that range usually means the mineral contact has been passed. ","")&amp;IF(AND(ISNUMBER($N565),$N565&gt;QC_CARBON_PCT_MAX),"Carbon above "&amp;QC_CARBON_PCT_MAX&amp;"% — check units; this may be organic matter rather than carbon. ","")&amp;IF(AND($L565&lt;&gt;"",$M565&lt;&gt;""),"Both LOI and measured carbon given — the measured value is used. ","")&amp;IF(AND($M565="",$L565&lt;&gt;"",OM_FACTOR_IS_LOCAL&lt;&gt;"Yes"),"Carbon derived from LOI using the default factor of "&amp;CARBON_FRACTION_OM&amp;", which has not been calibrated locally. See R1. Reference. ","")&amp;IF(AND(ISNUMBER($O565),$O565=0,ISNUMBER($E565)),"Section lies entirely below the reference depth — it counts to the full-profile stock only. ",""))</f>
        <v/>
      </c>
      <c r="U565" s="14"/>
    </row>
    <row r="566" spans="1:21" ht="15.75" customHeight="1">
      <c r="A566" s="14"/>
      <c r="B566" s="14"/>
      <c r="C566" s="14"/>
      <c r="D566" s="14"/>
      <c r="E566" s="14"/>
      <c r="F566" s="14"/>
      <c r="G566" s="14" t="str">
        <f t="shared" si="56"/>
        <v/>
      </c>
      <c r="H566" s="14"/>
      <c r="I566" s="14"/>
      <c r="J566" s="24"/>
      <c r="K566" s="24"/>
      <c r="L566" s="24"/>
      <c r="M566" s="24"/>
      <c r="N566" s="16" t="str">
        <f t="shared" si="54"/>
        <v/>
      </c>
      <c r="O566" s="16" t="str">
        <f t="shared" si="57"/>
        <v/>
      </c>
      <c r="P566" s="16" t="str">
        <f t="shared" si="58"/>
        <v/>
      </c>
      <c r="Q566" s="16" t="str">
        <f t="shared" si="59"/>
        <v/>
      </c>
      <c r="R566" s="16">
        <f t="shared" si="55"/>
        <v>0</v>
      </c>
      <c r="S566" s="16" t="str">
        <f>IF(OR($B566="",NOT(ISNUMBER($F566))),"",SUMIFS(community_cores_FS!$P$5:$P$597,community_cores_FS!$B$5:$B$597,$B566,community_cores_FS!$F$5:$F$597,"&lt;="&amp;$F566))</f>
        <v/>
      </c>
      <c r="T566" s="16" t="str">
        <f>IF(AND($A566="",$B566="",$E566=""),"",IF(AND($B566&lt;&gt;"",COUNTIF('2. Core Log'!$A$5:$A$124,$B566)=0),"Core ID not in Core Log. ","")&amp;IF(AND($A566&lt;&gt;"",COUNTIF('1. Plot &amp; Site Log'!$A$5:$A$64,$A566)=0),"Plot ID not in Plot &amp; Site Log. ","")&amp;IF(AND(ISNUMBER($E566),ISNUMBER($F566),$F566&lt;=$E566),"Bottom depth is not below top depth. ","")&amp;IF($I566="","Say which bulk-density basis the lab reported. ","")&amp;IF(AND(ISNUMBER($J566),OR($J566&lt;QC_BD_MIN,$J566&gt;QC_BD_MAX)),"Bulk density outside "&amp;QC_BD_MIN&amp;"–"&amp;QC_BD_MAX&amp;" g/cm³ for peat. Above the top of that range usually means the mineral contact has been passed. ","")&amp;IF(AND(ISNUMBER($N566),$N566&gt;QC_CARBON_PCT_MAX),"Carbon above "&amp;QC_CARBON_PCT_MAX&amp;"% — check units; this may be organic matter rather than carbon. ","")&amp;IF(AND($L566&lt;&gt;"",$M566&lt;&gt;""),"Both LOI and measured carbon given — the measured value is used. ","")&amp;IF(AND($M566="",$L566&lt;&gt;"",OM_FACTOR_IS_LOCAL&lt;&gt;"Yes"),"Carbon derived from LOI using the default factor of "&amp;CARBON_FRACTION_OM&amp;", which has not been calibrated locally. See R1. Reference. ","")&amp;IF(AND(ISNUMBER($O566),$O566=0,ISNUMBER($E566)),"Section lies entirely below the reference depth — it counts to the full-profile stock only. ",""))</f>
        <v/>
      </c>
      <c r="U566" s="14"/>
    </row>
    <row r="567" spans="1:21" ht="15.75" customHeight="1">
      <c r="A567" s="14"/>
      <c r="B567" s="14"/>
      <c r="C567" s="14"/>
      <c r="D567" s="14"/>
      <c r="E567" s="14"/>
      <c r="F567" s="14"/>
      <c r="G567" s="14" t="str">
        <f t="shared" si="56"/>
        <v/>
      </c>
      <c r="H567" s="14"/>
      <c r="I567" s="14"/>
      <c r="J567" s="24"/>
      <c r="K567" s="24"/>
      <c r="L567" s="24"/>
      <c r="M567" s="24"/>
      <c r="N567" s="16" t="str">
        <f t="shared" si="54"/>
        <v/>
      </c>
      <c r="O567" s="16" t="str">
        <f t="shared" si="57"/>
        <v/>
      </c>
      <c r="P567" s="16" t="str">
        <f t="shared" si="58"/>
        <v/>
      </c>
      <c r="Q567" s="16" t="str">
        <f t="shared" si="59"/>
        <v/>
      </c>
      <c r="R567" s="16">
        <f t="shared" si="55"/>
        <v>0</v>
      </c>
      <c r="S567" s="16" t="str">
        <f>IF(OR($B567="",NOT(ISNUMBER($F567))),"",SUMIFS(community_cores_FS!$P$5:$P$597,community_cores_FS!$B$5:$B$597,$B567,community_cores_FS!$F$5:$F$597,"&lt;="&amp;$F567))</f>
        <v/>
      </c>
      <c r="T567" s="16" t="str">
        <f>IF(AND($A567="",$B567="",$E567=""),"",IF(AND($B567&lt;&gt;"",COUNTIF('2. Core Log'!$A$5:$A$124,$B567)=0),"Core ID not in Core Log. ","")&amp;IF(AND($A567&lt;&gt;"",COUNTIF('1. Plot &amp; Site Log'!$A$5:$A$64,$A567)=0),"Plot ID not in Plot &amp; Site Log. ","")&amp;IF(AND(ISNUMBER($E567),ISNUMBER($F567),$F567&lt;=$E567),"Bottom depth is not below top depth. ","")&amp;IF($I567="","Say which bulk-density basis the lab reported. ","")&amp;IF(AND(ISNUMBER($J567),OR($J567&lt;QC_BD_MIN,$J567&gt;QC_BD_MAX)),"Bulk density outside "&amp;QC_BD_MIN&amp;"–"&amp;QC_BD_MAX&amp;" g/cm³ for peat. Above the top of that range usually means the mineral contact has been passed. ","")&amp;IF(AND(ISNUMBER($N567),$N567&gt;QC_CARBON_PCT_MAX),"Carbon above "&amp;QC_CARBON_PCT_MAX&amp;"% — check units; this may be organic matter rather than carbon. ","")&amp;IF(AND($L567&lt;&gt;"",$M567&lt;&gt;""),"Both LOI and measured carbon given — the measured value is used. ","")&amp;IF(AND($M567="",$L567&lt;&gt;"",OM_FACTOR_IS_LOCAL&lt;&gt;"Yes"),"Carbon derived from LOI using the default factor of "&amp;CARBON_FRACTION_OM&amp;", which has not been calibrated locally. See R1. Reference. ","")&amp;IF(AND(ISNUMBER($O567),$O567=0,ISNUMBER($E567)),"Section lies entirely below the reference depth — it counts to the full-profile stock only. ",""))</f>
        <v/>
      </c>
      <c r="U567" s="14"/>
    </row>
    <row r="568" spans="1:21" ht="15.75" customHeight="1">
      <c r="A568" s="14"/>
      <c r="B568" s="14"/>
      <c r="C568" s="14"/>
      <c r="D568" s="14"/>
      <c r="E568" s="14"/>
      <c r="F568" s="14"/>
      <c r="G568" s="14" t="str">
        <f t="shared" si="56"/>
        <v/>
      </c>
      <c r="H568" s="14"/>
      <c r="I568" s="14"/>
      <c r="J568" s="24"/>
      <c r="K568" s="24"/>
      <c r="L568" s="24"/>
      <c r="M568" s="24"/>
      <c r="N568" s="16" t="str">
        <f t="shared" si="54"/>
        <v/>
      </c>
      <c r="O568" s="16" t="str">
        <f t="shared" si="57"/>
        <v/>
      </c>
      <c r="P568" s="16" t="str">
        <f t="shared" si="58"/>
        <v/>
      </c>
      <c r="Q568" s="16" t="str">
        <f t="shared" si="59"/>
        <v/>
      </c>
      <c r="R568" s="16">
        <f t="shared" si="55"/>
        <v>0</v>
      </c>
      <c r="S568" s="16" t="str">
        <f>IF(OR($B568="",NOT(ISNUMBER($F568))),"",SUMIFS(community_cores_FS!$P$5:$P$597,community_cores_FS!$B$5:$B$597,$B568,community_cores_FS!$F$5:$F$597,"&lt;="&amp;$F568))</f>
        <v/>
      </c>
      <c r="T568" s="16" t="str">
        <f>IF(AND($A568="",$B568="",$E568=""),"",IF(AND($B568&lt;&gt;"",COUNTIF('2. Core Log'!$A$5:$A$124,$B568)=0),"Core ID not in Core Log. ","")&amp;IF(AND($A568&lt;&gt;"",COUNTIF('1. Plot &amp; Site Log'!$A$5:$A$64,$A568)=0),"Plot ID not in Plot &amp; Site Log. ","")&amp;IF(AND(ISNUMBER($E568),ISNUMBER($F568),$F568&lt;=$E568),"Bottom depth is not below top depth. ","")&amp;IF($I568="","Say which bulk-density basis the lab reported. ","")&amp;IF(AND(ISNUMBER($J568),OR($J568&lt;QC_BD_MIN,$J568&gt;QC_BD_MAX)),"Bulk density outside "&amp;QC_BD_MIN&amp;"–"&amp;QC_BD_MAX&amp;" g/cm³ for peat. Above the top of that range usually means the mineral contact has been passed. ","")&amp;IF(AND(ISNUMBER($N568),$N568&gt;QC_CARBON_PCT_MAX),"Carbon above "&amp;QC_CARBON_PCT_MAX&amp;"% — check units; this may be organic matter rather than carbon. ","")&amp;IF(AND($L568&lt;&gt;"",$M568&lt;&gt;""),"Both LOI and measured carbon given — the measured value is used. ","")&amp;IF(AND($M568="",$L568&lt;&gt;"",OM_FACTOR_IS_LOCAL&lt;&gt;"Yes"),"Carbon derived from LOI using the default factor of "&amp;CARBON_FRACTION_OM&amp;", which has not been calibrated locally. See R1. Reference. ","")&amp;IF(AND(ISNUMBER($O568),$O568=0,ISNUMBER($E568)),"Section lies entirely below the reference depth — it counts to the full-profile stock only. ",""))</f>
        <v/>
      </c>
      <c r="U568" s="14"/>
    </row>
    <row r="569" spans="1:21" ht="15.75" customHeight="1">
      <c r="A569" s="14"/>
      <c r="B569" s="14"/>
      <c r="C569" s="14"/>
      <c r="D569" s="14"/>
      <c r="E569" s="14"/>
      <c r="F569" s="14"/>
      <c r="G569" s="14" t="str">
        <f t="shared" si="56"/>
        <v/>
      </c>
      <c r="H569" s="14"/>
      <c r="I569" s="14"/>
      <c r="J569" s="24"/>
      <c r="K569" s="24"/>
      <c r="L569" s="24"/>
      <c r="M569" s="24"/>
      <c r="N569" s="16" t="str">
        <f t="shared" si="54"/>
        <v/>
      </c>
      <c r="O569" s="16" t="str">
        <f t="shared" si="57"/>
        <v/>
      </c>
      <c r="P569" s="16" t="str">
        <f t="shared" si="58"/>
        <v/>
      </c>
      <c r="Q569" s="16" t="str">
        <f t="shared" si="59"/>
        <v/>
      </c>
      <c r="R569" s="16">
        <f t="shared" si="55"/>
        <v>0</v>
      </c>
      <c r="S569" s="16" t="str">
        <f>IF(OR($B569="",NOT(ISNUMBER($F569))),"",SUMIFS(community_cores_FS!$P$5:$P$597,community_cores_FS!$B$5:$B$597,$B569,community_cores_FS!$F$5:$F$597,"&lt;="&amp;$F569))</f>
        <v/>
      </c>
      <c r="T569" s="16" t="str">
        <f>IF(AND($A569="",$B569="",$E569=""),"",IF(AND($B569&lt;&gt;"",COUNTIF('2. Core Log'!$A$5:$A$124,$B569)=0),"Core ID not in Core Log. ","")&amp;IF(AND($A569&lt;&gt;"",COUNTIF('1. Plot &amp; Site Log'!$A$5:$A$64,$A569)=0),"Plot ID not in Plot &amp; Site Log. ","")&amp;IF(AND(ISNUMBER($E569),ISNUMBER($F569),$F569&lt;=$E569),"Bottom depth is not below top depth. ","")&amp;IF($I569="","Say which bulk-density basis the lab reported. ","")&amp;IF(AND(ISNUMBER($J569),OR($J569&lt;QC_BD_MIN,$J569&gt;QC_BD_MAX)),"Bulk density outside "&amp;QC_BD_MIN&amp;"–"&amp;QC_BD_MAX&amp;" g/cm³ for peat. Above the top of that range usually means the mineral contact has been passed. ","")&amp;IF(AND(ISNUMBER($N569),$N569&gt;QC_CARBON_PCT_MAX),"Carbon above "&amp;QC_CARBON_PCT_MAX&amp;"% — check units; this may be organic matter rather than carbon. ","")&amp;IF(AND($L569&lt;&gt;"",$M569&lt;&gt;""),"Both LOI and measured carbon given — the measured value is used. ","")&amp;IF(AND($M569="",$L569&lt;&gt;"",OM_FACTOR_IS_LOCAL&lt;&gt;"Yes"),"Carbon derived from LOI using the default factor of "&amp;CARBON_FRACTION_OM&amp;", which has not been calibrated locally. See R1. Reference. ","")&amp;IF(AND(ISNUMBER($O569),$O569=0,ISNUMBER($E569)),"Section lies entirely below the reference depth — it counts to the full-profile stock only. ",""))</f>
        <v/>
      </c>
      <c r="U569" s="14"/>
    </row>
    <row r="570" spans="1:21" ht="15.75" customHeight="1">
      <c r="A570" s="14"/>
      <c r="B570" s="14"/>
      <c r="C570" s="14"/>
      <c r="D570" s="14"/>
      <c r="E570" s="14"/>
      <c r="F570" s="14"/>
      <c r="G570" s="14" t="str">
        <f t="shared" si="56"/>
        <v/>
      </c>
      <c r="H570" s="14"/>
      <c r="I570" s="14"/>
      <c r="J570" s="24"/>
      <c r="K570" s="24"/>
      <c r="L570" s="24"/>
      <c r="M570" s="24"/>
      <c r="N570" s="16" t="str">
        <f t="shared" si="54"/>
        <v/>
      </c>
      <c r="O570" s="16" t="str">
        <f t="shared" si="57"/>
        <v/>
      </c>
      <c r="P570" s="16" t="str">
        <f t="shared" si="58"/>
        <v/>
      </c>
      <c r="Q570" s="16" t="str">
        <f t="shared" si="59"/>
        <v/>
      </c>
      <c r="R570" s="16">
        <f t="shared" si="55"/>
        <v>0</v>
      </c>
      <c r="S570" s="16" t="str">
        <f>IF(OR($B570="",NOT(ISNUMBER($F570))),"",SUMIFS(community_cores_FS!$P$5:$P$597,community_cores_FS!$B$5:$B$597,$B570,community_cores_FS!$F$5:$F$597,"&lt;="&amp;$F570))</f>
        <v/>
      </c>
      <c r="T570" s="16" t="str">
        <f>IF(AND($A570="",$B570="",$E570=""),"",IF(AND($B570&lt;&gt;"",COUNTIF('2. Core Log'!$A$5:$A$124,$B570)=0),"Core ID not in Core Log. ","")&amp;IF(AND($A570&lt;&gt;"",COUNTIF('1. Plot &amp; Site Log'!$A$5:$A$64,$A570)=0),"Plot ID not in Plot &amp; Site Log. ","")&amp;IF(AND(ISNUMBER($E570),ISNUMBER($F570),$F570&lt;=$E570),"Bottom depth is not below top depth. ","")&amp;IF($I570="","Say which bulk-density basis the lab reported. ","")&amp;IF(AND(ISNUMBER($J570),OR($J570&lt;QC_BD_MIN,$J570&gt;QC_BD_MAX)),"Bulk density outside "&amp;QC_BD_MIN&amp;"–"&amp;QC_BD_MAX&amp;" g/cm³ for peat. Above the top of that range usually means the mineral contact has been passed. ","")&amp;IF(AND(ISNUMBER($N570),$N570&gt;QC_CARBON_PCT_MAX),"Carbon above "&amp;QC_CARBON_PCT_MAX&amp;"% — check units; this may be organic matter rather than carbon. ","")&amp;IF(AND($L570&lt;&gt;"",$M570&lt;&gt;""),"Both LOI and measured carbon given — the measured value is used. ","")&amp;IF(AND($M570="",$L570&lt;&gt;"",OM_FACTOR_IS_LOCAL&lt;&gt;"Yes"),"Carbon derived from LOI using the default factor of "&amp;CARBON_FRACTION_OM&amp;", which has not been calibrated locally. See R1. Reference. ","")&amp;IF(AND(ISNUMBER($O570),$O570=0,ISNUMBER($E570)),"Section lies entirely below the reference depth — it counts to the full-profile stock only. ",""))</f>
        <v/>
      </c>
      <c r="U570" s="14"/>
    </row>
    <row r="571" spans="1:21" ht="15.75" customHeight="1">
      <c r="A571" s="14"/>
      <c r="B571" s="14"/>
      <c r="C571" s="14"/>
      <c r="D571" s="14"/>
      <c r="E571" s="14"/>
      <c r="F571" s="14"/>
      <c r="G571" s="14" t="str">
        <f t="shared" si="56"/>
        <v/>
      </c>
      <c r="H571" s="14"/>
      <c r="I571" s="14"/>
      <c r="J571" s="24"/>
      <c r="K571" s="24"/>
      <c r="L571" s="24"/>
      <c r="M571" s="24"/>
      <c r="N571" s="16" t="str">
        <f t="shared" si="54"/>
        <v/>
      </c>
      <c r="O571" s="16" t="str">
        <f t="shared" si="57"/>
        <v/>
      </c>
      <c r="P571" s="16" t="str">
        <f t="shared" si="58"/>
        <v/>
      </c>
      <c r="Q571" s="16" t="str">
        <f t="shared" si="59"/>
        <v/>
      </c>
      <c r="R571" s="16">
        <f t="shared" si="55"/>
        <v>0</v>
      </c>
      <c r="S571" s="16" t="str">
        <f>IF(OR($B571="",NOT(ISNUMBER($F571))),"",SUMIFS(community_cores_FS!$P$5:$P$597,community_cores_FS!$B$5:$B$597,$B571,community_cores_FS!$F$5:$F$597,"&lt;="&amp;$F571))</f>
        <v/>
      </c>
      <c r="T571" s="16" t="str">
        <f>IF(AND($A571="",$B571="",$E571=""),"",IF(AND($B571&lt;&gt;"",COUNTIF('2. Core Log'!$A$5:$A$124,$B571)=0),"Core ID not in Core Log. ","")&amp;IF(AND($A571&lt;&gt;"",COUNTIF('1. Plot &amp; Site Log'!$A$5:$A$64,$A571)=0),"Plot ID not in Plot &amp; Site Log. ","")&amp;IF(AND(ISNUMBER($E571),ISNUMBER($F571),$F571&lt;=$E571),"Bottom depth is not below top depth. ","")&amp;IF($I571="","Say which bulk-density basis the lab reported. ","")&amp;IF(AND(ISNUMBER($J571),OR($J571&lt;QC_BD_MIN,$J571&gt;QC_BD_MAX)),"Bulk density outside "&amp;QC_BD_MIN&amp;"–"&amp;QC_BD_MAX&amp;" g/cm³ for peat. Above the top of that range usually means the mineral contact has been passed. ","")&amp;IF(AND(ISNUMBER($N571),$N571&gt;QC_CARBON_PCT_MAX),"Carbon above "&amp;QC_CARBON_PCT_MAX&amp;"% — check units; this may be organic matter rather than carbon. ","")&amp;IF(AND($L571&lt;&gt;"",$M571&lt;&gt;""),"Both LOI and measured carbon given — the measured value is used. ","")&amp;IF(AND($M571="",$L571&lt;&gt;"",OM_FACTOR_IS_LOCAL&lt;&gt;"Yes"),"Carbon derived from LOI using the default factor of "&amp;CARBON_FRACTION_OM&amp;", which has not been calibrated locally. See R1. Reference. ","")&amp;IF(AND(ISNUMBER($O571),$O571=0,ISNUMBER($E571)),"Section lies entirely below the reference depth — it counts to the full-profile stock only. ",""))</f>
        <v/>
      </c>
      <c r="U571" s="14"/>
    </row>
    <row r="572" spans="1:21" ht="15.75" customHeight="1">
      <c r="A572" s="14"/>
      <c r="B572" s="14"/>
      <c r="C572" s="14"/>
      <c r="D572" s="14"/>
      <c r="E572" s="14"/>
      <c r="F572" s="14"/>
      <c r="G572" s="14" t="str">
        <f t="shared" si="56"/>
        <v/>
      </c>
      <c r="H572" s="14"/>
      <c r="I572" s="14"/>
      <c r="J572" s="24"/>
      <c r="K572" s="24"/>
      <c r="L572" s="24"/>
      <c r="M572" s="24"/>
      <c r="N572" s="16" t="str">
        <f t="shared" si="54"/>
        <v/>
      </c>
      <c r="O572" s="16" t="str">
        <f t="shared" si="57"/>
        <v/>
      </c>
      <c r="P572" s="16" t="str">
        <f t="shared" si="58"/>
        <v/>
      </c>
      <c r="Q572" s="16" t="str">
        <f t="shared" si="59"/>
        <v/>
      </c>
      <c r="R572" s="16">
        <f t="shared" si="55"/>
        <v>0</v>
      </c>
      <c r="S572" s="16" t="str">
        <f>IF(OR($B572="",NOT(ISNUMBER($F572))),"",SUMIFS(community_cores_FS!$P$5:$P$597,community_cores_FS!$B$5:$B$597,$B572,community_cores_FS!$F$5:$F$597,"&lt;="&amp;$F572))</f>
        <v/>
      </c>
      <c r="T572" s="16" t="str">
        <f>IF(AND($A572="",$B572="",$E572=""),"",IF(AND($B572&lt;&gt;"",COUNTIF('2. Core Log'!$A$5:$A$124,$B572)=0),"Core ID not in Core Log. ","")&amp;IF(AND($A572&lt;&gt;"",COUNTIF('1. Plot &amp; Site Log'!$A$5:$A$64,$A572)=0),"Plot ID not in Plot &amp; Site Log. ","")&amp;IF(AND(ISNUMBER($E572),ISNUMBER($F572),$F572&lt;=$E572),"Bottom depth is not below top depth. ","")&amp;IF($I572="","Say which bulk-density basis the lab reported. ","")&amp;IF(AND(ISNUMBER($J572),OR($J572&lt;QC_BD_MIN,$J572&gt;QC_BD_MAX)),"Bulk density outside "&amp;QC_BD_MIN&amp;"–"&amp;QC_BD_MAX&amp;" g/cm³ for peat. Above the top of that range usually means the mineral contact has been passed. ","")&amp;IF(AND(ISNUMBER($N572),$N572&gt;QC_CARBON_PCT_MAX),"Carbon above "&amp;QC_CARBON_PCT_MAX&amp;"% — check units; this may be organic matter rather than carbon. ","")&amp;IF(AND($L572&lt;&gt;"",$M572&lt;&gt;""),"Both LOI and measured carbon given — the measured value is used. ","")&amp;IF(AND($M572="",$L572&lt;&gt;"",OM_FACTOR_IS_LOCAL&lt;&gt;"Yes"),"Carbon derived from LOI using the default factor of "&amp;CARBON_FRACTION_OM&amp;", which has not been calibrated locally. See R1. Reference. ","")&amp;IF(AND(ISNUMBER($O572),$O572=0,ISNUMBER($E572)),"Section lies entirely below the reference depth — it counts to the full-profile stock only. ",""))</f>
        <v/>
      </c>
      <c r="U572" s="14"/>
    </row>
    <row r="573" spans="1:21" ht="15.75" customHeight="1">
      <c r="A573" s="14"/>
      <c r="B573" s="14"/>
      <c r="C573" s="14"/>
      <c r="D573" s="14"/>
      <c r="E573" s="14"/>
      <c r="F573" s="14"/>
      <c r="G573" s="14" t="str">
        <f t="shared" si="56"/>
        <v/>
      </c>
      <c r="H573" s="14"/>
      <c r="I573" s="14"/>
      <c r="J573" s="24"/>
      <c r="K573" s="24"/>
      <c r="L573" s="24"/>
      <c r="M573" s="24"/>
      <c r="N573" s="16" t="str">
        <f t="shared" si="54"/>
        <v/>
      </c>
      <c r="O573" s="16" t="str">
        <f t="shared" si="57"/>
        <v/>
      </c>
      <c r="P573" s="16" t="str">
        <f t="shared" si="58"/>
        <v/>
      </c>
      <c r="Q573" s="16" t="str">
        <f t="shared" si="59"/>
        <v/>
      </c>
      <c r="R573" s="16">
        <f t="shared" si="55"/>
        <v>0</v>
      </c>
      <c r="S573" s="16" t="str">
        <f>IF(OR($B573="",NOT(ISNUMBER($F573))),"",SUMIFS(community_cores_FS!$P$5:$P$597,community_cores_FS!$B$5:$B$597,$B573,community_cores_FS!$F$5:$F$597,"&lt;="&amp;$F573))</f>
        <v/>
      </c>
      <c r="T573" s="16" t="str">
        <f>IF(AND($A573="",$B573="",$E573=""),"",IF(AND($B573&lt;&gt;"",COUNTIF('2. Core Log'!$A$5:$A$124,$B573)=0),"Core ID not in Core Log. ","")&amp;IF(AND($A573&lt;&gt;"",COUNTIF('1. Plot &amp; Site Log'!$A$5:$A$64,$A573)=0),"Plot ID not in Plot &amp; Site Log. ","")&amp;IF(AND(ISNUMBER($E573),ISNUMBER($F573),$F573&lt;=$E573),"Bottom depth is not below top depth. ","")&amp;IF($I573="","Say which bulk-density basis the lab reported. ","")&amp;IF(AND(ISNUMBER($J573),OR($J573&lt;QC_BD_MIN,$J573&gt;QC_BD_MAX)),"Bulk density outside "&amp;QC_BD_MIN&amp;"–"&amp;QC_BD_MAX&amp;" g/cm³ for peat. Above the top of that range usually means the mineral contact has been passed. ","")&amp;IF(AND(ISNUMBER($N573),$N573&gt;QC_CARBON_PCT_MAX),"Carbon above "&amp;QC_CARBON_PCT_MAX&amp;"% — check units; this may be organic matter rather than carbon. ","")&amp;IF(AND($L573&lt;&gt;"",$M573&lt;&gt;""),"Both LOI and measured carbon given — the measured value is used. ","")&amp;IF(AND($M573="",$L573&lt;&gt;"",OM_FACTOR_IS_LOCAL&lt;&gt;"Yes"),"Carbon derived from LOI using the default factor of "&amp;CARBON_FRACTION_OM&amp;", which has not been calibrated locally. See R1. Reference. ","")&amp;IF(AND(ISNUMBER($O573),$O573=0,ISNUMBER($E573)),"Section lies entirely below the reference depth — it counts to the full-profile stock only. ",""))</f>
        <v/>
      </c>
      <c r="U573" s="14"/>
    </row>
    <row r="574" spans="1:21" ht="15.75" customHeight="1">
      <c r="A574" s="14"/>
      <c r="B574" s="14"/>
      <c r="C574" s="14"/>
      <c r="D574" s="14"/>
      <c r="E574" s="14"/>
      <c r="F574" s="14"/>
      <c r="G574" s="14" t="str">
        <f t="shared" si="56"/>
        <v/>
      </c>
      <c r="H574" s="14"/>
      <c r="I574" s="14"/>
      <c r="J574" s="24"/>
      <c r="K574" s="24"/>
      <c r="L574" s="24"/>
      <c r="M574" s="24"/>
      <c r="N574" s="16" t="str">
        <f t="shared" ref="N574:N597" si="60">IF($M574&lt;&gt;"",$M574,IF($L574&lt;&gt;"",$L574*CARBON_FRACTION_OM,""))</f>
        <v/>
      </c>
      <c r="O574" s="16" t="str">
        <f t="shared" si="57"/>
        <v/>
      </c>
      <c r="P574" s="16" t="str">
        <f t="shared" si="58"/>
        <v/>
      </c>
      <c r="Q574" s="16" t="str">
        <f t="shared" si="59"/>
        <v/>
      </c>
      <c r="R574" s="16">
        <f t="shared" ref="R574:R597" si="61">IF(OR(NOT(ISNUMBER($P574)),NOT(ISNUMBER($G574)),$G574=0),0,$P574/$G574)</f>
        <v>0</v>
      </c>
      <c r="S574" s="16" t="str">
        <f>IF(OR($B574="",NOT(ISNUMBER($F574))),"",SUMIFS(community_cores_FS!$P$5:$P$597,community_cores_FS!$B$5:$B$597,$B574,community_cores_FS!$F$5:$F$597,"&lt;="&amp;$F574))</f>
        <v/>
      </c>
      <c r="T574" s="16" t="str">
        <f>IF(AND($A574="",$B574="",$E574=""),"",IF(AND($B574&lt;&gt;"",COUNTIF('2. Core Log'!$A$5:$A$124,$B574)=0),"Core ID not in Core Log. ","")&amp;IF(AND($A574&lt;&gt;"",COUNTIF('1. Plot &amp; Site Log'!$A$5:$A$64,$A574)=0),"Plot ID not in Plot &amp; Site Log. ","")&amp;IF(AND(ISNUMBER($E574),ISNUMBER($F574),$F574&lt;=$E574),"Bottom depth is not below top depth. ","")&amp;IF($I574="","Say which bulk-density basis the lab reported. ","")&amp;IF(AND(ISNUMBER($J574),OR($J574&lt;QC_BD_MIN,$J574&gt;QC_BD_MAX)),"Bulk density outside "&amp;QC_BD_MIN&amp;"–"&amp;QC_BD_MAX&amp;" g/cm³ for peat. Above the top of that range usually means the mineral contact has been passed. ","")&amp;IF(AND(ISNUMBER($N574),$N574&gt;QC_CARBON_PCT_MAX),"Carbon above "&amp;QC_CARBON_PCT_MAX&amp;"% — check units; this may be organic matter rather than carbon. ","")&amp;IF(AND($L574&lt;&gt;"",$M574&lt;&gt;""),"Both LOI and measured carbon given — the measured value is used. ","")&amp;IF(AND($M574="",$L574&lt;&gt;"",OM_FACTOR_IS_LOCAL&lt;&gt;"Yes"),"Carbon derived from LOI using the default factor of "&amp;CARBON_FRACTION_OM&amp;", which has not been calibrated locally. See R1. Reference. ","")&amp;IF(AND(ISNUMBER($O574),$O574=0,ISNUMBER($E574)),"Section lies entirely below the reference depth — it counts to the full-profile stock only. ",""))</f>
        <v/>
      </c>
      <c r="U574" s="14"/>
    </row>
    <row r="575" spans="1:21" ht="15.75" customHeight="1">
      <c r="A575" s="14"/>
      <c r="B575" s="14"/>
      <c r="C575" s="14"/>
      <c r="D575" s="14"/>
      <c r="E575" s="14"/>
      <c r="F575" s="14"/>
      <c r="G575" s="14" t="str">
        <f t="shared" si="56"/>
        <v/>
      </c>
      <c r="H575" s="14"/>
      <c r="I575" s="14"/>
      <c r="J575" s="24"/>
      <c r="K575" s="24"/>
      <c r="L575" s="24"/>
      <c r="M575" s="24"/>
      <c r="N575" s="16" t="str">
        <f t="shared" si="60"/>
        <v/>
      </c>
      <c r="O575" s="16" t="str">
        <f t="shared" si="57"/>
        <v/>
      </c>
      <c r="P575" s="16" t="str">
        <f t="shared" si="58"/>
        <v/>
      </c>
      <c r="Q575" s="16" t="str">
        <f t="shared" si="59"/>
        <v/>
      </c>
      <c r="R575" s="16">
        <f t="shared" si="61"/>
        <v>0</v>
      </c>
      <c r="S575" s="16" t="str">
        <f>IF(OR($B575="",NOT(ISNUMBER($F575))),"",SUMIFS(community_cores_FS!$P$5:$P$597,community_cores_FS!$B$5:$B$597,$B575,community_cores_FS!$F$5:$F$597,"&lt;="&amp;$F575))</f>
        <v/>
      </c>
      <c r="T575" s="16" t="str">
        <f>IF(AND($A575="",$B575="",$E575=""),"",IF(AND($B575&lt;&gt;"",COUNTIF('2. Core Log'!$A$5:$A$124,$B575)=0),"Core ID not in Core Log. ","")&amp;IF(AND($A575&lt;&gt;"",COUNTIF('1. Plot &amp; Site Log'!$A$5:$A$64,$A575)=0),"Plot ID not in Plot &amp; Site Log. ","")&amp;IF(AND(ISNUMBER($E575),ISNUMBER($F575),$F575&lt;=$E575),"Bottom depth is not below top depth. ","")&amp;IF($I575="","Say which bulk-density basis the lab reported. ","")&amp;IF(AND(ISNUMBER($J575),OR($J575&lt;QC_BD_MIN,$J575&gt;QC_BD_MAX)),"Bulk density outside "&amp;QC_BD_MIN&amp;"–"&amp;QC_BD_MAX&amp;" g/cm³ for peat. Above the top of that range usually means the mineral contact has been passed. ","")&amp;IF(AND(ISNUMBER($N575),$N575&gt;QC_CARBON_PCT_MAX),"Carbon above "&amp;QC_CARBON_PCT_MAX&amp;"% — check units; this may be organic matter rather than carbon. ","")&amp;IF(AND($L575&lt;&gt;"",$M575&lt;&gt;""),"Both LOI and measured carbon given — the measured value is used. ","")&amp;IF(AND($M575="",$L575&lt;&gt;"",OM_FACTOR_IS_LOCAL&lt;&gt;"Yes"),"Carbon derived from LOI using the default factor of "&amp;CARBON_FRACTION_OM&amp;", which has not been calibrated locally. See R1. Reference. ","")&amp;IF(AND(ISNUMBER($O575),$O575=0,ISNUMBER($E575)),"Section lies entirely below the reference depth — it counts to the full-profile stock only. ",""))</f>
        <v/>
      </c>
      <c r="U575" s="14"/>
    </row>
    <row r="576" spans="1:21" ht="15.75" customHeight="1">
      <c r="A576" s="14"/>
      <c r="B576" s="14"/>
      <c r="C576" s="14"/>
      <c r="D576" s="14"/>
      <c r="E576" s="14"/>
      <c r="F576" s="14"/>
      <c r="G576" s="14" t="str">
        <f t="shared" si="56"/>
        <v/>
      </c>
      <c r="H576" s="14"/>
      <c r="I576" s="14"/>
      <c r="J576" s="24"/>
      <c r="K576" s="24"/>
      <c r="L576" s="24"/>
      <c r="M576" s="24"/>
      <c r="N576" s="16" t="str">
        <f t="shared" si="60"/>
        <v/>
      </c>
      <c r="O576" s="16" t="str">
        <f t="shared" si="57"/>
        <v/>
      </c>
      <c r="P576" s="16" t="str">
        <f t="shared" si="58"/>
        <v/>
      </c>
      <c r="Q576" s="16" t="str">
        <f t="shared" si="59"/>
        <v/>
      </c>
      <c r="R576" s="16">
        <f t="shared" si="61"/>
        <v>0</v>
      </c>
      <c r="S576" s="16" t="str">
        <f>IF(OR($B576="",NOT(ISNUMBER($F576))),"",SUMIFS(community_cores_FS!$P$5:$P$597,community_cores_FS!$B$5:$B$597,$B576,community_cores_FS!$F$5:$F$597,"&lt;="&amp;$F576))</f>
        <v/>
      </c>
      <c r="T576" s="16" t="str">
        <f>IF(AND($A576="",$B576="",$E576=""),"",IF(AND($B576&lt;&gt;"",COUNTIF('2. Core Log'!$A$5:$A$124,$B576)=0),"Core ID not in Core Log. ","")&amp;IF(AND($A576&lt;&gt;"",COUNTIF('1. Plot &amp; Site Log'!$A$5:$A$64,$A576)=0),"Plot ID not in Plot &amp; Site Log. ","")&amp;IF(AND(ISNUMBER($E576),ISNUMBER($F576),$F576&lt;=$E576),"Bottom depth is not below top depth. ","")&amp;IF($I576="","Say which bulk-density basis the lab reported. ","")&amp;IF(AND(ISNUMBER($J576),OR($J576&lt;QC_BD_MIN,$J576&gt;QC_BD_MAX)),"Bulk density outside "&amp;QC_BD_MIN&amp;"–"&amp;QC_BD_MAX&amp;" g/cm³ for peat. Above the top of that range usually means the mineral contact has been passed. ","")&amp;IF(AND(ISNUMBER($N576),$N576&gt;QC_CARBON_PCT_MAX),"Carbon above "&amp;QC_CARBON_PCT_MAX&amp;"% — check units; this may be organic matter rather than carbon. ","")&amp;IF(AND($L576&lt;&gt;"",$M576&lt;&gt;""),"Both LOI and measured carbon given — the measured value is used. ","")&amp;IF(AND($M576="",$L576&lt;&gt;"",OM_FACTOR_IS_LOCAL&lt;&gt;"Yes"),"Carbon derived from LOI using the default factor of "&amp;CARBON_FRACTION_OM&amp;", which has not been calibrated locally. See R1. Reference. ","")&amp;IF(AND(ISNUMBER($O576),$O576=0,ISNUMBER($E576)),"Section lies entirely below the reference depth — it counts to the full-profile stock only. ",""))</f>
        <v/>
      </c>
      <c r="U576" s="14"/>
    </row>
    <row r="577" spans="1:21" ht="15.75" customHeight="1">
      <c r="A577" s="14"/>
      <c r="B577" s="14"/>
      <c r="C577" s="14"/>
      <c r="D577" s="14"/>
      <c r="E577" s="14"/>
      <c r="F577" s="14"/>
      <c r="G577" s="14" t="str">
        <f t="shared" si="56"/>
        <v/>
      </c>
      <c r="H577" s="14"/>
      <c r="I577" s="14"/>
      <c r="J577" s="24"/>
      <c r="K577" s="24"/>
      <c r="L577" s="24"/>
      <c r="M577" s="24"/>
      <c r="N577" s="16" t="str">
        <f t="shared" si="60"/>
        <v/>
      </c>
      <c r="O577" s="16" t="str">
        <f t="shared" si="57"/>
        <v/>
      </c>
      <c r="P577" s="16" t="str">
        <f t="shared" si="58"/>
        <v/>
      </c>
      <c r="Q577" s="16" t="str">
        <f t="shared" si="59"/>
        <v/>
      </c>
      <c r="R577" s="16">
        <f t="shared" si="61"/>
        <v>0</v>
      </c>
      <c r="S577" s="16" t="str">
        <f>IF(OR($B577="",NOT(ISNUMBER($F577))),"",SUMIFS(community_cores_FS!$P$5:$P$597,community_cores_FS!$B$5:$B$597,$B577,community_cores_FS!$F$5:$F$597,"&lt;="&amp;$F577))</f>
        <v/>
      </c>
      <c r="T577" s="16" t="str">
        <f>IF(AND($A577="",$B577="",$E577=""),"",IF(AND($B577&lt;&gt;"",COUNTIF('2. Core Log'!$A$5:$A$124,$B577)=0),"Core ID not in Core Log. ","")&amp;IF(AND($A577&lt;&gt;"",COUNTIF('1. Plot &amp; Site Log'!$A$5:$A$64,$A577)=0),"Plot ID not in Plot &amp; Site Log. ","")&amp;IF(AND(ISNUMBER($E577),ISNUMBER($F577),$F577&lt;=$E577),"Bottom depth is not below top depth. ","")&amp;IF($I577="","Say which bulk-density basis the lab reported. ","")&amp;IF(AND(ISNUMBER($J577),OR($J577&lt;QC_BD_MIN,$J577&gt;QC_BD_MAX)),"Bulk density outside "&amp;QC_BD_MIN&amp;"–"&amp;QC_BD_MAX&amp;" g/cm³ for peat. Above the top of that range usually means the mineral contact has been passed. ","")&amp;IF(AND(ISNUMBER($N577),$N577&gt;QC_CARBON_PCT_MAX),"Carbon above "&amp;QC_CARBON_PCT_MAX&amp;"% — check units; this may be organic matter rather than carbon. ","")&amp;IF(AND($L577&lt;&gt;"",$M577&lt;&gt;""),"Both LOI and measured carbon given — the measured value is used. ","")&amp;IF(AND($M577="",$L577&lt;&gt;"",OM_FACTOR_IS_LOCAL&lt;&gt;"Yes"),"Carbon derived from LOI using the default factor of "&amp;CARBON_FRACTION_OM&amp;", which has not been calibrated locally. See R1. Reference. ","")&amp;IF(AND(ISNUMBER($O577),$O577=0,ISNUMBER($E577)),"Section lies entirely below the reference depth — it counts to the full-profile stock only. ",""))</f>
        <v/>
      </c>
      <c r="U577" s="14"/>
    </row>
    <row r="578" spans="1:21" ht="15.75" customHeight="1">
      <c r="A578" s="14"/>
      <c r="B578" s="14"/>
      <c r="C578" s="14"/>
      <c r="D578" s="14"/>
      <c r="E578" s="14"/>
      <c r="F578" s="14"/>
      <c r="G578" s="14" t="str">
        <f t="shared" si="56"/>
        <v/>
      </c>
      <c r="H578" s="14"/>
      <c r="I578" s="14"/>
      <c r="J578" s="24"/>
      <c r="K578" s="24"/>
      <c r="L578" s="24"/>
      <c r="M578" s="24"/>
      <c r="N578" s="16" t="str">
        <f t="shared" si="60"/>
        <v/>
      </c>
      <c r="O578" s="16" t="str">
        <f t="shared" si="57"/>
        <v/>
      </c>
      <c r="P578" s="16" t="str">
        <f t="shared" si="58"/>
        <v/>
      </c>
      <c r="Q578" s="16" t="str">
        <f t="shared" si="59"/>
        <v/>
      </c>
      <c r="R578" s="16">
        <f t="shared" si="61"/>
        <v>0</v>
      </c>
      <c r="S578" s="16" t="str">
        <f>IF(OR($B578="",NOT(ISNUMBER($F578))),"",SUMIFS(community_cores_FS!$P$5:$P$597,community_cores_FS!$B$5:$B$597,$B578,community_cores_FS!$F$5:$F$597,"&lt;="&amp;$F578))</f>
        <v/>
      </c>
      <c r="T578" s="16" t="str">
        <f>IF(AND($A578="",$B578="",$E578=""),"",IF(AND($B578&lt;&gt;"",COUNTIF('2. Core Log'!$A$5:$A$124,$B578)=0),"Core ID not in Core Log. ","")&amp;IF(AND($A578&lt;&gt;"",COUNTIF('1. Plot &amp; Site Log'!$A$5:$A$64,$A578)=0),"Plot ID not in Plot &amp; Site Log. ","")&amp;IF(AND(ISNUMBER($E578),ISNUMBER($F578),$F578&lt;=$E578),"Bottom depth is not below top depth. ","")&amp;IF($I578="","Say which bulk-density basis the lab reported. ","")&amp;IF(AND(ISNUMBER($J578),OR($J578&lt;QC_BD_MIN,$J578&gt;QC_BD_MAX)),"Bulk density outside "&amp;QC_BD_MIN&amp;"–"&amp;QC_BD_MAX&amp;" g/cm³ for peat. Above the top of that range usually means the mineral contact has been passed. ","")&amp;IF(AND(ISNUMBER($N578),$N578&gt;QC_CARBON_PCT_MAX),"Carbon above "&amp;QC_CARBON_PCT_MAX&amp;"% — check units; this may be organic matter rather than carbon. ","")&amp;IF(AND($L578&lt;&gt;"",$M578&lt;&gt;""),"Both LOI and measured carbon given — the measured value is used. ","")&amp;IF(AND($M578="",$L578&lt;&gt;"",OM_FACTOR_IS_LOCAL&lt;&gt;"Yes"),"Carbon derived from LOI using the default factor of "&amp;CARBON_FRACTION_OM&amp;", which has not been calibrated locally. See R1. Reference. ","")&amp;IF(AND(ISNUMBER($O578),$O578=0,ISNUMBER($E578)),"Section lies entirely below the reference depth — it counts to the full-profile stock only. ",""))</f>
        <v/>
      </c>
      <c r="U578" s="14"/>
    </row>
    <row r="579" spans="1:21" ht="15.75" customHeight="1">
      <c r="A579" s="14"/>
      <c r="B579" s="14"/>
      <c r="C579" s="14"/>
      <c r="D579" s="14"/>
      <c r="E579" s="14"/>
      <c r="F579" s="14"/>
      <c r="G579" s="14" t="str">
        <f t="shared" si="56"/>
        <v/>
      </c>
      <c r="H579" s="14"/>
      <c r="I579" s="14"/>
      <c r="J579" s="24"/>
      <c r="K579" s="24"/>
      <c r="L579" s="24"/>
      <c r="M579" s="24"/>
      <c r="N579" s="16" t="str">
        <f t="shared" si="60"/>
        <v/>
      </c>
      <c r="O579" s="16" t="str">
        <f t="shared" si="57"/>
        <v/>
      </c>
      <c r="P579" s="16" t="str">
        <f t="shared" si="58"/>
        <v/>
      </c>
      <c r="Q579" s="16" t="str">
        <f t="shared" si="59"/>
        <v/>
      </c>
      <c r="R579" s="16">
        <f t="shared" si="61"/>
        <v>0</v>
      </c>
      <c r="S579" s="16" t="str">
        <f>IF(OR($B579="",NOT(ISNUMBER($F579))),"",SUMIFS(community_cores_FS!$P$5:$P$597,community_cores_FS!$B$5:$B$597,$B579,community_cores_FS!$F$5:$F$597,"&lt;="&amp;$F579))</f>
        <v/>
      </c>
      <c r="T579" s="16" t="str">
        <f>IF(AND($A579="",$B579="",$E579=""),"",IF(AND($B579&lt;&gt;"",COUNTIF('2. Core Log'!$A$5:$A$124,$B579)=0),"Core ID not in Core Log. ","")&amp;IF(AND($A579&lt;&gt;"",COUNTIF('1. Plot &amp; Site Log'!$A$5:$A$64,$A579)=0),"Plot ID not in Plot &amp; Site Log. ","")&amp;IF(AND(ISNUMBER($E579),ISNUMBER($F579),$F579&lt;=$E579),"Bottom depth is not below top depth. ","")&amp;IF($I579="","Say which bulk-density basis the lab reported. ","")&amp;IF(AND(ISNUMBER($J579),OR($J579&lt;QC_BD_MIN,$J579&gt;QC_BD_MAX)),"Bulk density outside "&amp;QC_BD_MIN&amp;"–"&amp;QC_BD_MAX&amp;" g/cm³ for peat. Above the top of that range usually means the mineral contact has been passed. ","")&amp;IF(AND(ISNUMBER($N579),$N579&gt;QC_CARBON_PCT_MAX),"Carbon above "&amp;QC_CARBON_PCT_MAX&amp;"% — check units; this may be organic matter rather than carbon. ","")&amp;IF(AND($L579&lt;&gt;"",$M579&lt;&gt;""),"Both LOI and measured carbon given — the measured value is used. ","")&amp;IF(AND($M579="",$L579&lt;&gt;"",OM_FACTOR_IS_LOCAL&lt;&gt;"Yes"),"Carbon derived from LOI using the default factor of "&amp;CARBON_FRACTION_OM&amp;", which has not been calibrated locally. See R1. Reference. ","")&amp;IF(AND(ISNUMBER($O579),$O579=0,ISNUMBER($E579)),"Section lies entirely below the reference depth — it counts to the full-profile stock only. ",""))</f>
        <v/>
      </c>
      <c r="U579" s="14"/>
    </row>
    <row r="580" spans="1:21" ht="15.75" customHeight="1">
      <c r="A580" s="14"/>
      <c r="B580" s="14"/>
      <c r="C580" s="14"/>
      <c r="D580" s="14"/>
      <c r="E580" s="14"/>
      <c r="F580" s="14"/>
      <c r="G580" s="14" t="str">
        <f t="shared" si="56"/>
        <v/>
      </c>
      <c r="H580" s="14"/>
      <c r="I580" s="14"/>
      <c r="J580" s="24"/>
      <c r="K580" s="24"/>
      <c r="L580" s="24"/>
      <c r="M580" s="24"/>
      <c r="N580" s="16" t="str">
        <f t="shared" si="60"/>
        <v/>
      </c>
      <c r="O580" s="16" t="str">
        <f t="shared" si="57"/>
        <v/>
      </c>
      <c r="P580" s="16" t="str">
        <f t="shared" si="58"/>
        <v/>
      </c>
      <c r="Q580" s="16" t="str">
        <f t="shared" si="59"/>
        <v/>
      </c>
      <c r="R580" s="16">
        <f t="shared" si="61"/>
        <v>0</v>
      </c>
      <c r="S580" s="16" t="str">
        <f>IF(OR($B580="",NOT(ISNUMBER($F580))),"",SUMIFS(community_cores_FS!$P$5:$P$597,community_cores_FS!$B$5:$B$597,$B580,community_cores_FS!$F$5:$F$597,"&lt;="&amp;$F580))</f>
        <v/>
      </c>
      <c r="T580" s="16" t="str">
        <f>IF(AND($A580="",$B580="",$E580=""),"",IF(AND($B580&lt;&gt;"",COUNTIF('2. Core Log'!$A$5:$A$124,$B580)=0),"Core ID not in Core Log. ","")&amp;IF(AND($A580&lt;&gt;"",COUNTIF('1. Plot &amp; Site Log'!$A$5:$A$64,$A580)=0),"Plot ID not in Plot &amp; Site Log. ","")&amp;IF(AND(ISNUMBER($E580),ISNUMBER($F580),$F580&lt;=$E580),"Bottom depth is not below top depth. ","")&amp;IF($I580="","Say which bulk-density basis the lab reported. ","")&amp;IF(AND(ISNUMBER($J580),OR($J580&lt;QC_BD_MIN,$J580&gt;QC_BD_MAX)),"Bulk density outside "&amp;QC_BD_MIN&amp;"–"&amp;QC_BD_MAX&amp;" g/cm³ for peat. Above the top of that range usually means the mineral contact has been passed. ","")&amp;IF(AND(ISNUMBER($N580),$N580&gt;QC_CARBON_PCT_MAX),"Carbon above "&amp;QC_CARBON_PCT_MAX&amp;"% — check units; this may be organic matter rather than carbon. ","")&amp;IF(AND($L580&lt;&gt;"",$M580&lt;&gt;""),"Both LOI and measured carbon given — the measured value is used. ","")&amp;IF(AND($M580="",$L580&lt;&gt;"",OM_FACTOR_IS_LOCAL&lt;&gt;"Yes"),"Carbon derived from LOI using the default factor of "&amp;CARBON_FRACTION_OM&amp;", which has not been calibrated locally. See R1. Reference. ","")&amp;IF(AND(ISNUMBER($O580),$O580=0,ISNUMBER($E580)),"Section lies entirely below the reference depth — it counts to the full-profile stock only. ",""))</f>
        <v/>
      </c>
      <c r="U580" s="14"/>
    </row>
    <row r="581" spans="1:21" ht="15.75" customHeight="1">
      <c r="A581" s="14"/>
      <c r="B581" s="14"/>
      <c r="C581" s="14"/>
      <c r="D581" s="14"/>
      <c r="E581" s="14"/>
      <c r="F581" s="14"/>
      <c r="G581" s="14" t="str">
        <f t="shared" si="56"/>
        <v/>
      </c>
      <c r="H581" s="14"/>
      <c r="I581" s="14"/>
      <c r="J581" s="24"/>
      <c r="K581" s="24"/>
      <c r="L581" s="24"/>
      <c r="M581" s="24"/>
      <c r="N581" s="16" t="str">
        <f t="shared" si="60"/>
        <v/>
      </c>
      <c r="O581" s="16" t="str">
        <f t="shared" si="57"/>
        <v/>
      </c>
      <c r="P581" s="16" t="str">
        <f t="shared" si="58"/>
        <v/>
      </c>
      <c r="Q581" s="16" t="str">
        <f t="shared" si="59"/>
        <v/>
      </c>
      <c r="R581" s="16">
        <f t="shared" si="61"/>
        <v>0</v>
      </c>
      <c r="S581" s="16" t="str">
        <f>IF(OR($B581="",NOT(ISNUMBER($F581))),"",SUMIFS(community_cores_FS!$P$5:$P$597,community_cores_FS!$B$5:$B$597,$B581,community_cores_FS!$F$5:$F$597,"&lt;="&amp;$F581))</f>
        <v/>
      </c>
      <c r="T581" s="16" t="str">
        <f>IF(AND($A581="",$B581="",$E581=""),"",IF(AND($B581&lt;&gt;"",COUNTIF('2. Core Log'!$A$5:$A$124,$B581)=0),"Core ID not in Core Log. ","")&amp;IF(AND($A581&lt;&gt;"",COUNTIF('1. Plot &amp; Site Log'!$A$5:$A$64,$A581)=0),"Plot ID not in Plot &amp; Site Log. ","")&amp;IF(AND(ISNUMBER($E581),ISNUMBER($F581),$F581&lt;=$E581),"Bottom depth is not below top depth. ","")&amp;IF($I581="","Say which bulk-density basis the lab reported. ","")&amp;IF(AND(ISNUMBER($J581),OR($J581&lt;QC_BD_MIN,$J581&gt;QC_BD_MAX)),"Bulk density outside "&amp;QC_BD_MIN&amp;"–"&amp;QC_BD_MAX&amp;" g/cm³ for peat. Above the top of that range usually means the mineral contact has been passed. ","")&amp;IF(AND(ISNUMBER($N581),$N581&gt;QC_CARBON_PCT_MAX),"Carbon above "&amp;QC_CARBON_PCT_MAX&amp;"% — check units; this may be organic matter rather than carbon. ","")&amp;IF(AND($L581&lt;&gt;"",$M581&lt;&gt;""),"Both LOI and measured carbon given — the measured value is used. ","")&amp;IF(AND($M581="",$L581&lt;&gt;"",OM_FACTOR_IS_LOCAL&lt;&gt;"Yes"),"Carbon derived from LOI using the default factor of "&amp;CARBON_FRACTION_OM&amp;", which has not been calibrated locally. See R1. Reference. ","")&amp;IF(AND(ISNUMBER($O581),$O581=0,ISNUMBER($E581)),"Section lies entirely below the reference depth — it counts to the full-profile stock only. ",""))</f>
        <v/>
      </c>
      <c r="U581" s="14"/>
    </row>
    <row r="582" spans="1:21" ht="15.75" customHeight="1">
      <c r="A582" s="14"/>
      <c r="B582" s="14"/>
      <c r="C582" s="14"/>
      <c r="D582" s="14"/>
      <c r="E582" s="14"/>
      <c r="F582" s="14"/>
      <c r="G582" s="14" t="str">
        <f t="shared" si="56"/>
        <v/>
      </c>
      <c r="H582" s="14"/>
      <c r="I582" s="14"/>
      <c r="J582" s="24"/>
      <c r="K582" s="24"/>
      <c r="L582" s="24"/>
      <c r="M582" s="24"/>
      <c r="N582" s="16" t="str">
        <f t="shared" si="60"/>
        <v/>
      </c>
      <c r="O582" s="16" t="str">
        <f t="shared" si="57"/>
        <v/>
      </c>
      <c r="P582" s="16" t="str">
        <f t="shared" si="58"/>
        <v/>
      </c>
      <c r="Q582" s="16" t="str">
        <f t="shared" si="59"/>
        <v/>
      </c>
      <c r="R582" s="16">
        <f t="shared" si="61"/>
        <v>0</v>
      </c>
      <c r="S582" s="16" t="str">
        <f>IF(OR($B582="",NOT(ISNUMBER($F582))),"",SUMIFS(community_cores_FS!$P$5:$P$597,community_cores_FS!$B$5:$B$597,$B582,community_cores_FS!$F$5:$F$597,"&lt;="&amp;$F582))</f>
        <v/>
      </c>
      <c r="T582" s="16" t="str">
        <f>IF(AND($A582="",$B582="",$E582=""),"",IF(AND($B582&lt;&gt;"",COUNTIF('2. Core Log'!$A$5:$A$124,$B582)=0),"Core ID not in Core Log. ","")&amp;IF(AND($A582&lt;&gt;"",COUNTIF('1. Plot &amp; Site Log'!$A$5:$A$64,$A582)=0),"Plot ID not in Plot &amp; Site Log. ","")&amp;IF(AND(ISNUMBER($E582),ISNUMBER($F582),$F582&lt;=$E582),"Bottom depth is not below top depth. ","")&amp;IF($I582="","Say which bulk-density basis the lab reported. ","")&amp;IF(AND(ISNUMBER($J582),OR($J582&lt;QC_BD_MIN,$J582&gt;QC_BD_MAX)),"Bulk density outside "&amp;QC_BD_MIN&amp;"–"&amp;QC_BD_MAX&amp;" g/cm³ for peat. Above the top of that range usually means the mineral contact has been passed. ","")&amp;IF(AND(ISNUMBER($N582),$N582&gt;QC_CARBON_PCT_MAX),"Carbon above "&amp;QC_CARBON_PCT_MAX&amp;"% — check units; this may be organic matter rather than carbon. ","")&amp;IF(AND($L582&lt;&gt;"",$M582&lt;&gt;""),"Both LOI and measured carbon given — the measured value is used. ","")&amp;IF(AND($M582="",$L582&lt;&gt;"",OM_FACTOR_IS_LOCAL&lt;&gt;"Yes"),"Carbon derived from LOI using the default factor of "&amp;CARBON_FRACTION_OM&amp;", which has not been calibrated locally. See R1. Reference. ","")&amp;IF(AND(ISNUMBER($O582),$O582=0,ISNUMBER($E582)),"Section lies entirely below the reference depth — it counts to the full-profile stock only. ",""))</f>
        <v/>
      </c>
      <c r="U582" s="14"/>
    </row>
    <row r="583" spans="1:21" ht="15.75" customHeight="1">
      <c r="A583" s="14"/>
      <c r="B583" s="14"/>
      <c r="C583" s="14"/>
      <c r="D583" s="14"/>
      <c r="E583" s="14"/>
      <c r="F583" s="14"/>
      <c r="G583" s="14" t="str">
        <f t="shared" si="56"/>
        <v/>
      </c>
      <c r="H583" s="14"/>
      <c r="I583" s="14"/>
      <c r="J583" s="24"/>
      <c r="K583" s="24"/>
      <c r="L583" s="24"/>
      <c r="M583" s="24"/>
      <c r="N583" s="16" t="str">
        <f t="shared" si="60"/>
        <v/>
      </c>
      <c r="O583" s="16" t="str">
        <f t="shared" si="57"/>
        <v/>
      </c>
      <c r="P583" s="16" t="str">
        <f t="shared" si="58"/>
        <v/>
      </c>
      <c r="Q583" s="16" t="str">
        <f t="shared" si="59"/>
        <v/>
      </c>
      <c r="R583" s="16">
        <f t="shared" si="61"/>
        <v>0</v>
      </c>
      <c r="S583" s="16" t="str">
        <f>IF(OR($B583="",NOT(ISNUMBER($F583))),"",SUMIFS(community_cores_FS!$P$5:$P$597,community_cores_FS!$B$5:$B$597,$B583,community_cores_FS!$F$5:$F$597,"&lt;="&amp;$F583))</f>
        <v/>
      </c>
      <c r="T583" s="16" t="str">
        <f>IF(AND($A583="",$B583="",$E583=""),"",IF(AND($B583&lt;&gt;"",COUNTIF('2. Core Log'!$A$5:$A$124,$B583)=0),"Core ID not in Core Log. ","")&amp;IF(AND($A583&lt;&gt;"",COUNTIF('1. Plot &amp; Site Log'!$A$5:$A$64,$A583)=0),"Plot ID not in Plot &amp; Site Log. ","")&amp;IF(AND(ISNUMBER($E583),ISNUMBER($F583),$F583&lt;=$E583),"Bottom depth is not below top depth. ","")&amp;IF($I583="","Say which bulk-density basis the lab reported. ","")&amp;IF(AND(ISNUMBER($J583),OR($J583&lt;QC_BD_MIN,$J583&gt;QC_BD_MAX)),"Bulk density outside "&amp;QC_BD_MIN&amp;"–"&amp;QC_BD_MAX&amp;" g/cm³ for peat. Above the top of that range usually means the mineral contact has been passed. ","")&amp;IF(AND(ISNUMBER($N583),$N583&gt;QC_CARBON_PCT_MAX),"Carbon above "&amp;QC_CARBON_PCT_MAX&amp;"% — check units; this may be organic matter rather than carbon. ","")&amp;IF(AND($L583&lt;&gt;"",$M583&lt;&gt;""),"Both LOI and measured carbon given — the measured value is used. ","")&amp;IF(AND($M583="",$L583&lt;&gt;"",OM_FACTOR_IS_LOCAL&lt;&gt;"Yes"),"Carbon derived from LOI using the default factor of "&amp;CARBON_FRACTION_OM&amp;", which has not been calibrated locally. See R1. Reference. ","")&amp;IF(AND(ISNUMBER($O583),$O583=0,ISNUMBER($E583)),"Section lies entirely below the reference depth — it counts to the full-profile stock only. ",""))</f>
        <v/>
      </c>
      <c r="U583" s="14"/>
    </row>
    <row r="584" spans="1:21" ht="15.75" customHeight="1">
      <c r="A584" s="14"/>
      <c r="B584" s="14"/>
      <c r="C584" s="14"/>
      <c r="D584" s="14"/>
      <c r="E584" s="14"/>
      <c r="F584" s="14"/>
      <c r="G584" s="14" t="str">
        <f t="shared" si="56"/>
        <v/>
      </c>
      <c r="H584" s="14"/>
      <c r="I584" s="14"/>
      <c r="J584" s="24"/>
      <c r="K584" s="24"/>
      <c r="L584" s="24"/>
      <c r="M584" s="24"/>
      <c r="N584" s="16" t="str">
        <f t="shared" si="60"/>
        <v/>
      </c>
      <c r="O584" s="16" t="str">
        <f t="shared" si="57"/>
        <v/>
      </c>
      <c r="P584" s="16" t="str">
        <f t="shared" si="58"/>
        <v/>
      </c>
      <c r="Q584" s="16" t="str">
        <f t="shared" si="59"/>
        <v/>
      </c>
      <c r="R584" s="16">
        <f t="shared" si="61"/>
        <v>0</v>
      </c>
      <c r="S584" s="16" t="str">
        <f>IF(OR($B584="",NOT(ISNUMBER($F584))),"",SUMIFS(community_cores_FS!$P$5:$P$597,community_cores_FS!$B$5:$B$597,$B584,community_cores_FS!$F$5:$F$597,"&lt;="&amp;$F584))</f>
        <v/>
      </c>
      <c r="T584" s="16" t="str">
        <f>IF(AND($A584="",$B584="",$E584=""),"",IF(AND($B584&lt;&gt;"",COUNTIF('2. Core Log'!$A$5:$A$124,$B584)=0),"Core ID not in Core Log. ","")&amp;IF(AND($A584&lt;&gt;"",COUNTIF('1. Plot &amp; Site Log'!$A$5:$A$64,$A584)=0),"Plot ID not in Plot &amp; Site Log. ","")&amp;IF(AND(ISNUMBER($E584),ISNUMBER($F584),$F584&lt;=$E584),"Bottom depth is not below top depth. ","")&amp;IF($I584="","Say which bulk-density basis the lab reported. ","")&amp;IF(AND(ISNUMBER($J584),OR($J584&lt;QC_BD_MIN,$J584&gt;QC_BD_MAX)),"Bulk density outside "&amp;QC_BD_MIN&amp;"–"&amp;QC_BD_MAX&amp;" g/cm³ for peat. Above the top of that range usually means the mineral contact has been passed. ","")&amp;IF(AND(ISNUMBER($N584),$N584&gt;QC_CARBON_PCT_MAX),"Carbon above "&amp;QC_CARBON_PCT_MAX&amp;"% — check units; this may be organic matter rather than carbon. ","")&amp;IF(AND($L584&lt;&gt;"",$M584&lt;&gt;""),"Both LOI and measured carbon given — the measured value is used. ","")&amp;IF(AND($M584="",$L584&lt;&gt;"",OM_FACTOR_IS_LOCAL&lt;&gt;"Yes"),"Carbon derived from LOI using the default factor of "&amp;CARBON_FRACTION_OM&amp;", which has not been calibrated locally. See R1. Reference. ","")&amp;IF(AND(ISNUMBER($O584),$O584=0,ISNUMBER($E584)),"Section lies entirely below the reference depth — it counts to the full-profile stock only. ",""))</f>
        <v/>
      </c>
      <c r="U584" s="14"/>
    </row>
    <row r="585" spans="1:21" ht="15.75" customHeight="1">
      <c r="A585" s="14"/>
      <c r="B585" s="14"/>
      <c r="C585" s="14"/>
      <c r="D585" s="14"/>
      <c r="E585" s="14"/>
      <c r="F585" s="14"/>
      <c r="G585" s="14" t="str">
        <f t="shared" si="56"/>
        <v/>
      </c>
      <c r="H585" s="14"/>
      <c r="I585" s="14"/>
      <c r="J585" s="24"/>
      <c r="K585" s="24"/>
      <c r="L585" s="24"/>
      <c r="M585" s="24"/>
      <c r="N585" s="16" t="str">
        <f t="shared" si="60"/>
        <v/>
      </c>
      <c r="O585" s="16" t="str">
        <f t="shared" si="57"/>
        <v/>
      </c>
      <c r="P585" s="16" t="str">
        <f t="shared" si="58"/>
        <v/>
      </c>
      <c r="Q585" s="16" t="str">
        <f t="shared" si="59"/>
        <v/>
      </c>
      <c r="R585" s="16">
        <f t="shared" si="61"/>
        <v>0</v>
      </c>
      <c r="S585" s="16" t="str">
        <f>IF(OR($B585="",NOT(ISNUMBER($F585))),"",SUMIFS(community_cores_FS!$P$5:$P$597,community_cores_FS!$B$5:$B$597,$B585,community_cores_FS!$F$5:$F$597,"&lt;="&amp;$F585))</f>
        <v/>
      </c>
      <c r="T585" s="16" t="str">
        <f>IF(AND($A585="",$B585="",$E585=""),"",IF(AND($B585&lt;&gt;"",COUNTIF('2. Core Log'!$A$5:$A$124,$B585)=0),"Core ID not in Core Log. ","")&amp;IF(AND($A585&lt;&gt;"",COUNTIF('1. Plot &amp; Site Log'!$A$5:$A$64,$A585)=0),"Plot ID not in Plot &amp; Site Log. ","")&amp;IF(AND(ISNUMBER($E585),ISNUMBER($F585),$F585&lt;=$E585),"Bottom depth is not below top depth. ","")&amp;IF($I585="","Say which bulk-density basis the lab reported. ","")&amp;IF(AND(ISNUMBER($J585),OR($J585&lt;QC_BD_MIN,$J585&gt;QC_BD_MAX)),"Bulk density outside "&amp;QC_BD_MIN&amp;"–"&amp;QC_BD_MAX&amp;" g/cm³ for peat. Above the top of that range usually means the mineral contact has been passed. ","")&amp;IF(AND(ISNUMBER($N585),$N585&gt;QC_CARBON_PCT_MAX),"Carbon above "&amp;QC_CARBON_PCT_MAX&amp;"% — check units; this may be organic matter rather than carbon. ","")&amp;IF(AND($L585&lt;&gt;"",$M585&lt;&gt;""),"Both LOI and measured carbon given — the measured value is used. ","")&amp;IF(AND($M585="",$L585&lt;&gt;"",OM_FACTOR_IS_LOCAL&lt;&gt;"Yes"),"Carbon derived from LOI using the default factor of "&amp;CARBON_FRACTION_OM&amp;", which has not been calibrated locally. See R1. Reference. ","")&amp;IF(AND(ISNUMBER($O585),$O585=0,ISNUMBER($E585)),"Section lies entirely below the reference depth — it counts to the full-profile stock only. ",""))</f>
        <v/>
      </c>
      <c r="U585" s="14"/>
    </row>
    <row r="586" spans="1:21" ht="15.75" customHeight="1">
      <c r="A586" s="14"/>
      <c r="B586" s="14"/>
      <c r="C586" s="14"/>
      <c r="D586" s="14"/>
      <c r="E586" s="14"/>
      <c r="F586" s="14"/>
      <c r="G586" s="14" t="str">
        <f t="shared" si="56"/>
        <v/>
      </c>
      <c r="H586" s="14"/>
      <c r="I586" s="14"/>
      <c r="J586" s="24"/>
      <c r="K586" s="24"/>
      <c r="L586" s="24"/>
      <c r="M586" s="24"/>
      <c r="N586" s="16" t="str">
        <f t="shared" si="60"/>
        <v/>
      </c>
      <c r="O586" s="16" t="str">
        <f t="shared" si="57"/>
        <v/>
      </c>
      <c r="P586" s="16" t="str">
        <f t="shared" si="58"/>
        <v/>
      </c>
      <c r="Q586" s="16" t="str">
        <f t="shared" si="59"/>
        <v/>
      </c>
      <c r="R586" s="16">
        <f t="shared" si="61"/>
        <v>0</v>
      </c>
      <c r="S586" s="16" t="str">
        <f>IF(OR($B586="",NOT(ISNUMBER($F586))),"",SUMIFS(community_cores_FS!$P$5:$P$597,community_cores_FS!$B$5:$B$597,$B586,community_cores_FS!$F$5:$F$597,"&lt;="&amp;$F586))</f>
        <v/>
      </c>
      <c r="T586" s="16" t="str">
        <f>IF(AND($A586="",$B586="",$E586=""),"",IF(AND($B586&lt;&gt;"",COUNTIF('2. Core Log'!$A$5:$A$124,$B586)=0),"Core ID not in Core Log. ","")&amp;IF(AND($A586&lt;&gt;"",COUNTIF('1. Plot &amp; Site Log'!$A$5:$A$64,$A586)=0),"Plot ID not in Plot &amp; Site Log. ","")&amp;IF(AND(ISNUMBER($E586),ISNUMBER($F586),$F586&lt;=$E586),"Bottom depth is not below top depth. ","")&amp;IF($I586="","Say which bulk-density basis the lab reported. ","")&amp;IF(AND(ISNUMBER($J586),OR($J586&lt;QC_BD_MIN,$J586&gt;QC_BD_MAX)),"Bulk density outside "&amp;QC_BD_MIN&amp;"–"&amp;QC_BD_MAX&amp;" g/cm³ for peat. Above the top of that range usually means the mineral contact has been passed. ","")&amp;IF(AND(ISNUMBER($N586),$N586&gt;QC_CARBON_PCT_MAX),"Carbon above "&amp;QC_CARBON_PCT_MAX&amp;"% — check units; this may be organic matter rather than carbon. ","")&amp;IF(AND($L586&lt;&gt;"",$M586&lt;&gt;""),"Both LOI and measured carbon given — the measured value is used. ","")&amp;IF(AND($M586="",$L586&lt;&gt;"",OM_FACTOR_IS_LOCAL&lt;&gt;"Yes"),"Carbon derived from LOI using the default factor of "&amp;CARBON_FRACTION_OM&amp;", which has not been calibrated locally. See R1. Reference. ","")&amp;IF(AND(ISNUMBER($O586),$O586=0,ISNUMBER($E586)),"Section lies entirely below the reference depth — it counts to the full-profile stock only. ",""))</f>
        <v/>
      </c>
      <c r="U586" s="14"/>
    </row>
    <row r="587" spans="1:21" ht="15.75" customHeight="1">
      <c r="A587" s="14"/>
      <c r="B587" s="14"/>
      <c r="C587" s="14"/>
      <c r="D587" s="14"/>
      <c r="E587" s="14"/>
      <c r="F587" s="14"/>
      <c r="G587" s="14" t="str">
        <f t="shared" si="56"/>
        <v/>
      </c>
      <c r="H587" s="14"/>
      <c r="I587" s="14"/>
      <c r="J587" s="24"/>
      <c r="K587" s="24"/>
      <c r="L587" s="24"/>
      <c r="M587" s="24"/>
      <c r="N587" s="16" t="str">
        <f t="shared" si="60"/>
        <v/>
      </c>
      <c r="O587" s="16" t="str">
        <f t="shared" si="57"/>
        <v/>
      </c>
      <c r="P587" s="16" t="str">
        <f t="shared" si="58"/>
        <v/>
      </c>
      <c r="Q587" s="16" t="str">
        <f t="shared" si="59"/>
        <v/>
      </c>
      <c r="R587" s="16">
        <f t="shared" si="61"/>
        <v>0</v>
      </c>
      <c r="S587" s="16" t="str">
        <f>IF(OR($B587="",NOT(ISNUMBER($F587))),"",SUMIFS(community_cores_FS!$P$5:$P$597,community_cores_FS!$B$5:$B$597,$B587,community_cores_FS!$F$5:$F$597,"&lt;="&amp;$F587))</f>
        <v/>
      </c>
      <c r="T587" s="16" t="str">
        <f>IF(AND($A587="",$B587="",$E587=""),"",IF(AND($B587&lt;&gt;"",COUNTIF('2. Core Log'!$A$5:$A$124,$B587)=0),"Core ID not in Core Log. ","")&amp;IF(AND($A587&lt;&gt;"",COUNTIF('1. Plot &amp; Site Log'!$A$5:$A$64,$A587)=0),"Plot ID not in Plot &amp; Site Log. ","")&amp;IF(AND(ISNUMBER($E587),ISNUMBER($F587),$F587&lt;=$E587),"Bottom depth is not below top depth. ","")&amp;IF($I587="","Say which bulk-density basis the lab reported. ","")&amp;IF(AND(ISNUMBER($J587),OR($J587&lt;QC_BD_MIN,$J587&gt;QC_BD_MAX)),"Bulk density outside "&amp;QC_BD_MIN&amp;"–"&amp;QC_BD_MAX&amp;" g/cm³ for peat. Above the top of that range usually means the mineral contact has been passed. ","")&amp;IF(AND(ISNUMBER($N587),$N587&gt;QC_CARBON_PCT_MAX),"Carbon above "&amp;QC_CARBON_PCT_MAX&amp;"% — check units; this may be organic matter rather than carbon. ","")&amp;IF(AND($L587&lt;&gt;"",$M587&lt;&gt;""),"Both LOI and measured carbon given — the measured value is used. ","")&amp;IF(AND($M587="",$L587&lt;&gt;"",OM_FACTOR_IS_LOCAL&lt;&gt;"Yes"),"Carbon derived from LOI using the default factor of "&amp;CARBON_FRACTION_OM&amp;", which has not been calibrated locally. See R1. Reference. ","")&amp;IF(AND(ISNUMBER($O587),$O587=0,ISNUMBER($E587)),"Section lies entirely below the reference depth — it counts to the full-profile stock only. ",""))</f>
        <v/>
      </c>
      <c r="U587" s="14"/>
    </row>
    <row r="588" spans="1:21" ht="15.75" customHeight="1">
      <c r="A588" s="14"/>
      <c r="B588" s="14"/>
      <c r="C588" s="14"/>
      <c r="D588" s="14"/>
      <c r="E588" s="14"/>
      <c r="F588" s="14"/>
      <c r="G588" s="14" t="str">
        <f t="shared" si="56"/>
        <v/>
      </c>
      <c r="H588" s="14"/>
      <c r="I588" s="14"/>
      <c r="J588" s="24"/>
      <c r="K588" s="24"/>
      <c r="L588" s="24"/>
      <c r="M588" s="24"/>
      <c r="N588" s="16" t="str">
        <f t="shared" si="60"/>
        <v/>
      </c>
      <c r="O588" s="16" t="str">
        <f t="shared" si="57"/>
        <v/>
      </c>
      <c r="P588" s="16" t="str">
        <f t="shared" si="58"/>
        <v/>
      </c>
      <c r="Q588" s="16" t="str">
        <f t="shared" si="59"/>
        <v/>
      </c>
      <c r="R588" s="16">
        <f t="shared" si="61"/>
        <v>0</v>
      </c>
      <c r="S588" s="16" t="str">
        <f>IF(OR($B588="",NOT(ISNUMBER($F588))),"",SUMIFS(community_cores_FS!$P$5:$P$597,community_cores_FS!$B$5:$B$597,$B588,community_cores_FS!$F$5:$F$597,"&lt;="&amp;$F588))</f>
        <v/>
      </c>
      <c r="T588" s="16" t="str">
        <f>IF(AND($A588="",$B588="",$E588=""),"",IF(AND($B588&lt;&gt;"",COUNTIF('2. Core Log'!$A$5:$A$124,$B588)=0),"Core ID not in Core Log. ","")&amp;IF(AND($A588&lt;&gt;"",COUNTIF('1. Plot &amp; Site Log'!$A$5:$A$64,$A588)=0),"Plot ID not in Plot &amp; Site Log. ","")&amp;IF(AND(ISNUMBER($E588),ISNUMBER($F588),$F588&lt;=$E588),"Bottom depth is not below top depth. ","")&amp;IF($I588="","Say which bulk-density basis the lab reported. ","")&amp;IF(AND(ISNUMBER($J588),OR($J588&lt;QC_BD_MIN,$J588&gt;QC_BD_MAX)),"Bulk density outside "&amp;QC_BD_MIN&amp;"–"&amp;QC_BD_MAX&amp;" g/cm³ for peat. Above the top of that range usually means the mineral contact has been passed. ","")&amp;IF(AND(ISNUMBER($N588),$N588&gt;QC_CARBON_PCT_MAX),"Carbon above "&amp;QC_CARBON_PCT_MAX&amp;"% — check units; this may be organic matter rather than carbon. ","")&amp;IF(AND($L588&lt;&gt;"",$M588&lt;&gt;""),"Both LOI and measured carbon given — the measured value is used. ","")&amp;IF(AND($M588="",$L588&lt;&gt;"",OM_FACTOR_IS_LOCAL&lt;&gt;"Yes"),"Carbon derived from LOI using the default factor of "&amp;CARBON_FRACTION_OM&amp;", which has not been calibrated locally. See R1. Reference. ","")&amp;IF(AND(ISNUMBER($O588),$O588=0,ISNUMBER($E588)),"Section lies entirely below the reference depth — it counts to the full-profile stock only. ",""))</f>
        <v/>
      </c>
      <c r="U588" s="14"/>
    </row>
    <row r="589" spans="1:21" ht="15.75" customHeight="1">
      <c r="A589" s="14"/>
      <c r="B589" s="14"/>
      <c r="C589" s="14"/>
      <c r="D589" s="14"/>
      <c r="E589" s="14"/>
      <c r="F589" s="14"/>
      <c r="G589" s="14" t="str">
        <f t="shared" si="56"/>
        <v/>
      </c>
      <c r="H589" s="14"/>
      <c r="I589" s="14"/>
      <c r="J589" s="24"/>
      <c r="K589" s="24"/>
      <c r="L589" s="24"/>
      <c r="M589" s="24"/>
      <c r="N589" s="16" t="str">
        <f t="shared" si="60"/>
        <v/>
      </c>
      <c r="O589" s="16" t="str">
        <f t="shared" si="57"/>
        <v/>
      </c>
      <c r="P589" s="16" t="str">
        <f t="shared" si="58"/>
        <v/>
      </c>
      <c r="Q589" s="16" t="str">
        <f t="shared" si="59"/>
        <v/>
      </c>
      <c r="R589" s="16">
        <f t="shared" si="61"/>
        <v>0</v>
      </c>
      <c r="S589" s="16" t="str">
        <f>IF(OR($B589="",NOT(ISNUMBER($F589))),"",SUMIFS(community_cores_FS!$P$5:$P$597,community_cores_FS!$B$5:$B$597,$B589,community_cores_FS!$F$5:$F$597,"&lt;="&amp;$F589))</f>
        <v/>
      </c>
      <c r="T589" s="16" t="str">
        <f>IF(AND($A589="",$B589="",$E589=""),"",IF(AND($B589&lt;&gt;"",COUNTIF('2. Core Log'!$A$5:$A$124,$B589)=0),"Core ID not in Core Log. ","")&amp;IF(AND($A589&lt;&gt;"",COUNTIF('1. Plot &amp; Site Log'!$A$5:$A$64,$A589)=0),"Plot ID not in Plot &amp; Site Log. ","")&amp;IF(AND(ISNUMBER($E589),ISNUMBER($F589),$F589&lt;=$E589),"Bottom depth is not below top depth. ","")&amp;IF($I589="","Say which bulk-density basis the lab reported. ","")&amp;IF(AND(ISNUMBER($J589),OR($J589&lt;QC_BD_MIN,$J589&gt;QC_BD_MAX)),"Bulk density outside "&amp;QC_BD_MIN&amp;"–"&amp;QC_BD_MAX&amp;" g/cm³ for peat. Above the top of that range usually means the mineral contact has been passed. ","")&amp;IF(AND(ISNUMBER($N589),$N589&gt;QC_CARBON_PCT_MAX),"Carbon above "&amp;QC_CARBON_PCT_MAX&amp;"% — check units; this may be organic matter rather than carbon. ","")&amp;IF(AND($L589&lt;&gt;"",$M589&lt;&gt;""),"Both LOI and measured carbon given — the measured value is used. ","")&amp;IF(AND($M589="",$L589&lt;&gt;"",OM_FACTOR_IS_LOCAL&lt;&gt;"Yes"),"Carbon derived from LOI using the default factor of "&amp;CARBON_FRACTION_OM&amp;", which has not been calibrated locally. See R1. Reference. ","")&amp;IF(AND(ISNUMBER($O589),$O589=0,ISNUMBER($E589)),"Section lies entirely below the reference depth — it counts to the full-profile stock only. ",""))</f>
        <v/>
      </c>
      <c r="U589" s="14"/>
    </row>
    <row r="590" spans="1:21" ht="15.75" customHeight="1">
      <c r="A590" s="14"/>
      <c r="B590" s="14"/>
      <c r="C590" s="14"/>
      <c r="D590" s="14"/>
      <c r="E590" s="14"/>
      <c r="F590" s="14"/>
      <c r="G590" s="14" t="str">
        <f t="shared" si="56"/>
        <v/>
      </c>
      <c r="H590" s="14"/>
      <c r="I590" s="14"/>
      <c r="J590" s="24"/>
      <c r="K590" s="24"/>
      <c r="L590" s="24"/>
      <c r="M590" s="24"/>
      <c r="N590" s="16" t="str">
        <f t="shared" si="60"/>
        <v/>
      </c>
      <c r="O590" s="16" t="str">
        <f t="shared" si="57"/>
        <v/>
      </c>
      <c r="P590" s="16" t="str">
        <f t="shared" si="58"/>
        <v/>
      </c>
      <c r="Q590" s="16" t="str">
        <f t="shared" si="59"/>
        <v/>
      </c>
      <c r="R590" s="16">
        <f t="shared" si="61"/>
        <v>0</v>
      </c>
      <c r="S590" s="16" t="str">
        <f>IF(OR($B590="",NOT(ISNUMBER($F590))),"",SUMIFS(community_cores_FS!$P$5:$P$597,community_cores_FS!$B$5:$B$597,$B590,community_cores_FS!$F$5:$F$597,"&lt;="&amp;$F590))</f>
        <v/>
      </c>
      <c r="T590" s="16" t="str">
        <f>IF(AND($A590="",$B590="",$E590=""),"",IF(AND($B590&lt;&gt;"",COUNTIF('2. Core Log'!$A$5:$A$124,$B590)=0),"Core ID not in Core Log. ","")&amp;IF(AND($A590&lt;&gt;"",COUNTIF('1. Plot &amp; Site Log'!$A$5:$A$64,$A590)=0),"Plot ID not in Plot &amp; Site Log. ","")&amp;IF(AND(ISNUMBER($E590),ISNUMBER($F590),$F590&lt;=$E590),"Bottom depth is not below top depth. ","")&amp;IF($I590="","Say which bulk-density basis the lab reported. ","")&amp;IF(AND(ISNUMBER($J590),OR($J590&lt;QC_BD_MIN,$J590&gt;QC_BD_MAX)),"Bulk density outside "&amp;QC_BD_MIN&amp;"–"&amp;QC_BD_MAX&amp;" g/cm³ for peat. Above the top of that range usually means the mineral contact has been passed. ","")&amp;IF(AND(ISNUMBER($N590),$N590&gt;QC_CARBON_PCT_MAX),"Carbon above "&amp;QC_CARBON_PCT_MAX&amp;"% — check units; this may be organic matter rather than carbon. ","")&amp;IF(AND($L590&lt;&gt;"",$M590&lt;&gt;""),"Both LOI and measured carbon given — the measured value is used. ","")&amp;IF(AND($M590="",$L590&lt;&gt;"",OM_FACTOR_IS_LOCAL&lt;&gt;"Yes"),"Carbon derived from LOI using the default factor of "&amp;CARBON_FRACTION_OM&amp;", which has not been calibrated locally. See R1. Reference. ","")&amp;IF(AND(ISNUMBER($O590),$O590=0,ISNUMBER($E590)),"Section lies entirely below the reference depth — it counts to the full-profile stock only. ",""))</f>
        <v/>
      </c>
      <c r="U590" s="14"/>
    </row>
    <row r="591" spans="1:21" ht="15.75" customHeight="1">
      <c r="A591" s="14"/>
      <c r="B591" s="14"/>
      <c r="C591" s="14"/>
      <c r="D591" s="14"/>
      <c r="E591" s="14"/>
      <c r="F591" s="14"/>
      <c r="G591" s="14" t="str">
        <f t="shared" si="56"/>
        <v/>
      </c>
      <c r="H591" s="14"/>
      <c r="I591" s="14"/>
      <c r="J591" s="24"/>
      <c r="K591" s="24"/>
      <c r="L591" s="24"/>
      <c r="M591" s="24"/>
      <c r="N591" s="16" t="str">
        <f t="shared" si="60"/>
        <v/>
      </c>
      <c r="O591" s="16" t="str">
        <f t="shared" si="57"/>
        <v/>
      </c>
      <c r="P591" s="16" t="str">
        <f t="shared" si="58"/>
        <v/>
      </c>
      <c r="Q591" s="16" t="str">
        <f t="shared" si="59"/>
        <v/>
      </c>
      <c r="R591" s="16">
        <f t="shared" si="61"/>
        <v>0</v>
      </c>
      <c r="S591" s="16" t="str">
        <f>IF(OR($B591="",NOT(ISNUMBER($F591))),"",SUMIFS(community_cores_FS!$P$5:$P$597,community_cores_FS!$B$5:$B$597,$B591,community_cores_FS!$F$5:$F$597,"&lt;="&amp;$F591))</f>
        <v/>
      </c>
      <c r="T591" s="16" t="str">
        <f>IF(AND($A591="",$B591="",$E591=""),"",IF(AND($B591&lt;&gt;"",COUNTIF('2. Core Log'!$A$5:$A$124,$B591)=0),"Core ID not in Core Log. ","")&amp;IF(AND($A591&lt;&gt;"",COUNTIF('1. Plot &amp; Site Log'!$A$5:$A$64,$A591)=0),"Plot ID not in Plot &amp; Site Log. ","")&amp;IF(AND(ISNUMBER($E591),ISNUMBER($F591),$F591&lt;=$E591),"Bottom depth is not below top depth. ","")&amp;IF($I591="","Say which bulk-density basis the lab reported. ","")&amp;IF(AND(ISNUMBER($J591),OR($J591&lt;QC_BD_MIN,$J591&gt;QC_BD_MAX)),"Bulk density outside "&amp;QC_BD_MIN&amp;"–"&amp;QC_BD_MAX&amp;" g/cm³ for peat. Above the top of that range usually means the mineral contact has been passed. ","")&amp;IF(AND(ISNUMBER($N591),$N591&gt;QC_CARBON_PCT_MAX),"Carbon above "&amp;QC_CARBON_PCT_MAX&amp;"% — check units; this may be organic matter rather than carbon. ","")&amp;IF(AND($L591&lt;&gt;"",$M591&lt;&gt;""),"Both LOI and measured carbon given — the measured value is used. ","")&amp;IF(AND($M591="",$L591&lt;&gt;"",OM_FACTOR_IS_LOCAL&lt;&gt;"Yes"),"Carbon derived from LOI using the default factor of "&amp;CARBON_FRACTION_OM&amp;", which has not been calibrated locally. See R1. Reference. ","")&amp;IF(AND(ISNUMBER($O591),$O591=0,ISNUMBER($E591)),"Section lies entirely below the reference depth — it counts to the full-profile stock only. ",""))</f>
        <v/>
      </c>
      <c r="U591" s="14"/>
    </row>
    <row r="592" spans="1:21" ht="15.75" customHeight="1">
      <c r="A592" s="14"/>
      <c r="B592" s="14"/>
      <c r="C592" s="14"/>
      <c r="D592" s="14"/>
      <c r="E592" s="14"/>
      <c r="F592" s="14"/>
      <c r="G592" s="14" t="str">
        <f t="shared" si="56"/>
        <v/>
      </c>
      <c r="H592" s="14"/>
      <c r="I592" s="14"/>
      <c r="J592" s="24"/>
      <c r="K592" s="24"/>
      <c r="L592" s="24"/>
      <c r="M592" s="24"/>
      <c r="N592" s="16" t="str">
        <f t="shared" si="60"/>
        <v/>
      </c>
      <c r="O592" s="16" t="str">
        <f t="shared" si="57"/>
        <v/>
      </c>
      <c r="P592" s="16" t="str">
        <f t="shared" si="58"/>
        <v/>
      </c>
      <c r="Q592" s="16" t="str">
        <f t="shared" si="59"/>
        <v/>
      </c>
      <c r="R592" s="16">
        <f t="shared" si="61"/>
        <v>0</v>
      </c>
      <c r="S592" s="16" t="str">
        <f>IF(OR($B592="",NOT(ISNUMBER($F592))),"",SUMIFS(community_cores_FS!$P$5:$P$597,community_cores_FS!$B$5:$B$597,$B592,community_cores_FS!$F$5:$F$597,"&lt;="&amp;$F592))</f>
        <v/>
      </c>
      <c r="T592" s="16" t="str">
        <f>IF(AND($A592="",$B592="",$E592=""),"",IF(AND($B592&lt;&gt;"",COUNTIF('2. Core Log'!$A$5:$A$124,$B592)=0),"Core ID not in Core Log. ","")&amp;IF(AND($A592&lt;&gt;"",COUNTIF('1. Plot &amp; Site Log'!$A$5:$A$64,$A592)=0),"Plot ID not in Plot &amp; Site Log. ","")&amp;IF(AND(ISNUMBER($E592),ISNUMBER($F592),$F592&lt;=$E592),"Bottom depth is not below top depth. ","")&amp;IF($I592="","Say which bulk-density basis the lab reported. ","")&amp;IF(AND(ISNUMBER($J592),OR($J592&lt;QC_BD_MIN,$J592&gt;QC_BD_MAX)),"Bulk density outside "&amp;QC_BD_MIN&amp;"–"&amp;QC_BD_MAX&amp;" g/cm³ for peat. Above the top of that range usually means the mineral contact has been passed. ","")&amp;IF(AND(ISNUMBER($N592),$N592&gt;QC_CARBON_PCT_MAX),"Carbon above "&amp;QC_CARBON_PCT_MAX&amp;"% — check units; this may be organic matter rather than carbon. ","")&amp;IF(AND($L592&lt;&gt;"",$M592&lt;&gt;""),"Both LOI and measured carbon given — the measured value is used. ","")&amp;IF(AND($M592="",$L592&lt;&gt;"",OM_FACTOR_IS_LOCAL&lt;&gt;"Yes"),"Carbon derived from LOI using the default factor of "&amp;CARBON_FRACTION_OM&amp;", which has not been calibrated locally. See R1. Reference. ","")&amp;IF(AND(ISNUMBER($O592),$O592=0,ISNUMBER($E592)),"Section lies entirely below the reference depth — it counts to the full-profile stock only. ",""))</f>
        <v/>
      </c>
      <c r="U592" s="14"/>
    </row>
    <row r="593" spans="1:21" ht="15.75" customHeight="1">
      <c r="A593" s="14"/>
      <c r="B593" s="14"/>
      <c r="C593" s="14"/>
      <c r="D593" s="14"/>
      <c r="E593" s="14"/>
      <c r="F593" s="14"/>
      <c r="G593" s="14" t="str">
        <f t="shared" si="56"/>
        <v/>
      </c>
      <c r="H593" s="14"/>
      <c r="I593" s="14"/>
      <c r="J593" s="24"/>
      <c r="K593" s="24"/>
      <c r="L593" s="24"/>
      <c r="M593" s="24"/>
      <c r="N593" s="16" t="str">
        <f t="shared" si="60"/>
        <v/>
      </c>
      <c r="O593" s="16" t="str">
        <f t="shared" si="57"/>
        <v/>
      </c>
      <c r="P593" s="16" t="str">
        <f t="shared" si="58"/>
        <v/>
      </c>
      <c r="Q593" s="16" t="str">
        <f t="shared" si="59"/>
        <v/>
      </c>
      <c r="R593" s="16">
        <f t="shared" si="61"/>
        <v>0</v>
      </c>
      <c r="S593" s="16" t="str">
        <f>IF(OR($B593="",NOT(ISNUMBER($F593))),"",SUMIFS(community_cores_FS!$P$5:$P$597,community_cores_FS!$B$5:$B$597,$B593,community_cores_FS!$F$5:$F$597,"&lt;="&amp;$F593))</f>
        <v/>
      </c>
      <c r="T593" s="16" t="str">
        <f>IF(AND($A593="",$B593="",$E593=""),"",IF(AND($B593&lt;&gt;"",COUNTIF('2. Core Log'!$A$5:$A$124,$B593)=0),"Core ID not in Core Log. ","")&amp;IF(AND($A593&lt;&gt;"",COUNTIF('1. Plot &amp; Site Log'!$A$5:$A$64,$A593)=0),"Plot ID not in Plot &amp; Site Log. ","")&amp;IF(AND(ISNUMBER($E593),ISNUMBER($F593),$F593&lt;=$E593),"Bottom depth is not below top depth. ","")&amp;IF($I593="","Say which bulk-density basis the lab reported. ","")&amp;IF(AND(ISNUMBER($J593),OR($J593&lt;QC_BD_MIN,$J593&gt;QC_BD_MAX)),"Bulk density outside "&amp;QC_BD_MIN&amp;"–"&amp;QC_BD_MAX&amp;" g/cm³ for peat. Above the top of that range usually means the mineral contact has been passed. ","")&amp;IF(AND(ISNUMBER($N593),$N593&gt;QC_CARBON_PCT_MAX),"Carbon above "&amp;QC_CARBON_PCT_MAX&amp;"% — check units; this may be organic matter rather than carbon. ","")&amp;IF(AND($L593&lt;&gt;"",$M593&lt;&gt;""),"Both LOI and measured carbon given — the measured value is used. ","")&amp;IF(AND($M593="",$L593&lt;&gt;"",OM_FACTOR_IS_LOCAL&lt;&gt;"Yes"),"Carbon derived from LOI using the default factor of "&amp;CARBON_FRACTION_OM&amp;", which has not been calibrated locally. See R1. Reference. ","")&amp;IF(AND(ISNUMBER($O593),$O593=0,ISNUMBER($E593)),"Section lies entirely below the reference depth — it counts to the full-profile stock only. ",""))</f>
        <v/>
      </c>
      <c r="U593" s="14"/>
    </row>
    <row r="594" spans="1:21" ht="15.75" customHeight="1">
      <c r="A594" s="14"/>
      <c r="B594" s="14"/>
      <c r="C594" s="14"/>
      <c r="D594" s="14"/>
      <c r="E594" s="14"/>
      <c r="F594" s="14"/>
      <c r="G594" s="14" t="str">
        <f t="shared" si="56"/>
        <v/>
      </c>
      <c r="H594" s="14"/>
      <c r="I594" s="14"/>
      <c r="J594" s="24"/>
      <c r="K594" s="24"/>
      <c r="L594" s="24"/>
      <c r="M594" s="24"/>
      <c r="N594" s="16" t="str">
        <f t="shared" si="60"/>
        <v/>
      </c>
      <c r="O594" s="16" t="str">
        <f t="shared" si="57"/>
        <v/>
      </c>
      <c r="P594" s="16" t="str">
        <f t="shared" si="58"/>
        <v/>
      </c>
      <c r="Q594" s="16" t="str">
        <f t="shared" si="59"/>
        <v/>
      </c>
      <c r="R594" s="16">
        <f t="shared" si="61"/>
        <v>0</v>
      </c>
      <c r="S594" s="16" t="str">
        <f>IF(OR($B594="",NOT(ISNUMBER($F594))),"",SUMIFS(community_cores_FS!$P$5:$P$597,community_cores_FS!$B$5:$B$597,$B594,community_cores_FS!$F$5:$F$597,"&lt;="&amp;$F594))</f>
        <v/>
      </c>
      <c r="T594" s="16" t="str">
        <f>IF(AND($A594="",$B594="",$E594=""),"",IF(AND($B594&lt;&gt;"",COUNTIF('2. Core Log'!$A$5:$A$124,$B594)=0),"Core ID not in Core Log. ","")&amp;IF(AND($A594&lt;&gt;"",COUNTIF('1. Plot &amp; Site Log'!$A$5:$A$64,$A594)=0),"Plot ID not in Plot &amp; Site Log. ","")&amp;IF(AND(ISNUMBER($E594),ISNUMBER($F594),$F594&lt;=$E594),"Bottom depth is not below top depth. ","")&amp;IF($I594="","Say which bulk-density basis the lab reported. ","")&amp;IF(AND(ISNUMBER($J594),OR($J594&lt;QC_BD_MIN,$J594&gt;QC_BD_MAX)),"Bulk density outside "&amp;QC_BD_MIN&amp;"–"&amp;QC_BD_MAX&amp;" g/cm³ for peat. Above the top of that range usually means the mineral contact has been passed. ","")&amp;IF(AND(ISNUMBER($N594),$N594&gt;QC_CARBON_PCT_MAX),"Carbon above "&amp;QC_CARBON_PCT_MAX&amp;"% — check units; this may be organic matter rather than carbon. ","")&amp;IF(AND($L594&lt;&gt;"",$M594&lt;&gt;""),"Both LOI and measured carbon given — the measured value is used. ","")&amp;IF(AND($M594="",$L594&lt;&gt;"",OM_FACTOR_IS_LOCAL&lt;&gt;"Yes"),"Carbon derived from LOI using the default factor of "&amp;CARBON_FRACTION_OM&amp;", which has not been calibrated locally. See R1. Reference. ","")&amp;IF(AND(ISNUMBER($O594),$O594=0,ISNUMBER($E594)),"Section lies entirely below the reference depth — it counts to the full-profile stock only. ",""))</f>
        <v/>
      </c>
      <c r="U594" s="14"/>
    </row>
    <row r="595" spans="1:21" ht="15.75" customHeight="1">
      <c r="A595" s="14"/>
      <c r="B595" s="14"/>
      <c r="C595" s="14"/>
      <c r="D595" s="14"/>
      <c r="E595" s="14"/>
      <c r="F595" s="14"/>
      <c r="G595" s="14" t="str">
        <f t="shared" si="56"/>
        <v/>
      </c>
      <c r="H595" s="14"/>
      <c r="I595" s="14"/>
      <c r="J595" s="24"/>
      <c r="K595" s="24"/>
      <c r="L595" s="24"/>
      <c r="M595" s="24"/>
      <c r="N595" s="16" t="str">
        <f t="shared" si="60"/>
        <v/>
      </c>
      <c r="O595" s="16" t="str">
        <f t="shared" si="57"/>
        <v/>
      </c>
      <c r="P595" s="16" t="str">
        <f t="shared" si="58"/>
        <v/>
      </c>
      <c r="Q595" s="16" t="str">
        <f t="shared" si="59"/>
        <v/>
      </c>
      <c r="R595" s="16">
        <f t="shared" si="61"/>
        <v>0</v>
      </c>
      <c r="S595" s="16" t="str">
        <f>IF(OR($B595="",NOT(ISNUMBER($F595))),"",SUMIFS(community_cores_FS!$P$5:$P$597,community_cores_FS!$B$5:$B$597,$B595,community_cores_FS!$F$5:$F$597,"&lt;="&amp;$F595))</f>
        <v/>
      </c>
      <c r="T595" s="16" t="str">
        <f>IF(AND($A595="",$B595="",$E595=""),"",IF(AND($B595&lt;&gt;"",COUNTIF('2. Core Log'!$A$5:$A$124,$B595)=0),"Core ID not in Core Log. ","")&amp;IF(AND($A595&lt;&gt;"",COUNTIF('1. Plot &amp; Site Log'!$A$5:$A$64,$A595)=0),"Plot ID not in Plot &amp; Site Log. ","")&amp;IF(AND(ISNUMBER($E595),ISNUMBER($F595),$F595&lt;=$E595),"Bottom depth is not below top depth. ","")&amp;IF($I595="","Say which bulk-density basis the lab reported. ","")&amp;IF(AND(ISNUMBER($J595),OR($J595&lt;QC_BD_MIN,$J595&gt;QC_BD_MAX)),"Bulk density outside "&amp;QC_BD_MIN&amp;"–"&amp;QC_BD_MAX&amp;" g/cm³ for peat. Above the top of that range usually means the mineral contact has been passed. ","")&amp;IF(AND(ISNUMBER($N595),$N595&gt;QC_CARBON_PCT_MAX),"Carbon above "&amp;QC_CARBON_PCT_MAX&amp;"% — check units; this may be organic matter rather than carbon. ","")&amp;IF(AND($L595&lt;&gt;"",$M595&lt;&gt;""),"Both LOI and measured carbon given — the measured value is used. ","")&amp;IF(AND($M595="",$L595&lt;&gt;"",OM_FACTOR_IS_LOCAL&lt;&gt;"Yes"),"Carbon derived from LOI using the default factor of "&amp;CARBON_FRACTION_OM&amp;", which has not been calibrated locally. See R1. Reference. ","")&amp;IF(AND(ISNUMBER($O595),$O595=0,ISNUMBER($E595)),"Section lies entirely below the reference depth — it counts to the full-profile stock only. ",""))</f>
        <v/>
      </c>
      <c r="U595" s="14"/>
    </row>
    <row r="596" spans="1:21" ht="15.75" customHeight="1">
      <c r="A596" s="14"/>
      <c r="B596" s="14"/>
      <c r="C596" s="14"/>
      <c r="D596" s="14"/>
      <c r="E596" s="14"/>
      <c r="F596" s="14"/>
      <c r="G596" s="14" t="str">
        <f t="shared" si="56"/>
        <v/>
      </c>
      <c r="H596" s="14"/>
      <c r="I596" s="14"/>
      <c r="J596" s="24"/>
      <c r="K596" s="24"/>
      <c r="L596" s="24"/>
      <c r="M596" s="24"/>
      <c r="N596" s="16" t="str">
        <f t="shared" si="60"/>
        <v/>
      </c>
      <c r="O596" s="16" t="str">
        <f t="shared" si="57"/>
        <v/>
      </c>
      <c r="P596" s="16" t="str">
        <f t="shared" si="58"/>
        <v/>
      </c>
      <c r="Q596" s="16" t="str">
        <f t="shared" si="59"/>
        <v/>
      </c>
      <c r="R596" s="16">
        <f t="shared" si="61"/>
        <v>0</v>
      </c>
      <c r="S596" s="16" t="str">
        <f>IF(OR($B596="",NOT(ISNUMBER($F596))),"",SUMIFS(community_cores_FS!$P$5:$P$597,community_cores_FS!$B$5:$B$597,$B596,community_cores_FS!$F$5:$F$597,"&lt;="&amp;$F596))</f>
        <v/>
      </c>
      <c r="T596" s="16" t="str">
        <f>IF(AND($A596="",$B596="",$E596=""),"",IF(AND($B596&lt;&gt;"",COUNTIF('2. Core Log'!$A$5:$A$124,$B596)=0),"Core ID not in Core Log. ","")&amp;IF(AND($A596&lt;&gt;"",COUNTIF('1. Plot &amp; Site Log'!$A$5:$A$64,$A596)=0),"Plot ID not in Plot &amp; Site Log. ","")&amp;IF(AND(ISNUMBER($E596),ISNUMBER($F596),$F596&lt;=$E596),"Bottom depth is not below top depth. ","")&amp;IF($I596="","Say which bulk-density basis the lab reported. ","")&amp;IF(AND(ISNUMBER($J596),OR($J596&lt;QC_BD_MIN,$J596&gt;QC_BD_MAX)),"Bulk density outside "&amp;QC_BD_MIN&amp;"–"&amp;QC_BD_MAX&amp;" g/cm³ for peat. Above the top of that range usually means the mineral contact has been passed. ","")&amp;IF(AND(ISNUMBER($N596),$N596&gt;QC_CARBON_PCT_MAX),"Carbon above "&amp;QC_CARBON_PCT_MAX&amp;"% — check units; this may be organic matter rather than carbon. ","")&amp;IF(AND($L596&lt;&gt;"",$M596&lt;&gt;""),"Both LOI and measured carbon given — the measured value is used. ","")&amp;IF(AND($M596="",$L596&lt;&gt;"",OM_FACTOR_IS_LOCAL&lt;&gt;"Yes"),"Carbon derived from LOI using the default factor of "&amp;CARBON_FRACTION_OM&amp;", which has not been calibrated locally. See R1. Reference. ","")&amp;IF(AND(ISNUMBER($O596),$O596=0,ISNUMBER($E596)),"Section lies entirely below the reference depth — it counts to the full-profile stock only. ",""))</f>
        <v/>
      </c>
      <c r="U596" s="14"/>
    </row>
    <row r="597" spans="1:21" ht="15.75" customHeight="1">
      <c r="A597" s="14"/>
      <c r="B597" s="14"/>
      <c r="C597" s="14"/>
      <c r="D597" s="14"/>
      <c r="E597" s="14"/>
      <c r="F597" s="14"/>
      <c r="G597" s="14" t="str">
        <f t="shared" si="56"/>
        <v/>
      </c>
      <c r="H597" s="14"/>
      <c r="I597" s="14"/>
      <c r="J597" s="24"/>
      <c r="K597" s="24"/>
      <c r="L597" s="24"/>
      <c r="M597" s="24"/>
      <c r="N597" s="16" t="str">
        <f t="shared" si="60"/>
        <v/>
      </c>
      <c r="O597" s="16" t="str">
        <f t="shared" si="57"/>
        <v/>
      </c>
      <c r="P597" s="16" t="str">
        <f t="shared" si="58"/>
        <v/>
      </c>
      <c r="Q597" s="16" t="str">
        <f t="shared" si="59"/>
        <v/>
      </c>
      <c r="R597" s="16">
        <f t="shared" si="61"/>
        <v>0</v>
      </c>
      <c r="S597" s="16" t="str">
        <f>IF(OR($B597="",NOT(ISNUMBER($F597))),"",SUMIFS(community_cores_FS!$P$5:$P$597,community_cores_FS!$B$5:$B$597,$B597,community_cores_FS!$F$5:$F$597,"&lt;="&amp;$F597))</f>
        <v/>
      </c>
      <c r="T597" s="16" t="str">
        <f>IF(AND($A597="",$B597="",$E597=""),"",IF(AND($B597&lt;&gt;"",COUNTIF('2. Core Log'!$A$5:$A$124,$B597)=0),"Core ID not in Core Log. ","")&amp;IF(AND($A597&lt;&gt;"",COUNTIF('1. Plot &amp; Site Log'!$A$5:$A$64,$A597)=0),"Plot ID not in Plot &amp; Site Log. ","")&amp;IF(AND(ISNUMBER($E597),ISNUMBER($F597),$F597&lt;=$E597),"Bottom depth is not below top depth. ","")&amp;IF($I597="","Say which bulk-density basis the lab reported. ","")&amp;IF(AND(ISNUMBER($J597),OR($J597&lt;QC_BD_MIN,$J597&gt;QC_BD_MAX)),"Bulk density outside "&amp;QC_BD_MIN&amp;"–"&amp;QC_BD_MAX&amp;" g/cm³ for peat. Above the top of that range usually means the mineral contact has been passed. ","")&amp;IF(AND(ISNUMBER($N597),$N597&gt;QC_CARBON_PCT_MAX),"Carbon above "&amp;QC_CARBON_PCT_MAX&amp;"% — check units; this may be organic matter rather than carbon. ","")&amp;IF(AND($L597&lt;&gt;"",$M597&lt;&gt;""),"Both LOI and measured carbon given — the measured value is used. ","")&amp;IF(AND($M597="",$L597&lt;&gt;"",OM_FACTOR_IS_LOCAL&lt;&gt;"Yes"),"Carbon derived from LOI using the default factor of "&amp;CARBON_FRACTION_OM&amp;", which has not been calibrated locally. See R1. Reference. ","")&amp;IF(AND(ISNUMBER($O597),$O597=0,ISNUMBER($E597)),"Section lies entirely below the reference depth — it counts to the full-profile stock only. ",""))</f>
        <v/>
      </c>
      <c r="U597" s="14"/>
    </row>
    <row r="598" spans="1:21" ht="15.75" customHeight="1"/>
    <row r="599" spans="1:21" ht="15.75" customHeight="1"/>
    <row r="600" spans="1:21" ht="15.75" customHeight="1"/>
    <row r="601" spans="1:21" ht="15.75" customHeight="1"/>
    <row r="602" spans="1:21" ht="15.75" customHeight="1"/>
    <row r="603" spans="1:21" ht="15.75" customHeight="1"/>
    <row r="604" spans="1:21" ht="15.75" customHeight="1"/>
    <row r="605" spans="1:21" ht="15.75" customHeight="1"/>
    <row r="606" spans="1:21" ht="15.75" customHeight="1"/>
    <row r="607" spans="1:21" ht="15.75" customHeight="1"/>
    <row r="608" spans="1:21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2:U2"/>
  </mergeCells>
  <dataValidations count="1">
    <dataValidation type="list" allowBlank="1" sqref="I5:I597" xr:uid="{00000000-0002-0000-0300-000000000000}">
      <formula1>"Whole sample / sample volume,Fine fraction / fine-fraction volume"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pane ySplit="209" topLeftCell="A210" activePane="bottomLeft" state="frozen"/>
      <selection pane="bottomLeft" activeCell="B18" sqref="B18"/>
    </sheetView>
  </sheetViews>
  <sheetFormatPr defaultColWidth="14.453125" defaultRowHeight="15" customHeight="1"/>
  <cols>
    <col min="1" max="1" width="13" customWidth="1"/>
    <col min="2" max="2" width="12" customWidth="1"/>
    <col min="3" max="3" width="15" customWidth="1"/>
    <col min="4" max="6" width="14" customWidth="1"/>
    <col min="7" max="7" width="15" customWidth="1"/>
    <col min="8" max="8" width="14" customWidth="1"/>
    <col min="9" max="9" width="12" customWidth="1"/>
    <col min="10" max="10" width="52" hidden="1" customWidth="1"/>
    <col min="11" max="11" width="24" hidden="1" customWidth="1"/>
    <col min="12" max="26" width="8.7265625" customWidth="1"/>
  </cols>
  <sheetData>
    <row r="1" spans="1:11" ht="18.5">
      <c r="A1" s="1" t="s">
        <v>128</v>
      </c>
    </row>
    <row r="2" spans="1:11" ht="33.75" customHeight="1">
      <c r="A2" s="43" t="s">
        <v>129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4" spans="1:11" ht="42" customHeight="1">
      <c r="A4" s="5" t="s">
        <v>9</v>
      </c>
      <c r="B4" s="5" t="s">
        <v>130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70</v>
      </c>
      <c r="J4" s="5" t="s">
        <v>137</v>
      </c>
      <c r="K4" s="5" t="s">
        <v>138</v>
      </c>
    </row>
    <row r="5" spans="1:11" ht="14.5">
      <c r="A5" s="14"/>
      <c r="B5" s="14"/>
      <c r="C5" s="14"/>
      <c r="D5" s="14"/>
      <c r="E5" s="14"/>
      <c r="F5" s="16" t="str">
        <f>IF(OR($A5="",NOT(ISNUMBER($B5))),"",SUMIFS(community_cores_FS!$P$5:$P$597,community_cores_FS!$B$5:$B$597,$A5,community_cores_FS!$F$5:$F$597,"&lt;="&amp;$B5)+SUMPRODUCT((community_cores_FS!$B$5:$B$597=$A5)*(community_cores_FS!$E$5:$E$597&lt;$B5)*(community_cores_FS!$F$5:$F$597&gt;$B5)*community_cores_FS!$R$5:$R$597*($B5-community_cores_FS!$E$5:$E$597)))</f>
        <v/>
      </c>
      <c r="G5" s="16" t="str">
        <f>IF(OR($A5="",NOT(ISNUMBER($B5)),NOT(ISNUMBER($C5))),"",IFERROR(($B5-$K5)/($C5-IF($K5=0,0,SUMIFS('4. Chronology'!$C$5:$C$204,'4. Chronology'!$A$5:$A$204,$A5,'4. Chronology'!$B$5:$B$204,$K5))),""))</f>
        <v/>
      </c>
      <c r="H5" s="16" t="str">
        <f>IF(OR($A5="",NOT(ISNUMBER($F5)),NOT(ISNUMBER($C5))),"",IFERROR((($F5-IF($K5=0,0,SUMIFS('4. Chronology'!$F$5:$F$204,'4. Chronology'!$A$5:$A$204,$A5,'4. Chronology'!$B$5:$B$204,$K5)))*1000)/($C5-IF($K5=0,0,SUMIFS('4. Chronology'!$C$5:$C$204,'4. Chronology'!$A$5:$A$204,$A5,'4. Chronology'!$B$5:$B$204,$K5))),""))</f>
        <v/>
      </c>
      <c r="I5" s="16" t="str">
        <f>IF($A5="","",IF(COUNTIF('2. Core Log'!$A$5:$A$124,$A5)=0,"Core ID not in Core Log. ","")&amp;IF($E5="","No date source given — RERCA and LORCA need to know which method produced this age. ","")&amp;IF(AND(ISNUMBER($C5),$C5&lt;0),"Negative age: this horizon post-dates the coring year. Check the conversion. ","")&amp;IF(AND(ISNUMBER($G5),$G5&lt;0),"Age reversal — this horizon is younger than one above it. A mixed or disturbed profile may not be datable at all. ","")&amp;IF(AND(ISNUMBER($D5),ISNUMBER($C5),$C5&gt;0,$D5/$C5&gt;0.5),"Age uncertainty exceeds 50% of the age. Usable as an indication only. ","")&amp;IF(AND($D5="",$C5&lt;&gt;""),"No uncertainty given. Every radiometric age has one; a rate without it cannot be defended. ",""))</f>
        <v/>
      </c>
      <c r="J5" s="16">
        <f t="shared" ref="J5:J204" si="0">IF($E5="",0,IF(OR(LEFT($E5,6)="Pb-210",LEFT($E5,6)="Cs-137"),1,0))</f>
        <v>0</v>
      </c>
      <c r="K5" s="16" t="str">
        <f>IF(OR($A5="",NOT(ISNUMBER($B5))),"",SUMPRODUCT(MAX(('4. Chronology'!$A$5:$A$204=$A5)*('4. Chronology'!$B$5:$B$204&lt;$B5)*'4. Chronology'!$B$5:$B$204)))</f>
        <v/>
      </c>
    </row>
    <row r="6" spans="1:11" ht="14.5">
      <c r="A6" s="14"/>
      <c r="B6" s="14"/>
      <c r="C6" s="14"/>
      <c r="D6" s="14"/>
      <c r="E6" s="14"/>
      <c r="F6" s="16" t="str">
        <f>IF(OR($A6="",NOT(ISNUMBER($B6))),"",SUMIFS(community_cores_FS!$P$5:$P$597,community_cores_FS!$B$5:$B$597,$A6,community_cores_FS!$F$5:$F$597,"&lt;="&amp;$B6)+SUMPRODUCT((community_cores_FS!$B$5:$B$597=$A6)*(community_cores_FS!$E$5:$E$597&lt;$B6)*(community_cores_FS!$F$5:$F$597&gt;$B6)*community_cores_FS!$R$5:$R$597*($B6-community_cores_FS!$E$5:$E$597)))</f>
        <v/>
      </c>
      <c r="G6" s="16" t="str">
        <f>IF(OR($A6="",NOT(ISNUMBER($B6)),NOT(ISNUMBER($C6))),"",IFERROR(($B6-$K6)/($C6-IF($K6=0,0,SUMIFS('4. Chronology'!$C$5:$C$204,'4. Chronology'!$A$5:$A$204,$A6,'4. Chronology'!$B$5:$B$204,$K6))),""))</f>
        <v/>
      </c>
      <c r="H6" s="16" t="str">
        <f>IF(OR($A6="",NOT(ISNUMBER($F6)),NOT(ISNUMBER($C6))),"",IFERROR((($F6-IF($K6=0,0,SUMIFS('4. Chronology'!$F$5:$F$204,'4. Chronology'!$A$5:$A$204,$A6,'4. Chronology'!$B$5:$B$204,$K6)))*1000)/($C6-IF($K6=0,0,SUMIFS('4. Chronology'!$C$5:$C$204,'4. Chronology'!$A$5:$A$204,$A6,'4. Chronology'!$B$5:$B$204,$K6))),""))</f>
        <v/>
      </c>
      <c r="I6" s="16" t="str">
        <f>IF($A6="","",IF(COUNTIF('2. Core Log'!$A$5:$A$124,$A6)=0,"Core ID not in Core Log. ","")&amp;IF($E6="","No date source given — RERCA and LORCA need to know which method produced this age. ","")&amp;IF(AND(ISNUMBER($C6),$C6&lt;0),"Negative age: this horizon post-dates the coring year. Check the conversion. ","")&amp;IF(AND(ISNUMBER($G6),$G6&lt;0),"Age reversal — this horizon is younger than one above it. A mixed or disturbed profile may not be datable at all. ","")&amp;IF(AND(ISNUMBER($D6),ISNUMBER($C6),$C6&gt;0,$D6/$C6&gt;0.5),"Age uncertainty exceeds 50% of the age. Usable as an indication only. ","")&amp;IF(AND($D6="",$C6&lt;&gt;""),"No uncertainty given. Every radiometric age has one; a rate without it cannot be defended. ",""))</f>
        <v/>
      </c>
      <c r="J6" s="16">
        <f t="shared" si="0"/>
        <v>0</v>
      </c>
      <c r="K6" s="16" t="str">
        <f>IF(OR($A6="",NOT(ISNUMBER($B6))),"",SUMPRODUCT(MAX(('4. Chronology'!$A$5:$A$204=$A6)*('4. Chronology'!$B$5:$B$204&lt;$B6)*'4. Chronology'!$B$5:$B$204)))</f>
        <v/>
      </c>
    </row>
    <row r="7" spans="1:11" ht="14.5">
      <c r="A7" s="14"/>
      <c r="B7" s="14"/>
      <c r="C7" s="14"/>
      <c r="D7" s="14"/>
      <c r="E7" s="14"/>
      <c r="F7" s="16" t="str">
        <f>IF(OR($A7="",NOT(ISNUMBER($B7))),"",SUMIFS(community_cores_FS!$P$5:$P$597,community_cores_FS!$B$5:$B$597,$A7,community_cores_FS!$F$5:$F$597,"&lt;="&amp;$B7)+SUMPRODUCT((community_cores_FS!$B$5:$B$597=$A7)*(community_cores_FS!$E$5:$E$597&lt;$B7)*(community_cores_FS!$F$5:$F$597&gt;$B7)*community_cores_FS!$R$5:$R$597*($B7-community_cores_FS!$E$5:$E$597)))</f>
        <v/>
      </c>
      <c r="G7" s="16" t="str">
        <f>IF(OR($A7="",NOT(ISNUMBER($B7)),NOT(ISNUMBER($C7))),"",IFERROR(($B7-$K7)/($C7-IF($K7=0,0,SUMIFS('4. Chronology'!$C$5:$C$204,'4. Chronology'!$A$5:$A$204,$A7,'4. Chronology'!$B$5:$B$204,$K7))),""))</f>
        <v/>
      </c>
      <c r="H7" s="16" t="str">
        <f>IF(OR($A7="",NOT(ISNUMBER($F7)),NOT(ISNUMBER($C7))),"",IFERROR((($F7-IF($K7=0,0,SUMIFS('4. Chronology'!$F$5:$F$204,'4. Chronology'!$A$5:$A$204,$A7,'4. Chronology'!$B$5:$B$204,$K7)))*1000)/($C7-IF($K7=0,0,SUMIFS('4. Chronology'!$C$5:$C$204,'4. Chronology'!$A$5:$A$204,$A7,'4. Chronology'!$B$5:$B$204,$K7))),""))</f>
        <v/>
      </c>
      <c r="I7" s="16" t="str">
        <f>IF($A7="","",IF(COUNTIF('2. Core Log'!$A$5:$A$124,$A7)=0,"Core ID not in Core Log. ","")&amp;IF($E7="","No date source given — RERCA and LORCA need to know which method produced this age. ","")&amp;IF(AND(ISNUMBER($C7),$C7&lt;0),"Negative age: this horizon post-dates the coring year. Check the conversion. ","")&amp;IF(AND(ISNUMBER($G7),$G7&lt;0),"Age reversal — this horizon is younger than one above it. A mixed or disturbed profile may not be datable at all. ","")&amp;IF(AND(ISNUMBER($D7),ISNUMBER($C7),$C7&gt;0,$D7/$C7&gt;0.5),"Age uncertainty exceeds 50% of the age. Usable as an indication only. ","")&amp;IF(AND($D7="",$C7&lt;&gt;""),"No uncertainty given. Every radiometric age has one; a rate without it cannot be defended. ",""))</f>
        <v/>
      </c>
      <c r="J7" s="16">
        <f t="shared" si="0"/>
        <v>0</v>
      </c>
      <c r="K7" s="16" t="str">
        <f>IF(OR($A7="",NOT(ISNUMBER($B7))),"",SUMPRODUCT(MAX(('4. Chronology'!$A$5:$A$204=$A7)*('4. Chronology'!$B$5:$B$204&lt;$B7)*'4. Chronology'!$B$5:$B$204)))</f>
        <v/>
      </c>
    </row>
    <row r="8" spans="1:11" ht="14.5">
      <c r="A8" s="14"/>
      <c r="B8" s="14"/>
      <c r="C8" s="14"/>
      <c r="D8" s="14"/>
      <c r="E8" s="14"/>
      <c r="F8" s="16" t="str">
        <f>IF(OR($A8="",NOT(ISNUMBER($B8))),"",SUMIFS(community_cores_FS!$P$5:$P$597,community_cores_FS!$B$5:$B$597,$A8,community_cores_FS!$F$5:$F$597,"&lt;="&amp;$B8)+SUMPRODUCT((community_cores_FS!$B$5:$B$597=$A8)*(community_cores_FS!$E$5:$E$597&lt;$B8)*(community_cores_FS!$F$5:$F$597&gt;$B8)*community_cores_FS!$R$5:$R$597*($B8-community_cores_FS!$E$5:$E$597)))</f>
        <v/>
      </c>
      <c r="G8" s="16" t="str">
        <f>IF(OR($A8="",NOT(ISNUMBER($B8)),NOT(ISNUMBER($C8))),"",IFERROR(($B8-$K8)/($C8-IF($K8=0,0,SUMIFS('4. Chronology'!$C$5:$C$204,'4. Chronology'!$A$5:$A$204,$A8,'4. Chronology'!$B$5:$B$204,$K8))),""))</f>
        <v/>
      </c>
      <c r="H8" s="16" t="str">
        <f>IF(OR($A8="",NOT(ISNUMBER($F8)),NOT(ISNUMBER($C8))),"",IFERROR((($F8-IF($K8=0,0,SUMIFS('4. Chronology'!$F$5:$F$204,'4. Chronology'!$A$5:$A$204,$A8,'4. Chronology'!$B$5:$B$204,$K8)))*1000)/($C8-IF($K8=0,0,SUMIFS('4. Chronology'!$C$5:$C$204,'4. Chronology'!$A$5:$A$204,$A8,'4. Chronology'!$B$5:$B$204,$K8))),""))</f>
        <v/>
      </c>
      <c r="I8" s="16" t="str">
        <f>IF($A8="","",IF(COUNTIF('2. Core Log'!$A$5:$A$124,$A8)=0,"Core ID not in Core Log. ","")&amp;IF($E8="","No date source given — RERCA and LORCA need to know which method produced this age. ","")&amp;IF(AND(ISNUMBER($C8),$C8&lt;0),"Negative age: this horizon post-dates the coring year. Check the conversion. ","")&amp;IF(AND(ISNUMBER($G8),$G8&lt;0),"Age reversal — this horizon is younger than one above it. A mixed or disturbed profile may not be datable at all. ","")&amp;IF(AND(ISNUMBER($D8),ISNUMBER($C8),$C8&gt;0,$D8/$C8&gt;0.5),"Age uncertainty exceeds 50% of the age. Usable as an indication only. ","")&amp;IF(AND($D8="",$C8&lt;&gt;""),"No uncertainty given. Every radiometric age has one; a rate without it cannot be defended. ",""))</f>
        <v/>
      </c>
      <c r="J8" s="16">
        <f t="shared" si="0"/>
        <v>0</v>
      </c>
      <c r="K8" s="16" t="str">
        <f>IF(OR($A8="",NOT(ISNUMBER($B8))),"",SUMPRODUCT(MAX(('4. Chronology'!$A$5:$A$204=$A8)*('4. Chronology'!$B$5:$B$204&lt;$B8)*'4. Chronology'!$B$5:$B$204)))</f>
        <v/>
      </c>
    </row>
    <row r="9" spans="1:11" ht="14.5">
      <c r="A9" s="14"/>
      <c r="B9" s="14"/>
      <c r="C9" s="14"/>
      <c r="D9" s="14"/>
      <c r="E9" s="14"/>
      <c r="F9" s="16" t="str">
        <f>IF(OR($A9="",NOT(ISNUMBER($B9))),"",SUMIFS(community_cores_FS!$P$5:$P$597,community_cores_FS!$B$5:$B$597,$A9,community_cores_FS!$F$5:$F$597,"&lt;="&amp;$B9)+SUMPRODUCT((community_cores_FS!$B$5:$B$597=$A9)*(community_cores_FS!$E$5:$E$597&lt;$B9)*(community_cores_FS!$F$5:$F$597&gt;$B9)*community_cores_FS!$R$5:$R$597*($B9-community_cores_FS!$E$5:$E$597)))</f>
        <v/>
      </c>
      <c r="G9" s="16" t="str">
        <f>IF(OR($A9="",NOT(ISNUMBER($B9)),NOT(ISNUMBER($C9))),"",IFERROR(($B9-$K9)/($C9-IF($K9=0,0,SUMIFS('4. Chronology'!$C$5:$C$204,'4. Chronology'!$A$5:$A$204,$A9,'4. Chronology'!$B$5:$B$204,$K9))),""))</f>
        <v/>
      </c>
      <c r="H9" s="16" t="str">
        <f>IF(OR($A9="",NOT(ISNUMBER($F9)),NOT(ISNUMBER($C9))),"",IFERROR((($F9-IF($K9=0,0,SUMIFS('4. Chronology'!$F$5:$F$204,'4. Chronology'!$A$5:$A$204,$A9,'4. Chronology'!$B$5:$B$204,$K9)))*1000)/($C9-IF($K9=0,0,SUMIFS('4. Chronology'!$C$5:$C$204,'4. Chronology'!$A$5:$A$204,$A9,'4. Chronology'!$B$5:$B$204,$K9))),""))</f>
        <v/>
      </c>
      <c r="I9" s="16" t="str">
        <f>IF($A9="","",IF(COUNTIF('2. Core Log'!$A$5:$A$124,$A9)=0,"Core ID not in Core Log. ","")&amp;IF($E9="","No date source given — RERCA and LORCA need to know which method produced this age. ","")&amp;IF(AND(ISNUMBER($C9),$C9&lt;0),"Negative age: this horizon post-dates the coring year. Check the conversion. ","")&amp;IF(AND(ISNUMBER($G9),$G9&lt;0),"Age reversal — this horizon is younger than one above it. A mixed or disturbed profile may not be datable at all. ","")&amp;IF(AND(ISNUMBER($D9),ISNUMBER($C9),$C9&gt;0,$D9/$C9&gt;0.5),"Age uncertainty exceeds 50% of the age. Usable as an indication only. ","")&amp;IF(AND($D9="",$C9&lt;&gt;""),"No uncertainty given. Every radiometric age has one; a rate without it cannot be defended. ",""))</f>
        <v/>
      </c>
      <c r="J9" s="16">
        <f t="shared" si="0"/>
        <v>0</v>
      </c>
      <c r="K9" s="16" t="str">
        <f>IF(OR($A9="",NOT(ISNUMBER($B9))),"",SUMPRODUCT(MAX(('4. Chronology'!$A$5:$A$204=$A9)*('4. Chronology'!$B$5:$B$204&lt;$B9)*'4. Chronology'!$B$5:$B$204)))</f>
        <v/>
      </c>
    </row>
    <row r="10" spans="1:11" ht="14.5">
      <c r="A10" s="14"/>
      <c r="B10" s="14"/>
      <c r="C10" s="14"/>
      <c r="D10" s="14"/>
      <c r="E10" s="14"/>
      <c r="F10" s="16" t="str">
        <f>IF(OR($A10="",NOT(ISNUMBER($B10))),"",SUMIFS(community_cores_FS!$P$5:$P$597,community_cores_FS!$B$5:$B$597,$A10,community_cores_FS!$F$5:$F$597,"&lt;="&amp;$B10)+SUMPRODUCT((community_cores_FS!$B$5:$B$597=$A10)*(community_cores_FS!$E$5:$E$597&lt;$B10)*(community_cores_FS!$F$5:$F$597&gt;$B10)*community_cores_FS!$R$5:$R$597*($B10-community_cores_FS!$E$5:$E$597)))</f>
        <v/>
      </c>
      <c r="G10" s="16" t="str">
        <f>IF(OR($A10="",NOT(ISNUMBER($B10)),NOT(ISNUMBER($C10))),"",IFERROR(($B10-$K10)/($C10-IF($K10=0,0,SUMIFS('4. Chronology'!$C$5:$C$204,'4. Chronology'!$A$5:$A$204,$A10,'4. Chronology'!$B$5:$B$204,$K10))),""))</f>
        <v/>
      </c>
      <c r="H10" s="16" t="str">
        <f>IF(OR($A10="",NOT(ISNUMBER($F10)),NOT(ISNUMBER($C10))),"",IFERROR((($F10-IF($K10=0,0,SUMIFS('4. Chronology'!$F$5:$F$204,'4. Chronology'!$A$5:$A$204,$A10,'4. Chronology'!$B$5:$B$204,$K10)))*1000)/($C10-IF($K10=0,0,SUMIFS('4. Chronology'!$C$5:$C$204,'4. Chronology'!$A$5:$A$204,$A10,'4. Chronology'!$B$5:$B$204,$K10))),""))</f>
        <v/>
      </c>
      <c r="I10" s="16" t="str">
        <f>IF($A10="","",IF(COUNTIF('2. Core Log'!$A$5:$A$124,$A10)=0,"Core ID not in Core Log. ","")&amp;IF($E10="","No date source given — RERCA and LORCA need to know which method produced this age. ","")&amp;IF(AND(ISNUMBER($C10),$C10&lt;0),"Negative age: this horizon post-dates the coring year. Check the conversion. ","")&amp;IF(AND(ISNUMBER($G10),$G10&lt;0),"Age reversal — this horizon is younger than one above it. A mixed or disturbed profile may not be datable at all. ","")&amp;IF(AND(ISNUMBER($D10),ISNUMBER($C10),$C10&gt;0,$D10/$C10&gt;0.5),"Age uncertainty exceeds 50% of the age. Usable as an indication only. ","")&amp;IF(AND($D10="",$C10&lt;&gt;""),"No uncertainty given. Every radiometric age has one; a rate without it cannot be defended. ",""))</f>
        <v/>
      </c>
      <c r="J10" s="16">
        <f t="shared" si="0"/>
        <v>0</v>
      </c>
      <c r="K10" s="16" t="str">
        <f>IF(OR($A10="",NOT(ISNUMBER($B10))),"",SUMPRODUCT(MAX(('4. Chronology'!$A$5:$A$204=$A10)*('4. Chronology'!$B$5:$B$204&lt;$B10)*'4. Chronology'!$B$5:$B$204)))</f>
        <v/>
      </c>
    </row>
    <row r="11" spans="1:11" ht="14.5">
      <c r="A11" s="14"/>
      <c r="B11" s="14"/>
      <c r="C11" s="14"/>
      <c r="D11" s="14"/>
      <c r="E11" s="14"/>
      <c r="F11" s="16" t="str">
        <f>IF(OR($A11="",NOT(ISNUMBER($B11))),"",SUMIFS(community_cores_FS!$P$5:$P$597,community_cores_FS!$B$5:$B$597,$A11,community_cores_FS!$F$5:$F$597,"&lt;="&amp;$B11)+SUMPRODUCT((community_cores_FS!$B$5:$B$597=$A11)*(community_cores_FS!$E$5:$E$597&lt;$B11)*(community_cores_FS!$F$5:$F$597&gt;$B11)*community_cores_FS!$R$5:$R$597*($B11-community_cores_FS!$E$5:$E$597)))</f>
        <v/>
      </c>
      <c r="G11" s="16" t="str">
        <f>IF(OR($A11="",NOT(ISNUMBER($B11)),NOT(ISNUMBER($C11))),"",IFERROR(($B11-$K11)/($C11-IF($K11=0,0,SUMIFS('4. Chronology'!$C$5:$C$204,'4. Chronology'!$A$5:$A$204,$A11,'4. Chronology'!$B$5:$B$204,$K11))),""))</f>
        <v/>
      </c>
      <c r="H11" s="16" t="str">
        <f>IF(OR($A11="",NOT(ISNUMBER($F11)),NOT(ISNUMBER($C11))),"",IFERROR((($F11-IF($K11=0,0,SUMIFS('4. Chronology'!$F$5:$F$204,'4. Chronology'!$A$5:$A$204,$A11,'4. Chronology'!$B$5:$B$204,$K11)))*1000)/($C11-IF($K11=0,0,SUMIFS('4. Chronology'!$C$5:$C$204,'4. Chronology'!$A$5:$A$204,$A11,'4. Chronology'!$B$5:$B$204,$K11))),""))</f>
        <v/>
      </c>
      <c r="I11" s="16" t="str">
        <f>IF($A11="","",IF(COUNTIF('2. Core Log'!$A$5:$A$124,$A11)=0,"Core ID not in Core Log. ","")&amp;IF($E11="","No date source given — RERCA and LORCA need to know which method produced this age. ","")&amp;IF(AND(ISNUMBER($C11),$C11&lt;0),"Negative age: this horizon post-dates the coring year. Check the conversion. ","")&amp;IF(AND(ISNUMBER($G11),$G11&lt;0),"Age reversal — this horizon is younger than one above it. A mixed or disturbed profile may not be datable at all. ","")&amp;IF(AND(ISNUMBER($D11),ISNUMBER($C11),$C11&gt;0,$D11/$C11&gt;0.5),"Age uncertainty exceeds 50% of the age. Usable as an indication only. ","")&amp;IF(AND($D11="",$C11&lt;&gt;""),"No uncertainty given. Every radiometric age has one; a rate without it cannot be defended. ",""))</f>
        <v/>
      </c>
      <c r="J11" s="16">
        <f t="shared" si="0"/>
        <v>0</v>
      </c>
      <c r="K11" s="16" t="str">
        <f>IF(OR($A11="",NOT(ISNUMBER($B11))),"",SUMPRODUCT(MAX(('4. Chronology'!$A$5:$A$204=$A11)*('4. Chronology'!$B$5:$B$204&lt;$B11)*'4. Chronology'!$B$5:$B$204)))</f>
        <v/>
      </c>
    </row>
    <row r="12" spans="1:11" ht="14.5">
      <c r="A12" s="14"/>
      <c r="B12" s="14"/>
      <c r="C12" s="14"/>
      <c r="D12" s="14"/>
      <c r="E12" s="14"/>
      <c r="F12" s="16" t="str">
        <f>IF(OR($A12="",NOT(ISNUMBER($B12))),"",SUMIFS(community_cores_FS!$P$5:$P$597,community_cores_FS!$B$5:$B$597,$A12,community_cores_FS!$F$5:$F$597,"&lt;="&amp;$B12)+SUMPRODUCT((community_cores_FS!$B$5:$B$597=$A12)*(community_cores_FS!$E$5:$E$597&lt;$B12)*(community_cores_FS!$F$5:$F$597&gt;$B12)*community_cores_FS!$R$5:$R$597*($B12-community_cores_FS!$E$5:$E$597)))</f>
        <v/>
      </c>
      <c r="G12" s="16" t="str">
        <f>IF(OR($A12="",NOT(ISNUMBER($B12)),NOT(ISNUMBER($C12))),"",IFERROR(($B12-$K12)/($C12-IF($K12=0,0,SUMIFS('4. Chronology'!$C$5:$C$204,'4. Chronology'!$A$5:$A$204,$A12,'4. Chronology'!$B$5:$B$204,$K12))),""))</f>
        <v/>
      </c>
      <c r="H12" s="16" t="str">
        <f>IF(OR($A12="",NOT(ISNUMBER($F12)),NOT(ISNUMBER($C12))),"",IFERROR((($F12-IF($K12=0,0,SUMIFS('4. Chronology'!$F$5:$F$204,'4. Chronology'!$A$5:$A$204,$A12,'4. Chronology'!$B$5:$B$204,$K12)))*1000)/($C12-IF($K12=0,0,SUMIFS('4. Chronology'!$C$5:$C$204,'4. Chronology'!$A$5:$A$204,$A12,'4. Chronology'!$B$5:$B$204,$K12))),""))</f>
        <v/>
      </c>
      <c r="I12" s="16" t="str">
        <f>IF($A12="","",IF(COUNTIF('2. Core Log'!$A$5:$A$124,$A12)=0,"Core ID not in Core Log. ","")&amp;IF($E12="","No date source given — RERCA and LORCA need to know which method produced this age. ","")&amp;IF(AND(ISNUMBER($C12),$C12&lt;0),"Negative age: this horizon post-dates the coring year. Check the conversion. ","")&amp;IF(AND(ISNUMBER($G12),$G12&lt;0),"Age reversal — this horizon is younger than one above it. A mixed or disturbed profile may not be datable at all. ","")&amp;IF(AND(ISNUMBER($D12),ISNUMBER($C12),$C12&gt;0,$D12/$C12&gt;0.5),"Age uncertainty exceeds 50% of the age. Usable as an indication only. ","")&amp;IF(AND($D12="",$C12&lt;&gt;""),"No uncertainty given. Every radiometric age has one; a rate without it cannot be defended. ",""))</f>
        <v/>
      </c>
      <c r="J12" s="16">
        <f t="shared" si="0"/>
        <v>0</v>
      </c>
      <c r="K12" s="16" t="str">
        <f>IF(OR($A12="",NOT(ISNUMBER($B12))),"",SUMPRODUCT(MAX(('4. Chronology'!$A$5:$A$204=$A12)*('4. Chronology'!$B$5:$B$204&lt;$B12)*'4. Chronology'!$B$5:$B$204)))</f>
        <v/>
      </c>
    </row>
    <row r="13" spans="1:11" ht="14.5">
      <c r="A13" s="14"/>
      <c r="B13" s="14"/>
      <c r="C13" s="14"/>
      <c r="D13" s="14"/>
      <c r="E13" s="14"/>
      <c r="F13" s="16" t="str">
        <f>IF(OR($A13="",NOT(ISNUMBER($B13))),"",SUMIFS(community_cores_FS!$P$5:$P$597,community_cores_FS!$B$5:$B$597,$A13,community_cores_FS!$F$5:$F$597,"&lt;="&amp;$B13)+SUMPRODUCT((community_cores_FS!$B$5:$B$597=$A13)*(community_cores_FS!$E$5:$E$597&lt;$B13)*(community_cores_FS!$F$5:$F$597&gt;$B13)*community_cores_FS!$R$5:$R$597*($B13-community_cores_FS!$E$5:$E$597)))</f>
        <v/>
      </c>
      <c r="G13" s="16" t="str">
        <f>IF(OR($A13="",NOT(ISNUMBER($B13)),NOT(ISNUMBER($C13))),"",IFERROR(($B13-$K13)/($C13-IF($K13=0,0,SUMIFS('4. Chronology'!$C$5:$C$204,'4. Chronology'!$A$5:$A$204,$A13,'4. Chronology'!$B$5:$B$204,$K13))),""))</f>
        <v/>
      </c>
      <c r="H13" s="16" t="str">
        <f>IF(OR($A13="",NOT(ISNUMBER($F13)),NOT(ISNUMBER($C13))),"",IFERROR((($F13-IF($K13=0,0,SUMIFS('4. Chronology'!$F$5:$F$204,'4. Chronology'!$A$5:$A$204,$A13,'4. Chronology'!$B$5:$B$204,$K13)))*1000)/($C13-IF($K13=0,0,SUMIFS('4. Chronology'!$C$5:$C$204,'4. Chronology'!$A$5:$A$204,$A13,'4. Chronology'!$B$5:$B$204,$K13))),""))</f>
        <v/>
      </c>
      <c r="I13" s="16" t="str">
        <f>IF($A13="","",IF(COUNTIF('2. Core Log'!$A$5:$A$124,$A13)=0,"Core ID not in Core Log. ","")&amp;IF($E13="","No date source given — RERCA and LORCA need to know which method produced this age. ","")&amp;IF(AND(ISNUMBER($C13),$C13&lt;0),"Negative age: this horizon post-dates the coring year. Check the conversion. ","")&amp;IF(AND(ISNUMBER($G13),$G13&lt;0),"Age reversal — this horizon is younger than one above it. A mixed or disturbed profile may not be datable at all. ","")&amp;IF(AND(ISNUMBER($D13),ISNUMBER($C13),$C13&gt;0,$D13/$C13&gt;0.5),"Age uncertainty exceeds 50% of the age. Usable as an indication only. ","")&amp;IF(AND($D13="",$C13&lt;&gt;""),"No uncertainty given. Every radiometric age has one; a rate without it cannot be defended. ",""))</f>
        <v/>
      </c>
      <c r="J13" s="16">
        <f t="shared" si="0"/>
        <v>0</v>
      </c>
      <c r="K13" s="16" t="str">
        <f>IF(OR($A13="",NOT(ISNUMBER($B13))),"",SUMPRODUCT(MAX(('4. Chronology'!$A$5:$A$204=$A13)*('4. Chronology'!$B$5:$B$204&lt;$B13)*'4. Chronology'!$B$5:$B$204)))</f>
        <v/>
      </c>
    </row>
    <row r="14" spans="1:11" ht="14.5">
      <c r="A14" s="14"/>
      <c r="B14" s="14"/>
      <c r="C14" s="14"/>
      <c r="D14" s="14"/>
      <c r="E14" s="14"/>
      <c r="F14" s="16" t="str">
        <f>IF(OR($A14="",NOT(ISNUMBER($B14))),"",SUMIFS(community_cores_FS!$P$5:$P$597,community_cores_FS!$B$5:$B$597,$A14,community_cores_FS!$F$5:$F$597,"&lt;="&amp;$B14)+SUMPRODUCT((community_cores_FS!$B$5:$B$597=$A14)*(community_cores_FS!$E$5:$E$597&lt;$B14)*(community_cores_FS!$F$5:$F$597&gt;$B14)*community_cores_FS!$R$5:$R$597*($B14-community_cores_FS!$E$5:$E$597)))</f>
        <v/>
      </c>
      <c r="G14" s="16" t="str">
        <f>IF(OR($A14="",NOT(ISNUMBER($B14)),NOT(ISNUMBER($C14))),"",IFERROR(($B14-$K14)/($C14-IF($K14=0,0,SUMIFS('4. Chronology'!$C$5:$C$204,'4. Chronology'!$A$5:$A$204,$A14,'4. Chronology'!$B$5:$B$204,$K14))),""))</f>
        <v/>
      </c>
      <c r="H14" s="16" t="str">
        <f>IF(OR($A14="",NOT(ISNUMBER($F14)),NOT(ISNUMBER($C14))),"",IFERROR((($F14-IF($K14=0,0,SUMIFS('4. Chronology'!$F$5:$F$204,'4. Chronology'!$A$5:$A$204,$A14,'4. Chronology'!$B$5:$B$204,$K14)))*1000)/($C14-IF($K14=0,0,SUMIFS('4. Chronology'!$C$5:$C$204,'4. Chronology'!$A$5:$A$204,$A14,'4. Chronology'!$B$5:$B$204,$K14))),""))</f>
        <v/>
      </c>
      <c r="I14" s="16" t="str">
        <f>IF($A14="","",IF(COUNTIF('2. Core Log'!$A$5:$A$124,$A14)=0,"Core ID not in Core Log. ","")&amp;IF($E14="","No date source given — RERCA and LORCA need to know which method produced this age. ","")&amp;IF(AND(ISNUMBER($C14),$C14&lt;0),"Negative age: this horizon post-dates the coring year. Check the conversion. ","")&amp;IF(AND(ISNUMBER($G14),$G14&lt;0),"Age reversal — this horizon is younger than one above it. A mixed or disturbed profile may not be datable at all. ","")&amp;IF(AND(ISNUMBER($D14),ISNUMBER($C14),$C14&gt;0,$D14/$C14&gt;0.5),"Age uncertainty exceeds 50% of the age. Usable as an indication only. ","")&amp;IF(AND($D14="",$C14&lt;&gt;""),"No uncertainty given. Every radiometric age has one; a rate without it cannot be defended. ",""))</f>
        <v/>
      </c>
      <c r="J14" s="16">
        <f t="shared" si="0"/>
        <v>0</v>
      </c>
      <c r="K14" s="16" t="str">
        <f>IF(OR($A14="",NOT(ISNUMBER($B14))),"",SUMPRODUCT(MAX(('4. Chronology'!$A$5:$A$204=$A14)*('4. Chronology'!$B$5:$B$204&lt;$B14)*'4. Chronology'!$B$5:$B$204)))</f>
        <v/>
      </c>
    </row>
    <row r="15" spans="1:11" ht="14.5">
      <c r="A15" s="14"/>
      <c r="B15" s="14"/>
      <c r="C15" s="14"/>
      <c r="D15" s="14"/>
      <c r="E15" s="14"/>
      <c r="F15" s="16" t="str">
        <f>IF(OR($A15="",NOT(ISNUMBER($B15))),"",SUMIFS(community_cores_FS!$P$5:$P$597,community_cores_FS!$B$5:$B$597,$A15,community_cores_FS!$F$5:$F$597,"&lt;="&amp;$B15)+SUMPRODUCT((community_cores_FS!$B$5:$B$597=$A15)*(community_cores_FS!$E$5:$E$597&lt;$B15)*(community_cores_FS!$F$5:$F$597&gt;$B15)*community_cores_FS!$R$5:$R$597*($B15-community_cores_FS!$E$5:$E$597)))</f>
        <v/>
      </c>
      <c r="G15" s="16" t="str">
        <f>IF(OR($A15="",NOT(ISNUMBER($B15)),NOT(ISNUMBER($C15))),"",IFERROR(($B15-$K15)/($C15-IF($K15=0,0,SUMIFS('4. Chronology'!$C$5:$C$204,'4. Chronology'!$A$5:$A$204,$A15,'4. Chronology'!$B$5:$B$204,$K15))),""))</f>
        <v/>
      </c>
      <c r="H15" s="16" t="str">
        <f>IF(OR($A15="",NOT(ISNUMBER($F15)),NOT(ISNUMBER($C15))),"",IFERROR((($F15-IF($K15=0,0,SUMIFS('4. Chronology'!$F$5:$F$204,'4. Chronology'!$A$5:$A$204,$A15,'4. Chronology'!$B$5:$B$204,$K15)))*1000)/($C15-IF($K15=0,0,SUMIFS('4. Chronology'!$C$5:$C$204,'4. Chronology'!$A$5:$A$204,$A15,'4. Chronology'!$B$5:$B$204,$K15))),""))</f>
        <v/>
      </c>
      <c r="I15" s="16" t="str">
        <f>IF($A15="","",IF(COUNTIF('2. Core Log'!$A$5:$A$124,$A15)=0,"Core ID not in Core Log. ","")&amp;IF($E15="","No date source given — RERCA and LORCA need to know which method produced this age. ","")&amp;IF(AND(ISNUMBER($C15),$C15&lt;0),"Negative age: this horizon post-dates the coring year. Check the conversion. ","")&amp;IF(AND(ISNUMBER($G15),$G15&lt;0),"Age reversal — this horizon is younger than one above it. A mixed or disturbed profile may not be datable at all. ","")&amp;IF(AND(ISNUMBER($D15),ISNUMBER($C15),$C15&gt;0,$D15/$C15&gt;0.5),"Age uncertainty exceeds 50% of the age. Usable as an indication only. ","")&amp;IF(AND($D15="",$C15&lt;&gt;""),"No uncertainty given. Every radiometric age has one; a rate without it cannot be defended. ",""))</f>
        <v/>
      </c>
      <c r="J15" s="16">
        <f t="shared" si="0"/>
        <v>0</v>
      </c>
      <c r="K15" s="16" t="str">
        <f>IF(OR($A15="",NOT(ISNUMBER($B15))),"",SUMPRODUCT(MAX(('4. Chronology'!$A$5:$A$204=$A15)*('4. Chronology'!$B$5:$B$204&lt;$B15)*'4. Chronology'!$B$5:$B$204)))</f>
        <v/>
      </c>
    </row>
    <row r="16" spans="1:11" ht="14.5">
      <c r="A16" s="14"/>
      <c r="B16" s="14"/>
      <c r="C16" s="14"/>
      <c r="D16" s="14"/>
      <c r="E16" s="14"/>
      <c r="F16" s="16" t="str">
        <f>IF(OR($A16="",NOT(ISNUMBER($B16))),"",SUMIFS(community_cores_FS!$P$5:$P$597,community_cores_FS!$B$5:$B$597,$A16,community_cores_FS!$F$5:$F$597,"&lt;="&amp;$B16)+SUMPRODUCT((community_cores_FS!$B$5:$B$597=$A16)*(community_cores_FS!$E$5:$E$597&lt;$B16)*(community_cores_FS!$F$5:$F$597&gt;$B16)*community_cores_FS!$R$5:$R$597*($B16-community_cores_FS!$E$5:$E$597)))</f>
        <v/>
      </c>
      <c r="G16" s="16" t="str">
        <f>IF(OR($A16="",NOT(ISNUMBER($B16)),NOT(ISNUMBER($C16))),"",IFERROR(($B16-$K16)/($C16-IF($K16=0,0,SUMIFS('4. Chronology'!$C$5:$C$204,'4. Chronology'!$A$5:$A$204,$A16,'4. Chronology'!$B$5:$B$204,$K16))),""))</f>
        <v/>
      </c>
      <c r="H16" s="16" t="str">
        <f>IF(OR($A16="",NOT(ISNUMBER($F16)),NOT(ISNUMBER($C16))),"",IFERROR((($F16-IF($K16=0,0,SUMIFS('4. Chronology'!$F$5:$F$204,'4. Chronology'!$A$5:$A$204,$A16,'4. Chronology'!$B$5:$B$204,$K16)))*1000)/($C16-IF($K16=0,0,SUMIFS('4. Chronology'!$C$5:$C$204,'4. Chronology'!$A$5:$A$204,$A16,'4. Chronology'!$B$5:$B$204,$K16))),""))</f>
        <v/>
      </c>
      <c r="I16" s="16" t="str">
        <f>IF($A16="","",IF(COUNTIF('2. Core Log'!$A$5:$A$124,$A16)=0,"Core ID not in Core Log. ","")&amp;IF($E16="","No date source given — RERCA and LORCA need to know which method produced this age. ","")&amp;IF(AND(ISNUMBER($C16),$C16&lt;0),"Negative age: this horizon post-dates the coring year. Check the conversion. ","")&amp;IF(AND(ISNUMBER($G16),$G16&lt;0),"Age reversal — this horizon is younger than one above it. A mixed or disturbed profile may not be datable at all. ","")&amp;IF(AND(ISNUMBER($D16),ISNUMBER($C16),$C16&gt;0,$D16/$C16&gt;0.5),"Age uncertainty exceeds 50% of the age. Usable as an indication only. ","")&amp;IF(AND($D16="",$C16&lt;&gt;""),"No uncertainty given. Every radiometric age has one; a rate without it cannot be defended. ",""))</f>
        <v/>
      </c>
      <c r="J16" s="16">
        <f t="shared" si="0"/>
        <v>0</v>
      </c>
      <c r="K16" s="16" t="str">
        <f>IF(OR($A16="",NOT(ISNUMBER($B16))),"",SUMPRODUCT(MAX(('4. Chronology'!$A$5:$A$204=$A16)*('4. Chronology'!$B$5:$B$204&lt;$B16)*'4. Chronology'!$B$5:$B$204)))</f>
        <v/>
      </c>
    </row>
    <row r="17" spans="1:11" ht="14.5">
      <c r="A17" s="14"/>
      <c r="B17" s="14"/>
      <c r="C17" s="14"/>
      <c r="D17" s="14"/>
      <c r="E17" s="14"/>
      <c r="F17" s="16" t="str">
        <f>IF(OR($A17="",NOT(ISNUMBER($B17))),"",SUMIFS(community_cores_FS!$P$5:$P$597,community_cores_FS!$B$5:$B$597,$A17,community_cores_FS!$F$5:$F$597,"&lt;="&amp;$B17)+SUMPRODUCT((community_cores_FS!$B$5:$B$597=$A17)*(community_cores_FS!$E$5:$E$597&lt;$B17)*(community_cores_FS!$F$5:$F$597&gt;$B17)*community_cores_FS!$R$5:$R$597*($B17-community_cores_FS!$E$5:$E$597)))</f>
        <v/>
      </c>
      <c r="G17" s="16" t="str">
        <f>IF(OR($A17="",NOT(ISNUMBER($B17)),NOT(ISNUMBER($C17))),"",IFERROR(($B17-$K17)/($C17-IF($K17=0,0,SUMIFS('4. Chronology'!$C$5:$C$204,'4. Chronology'!$A$5:$A$204,$A17,'4. Chronology'!$B$5:$B$204,$K17))),""))</f>
        <v/>
      </c>
      <c r="H17" s="16" t="str">
        <f>IF(OR($A17="",NOT(ISNUMBER($F17)),NOT(ISNUMBER($C17))),"",IFERROR((($F17-IF($K17=0,0,SUMIFS('4. Chronology'!$F$5:$F$204,'4. Chronology'!$A$5:$A$204,$A17,'4. Chronology'!$B$5:$B$204,$K17)))*1000)/($C17-IF($K17=0,0,SUMIFS('4. Chronology'!$C$5:$C$204,'4. Chronology'!$A$5:$A$204,$A17,'4. Chronology'!$B$5:$B$204,$K17))),""))</f>
        <v/>
      </c>
      <c r="I17" s="16" t="str">
        <f>IF($A17="","",IF(COUNTIF('2. Core Log'!$A$5:$A$124,$A17)=0,"Core ID not in Core Log. ","")&amp;IF($E17="","No date source given — RERCA and LORCA need to know which method produced this age. ","")&amp;IF(AND(ISNUMBER($C17),$C17&lt;0),"Negative age: this horizon post-dates the coring year. Check the conversion. ","")&amp;IF(AND(ISNUMBER($G17),$G17&lt;0),"Age reversal — this horizon is younger than one above it. A mixed or disturbed profile may not be datable at all. ","")&amp;IF(AND(ISNUMBER($D17),ISNUMBER($C17),$C17&gt;0,$D17/$C17&gt;0.5),"Age uncertainty exceeds 50% of the age. Usable as an indication only. ","")&amp;IF(AND($D17="",$C17&lt;&gt;""),"No uncertainty given. Every radiometric age has one; a rate without it cannot be defended. ",""))</f>
        <v/>
      </c>
      <c r="J17" s="16">
        <f t="shared" si="0"/>
        <v>0</v>
      </c>
      <c r="K17" s="16" t="str">
        <f>IF(OR($A17="",NOT(ISNUMBER($B17))),"",SUMPRODUCT(MAX(('4. Chronology'!$A$5:$A$204=$A17)*('4. Chronology'!$B$5:$B$204&lt;$B17)*'4. Chronology'!$B$5:$B$204)))</f>
        <v/>
      </c>
    </row>
    <row r="18" spans="1:11" ht="14.5">
      <c r="A18" s="14"/>
      <c r="B18" s="14"/>
      <c r="C18" s="14"/>
      <c r="D18" s="14"/>
      <c r="E18" s="14"/>
      <c r="F18" s="16" t="str">
        <f>IF(OR($A18="",NOT(ISNUMBER($B18))),"",SUMIFS(community_cores_FS!$P$5:$P$597,community_cores_FS!$B$5:$B$597,$A18,community_cores_FS!$F$5:$F$597,"&lt;="&amp;$B18)+SUMPRODUCT((community_cores_FS!$B$5:$B$597=$A18)*(community_cores_FS!$E$5:$E$597&lt;$B18)*(community_cores_FS!$F$5:$F$597&gt;$B18)*community_cores_FS!$R$5:$R$597*($B18-community_cores_FS!$E$5:$E$597)))</f>
        <v/>
      </c>
      <c r="G18" s="16" t="str">
        <f>IF(OR($A18="",NOT(ISNUMBER($B18)),NOT(ISNUMBER($C18))),"",IFERROR(($B18-$K18)/($C18-IF($K18=0,0,SUMIFS('4. Chronology'!$C$5:$C$204,'4. Chronology'!$A$5:$A$204,$A18,'4. Chronology'!$B$5:$B$204,$K18))),""))</f>
        <v/>
      </c>
      <c r="H18" s="16" t="str">
        <f>IF(OR($A18="",NOT(ISNUMBER($F18)),NOT(ISNUMBER($C18))),"",IFERROR((($F18-IF($K18=0,0,SUMIFS('4. Chronology'!$F$5:$F$204,'4. Chronology'!$A$5:$A$204,$A18,'4. Chronology'!$B$5:$B$204,$K18)))*1000)/($C18-IF($K18=0,0,SUMIFS('4. Chronology'!$C$5:$C$204,'4. Chronology'!$A$5:$A$204,$A18,'4. Chronology'!$B$5:$B$204,$K18))),""))</f>
        <v/>
      </c>
      <c r="I18" s="16" t="str">
        <f>IF($A18="","",IF(COUNTIF('2. Core Log'!$A$5:$A$124,$A18)=0,"Core ID not in Core Log. ","")&amp;IF($E18="","No date source given — RERCA and LORCA need to know which method produced this age. ","")&amp;IF(AND(ISNUMBER($C18),$C18&lt;0),"Negative age: this horizon post-dates the coring year. Check the conversion. ","")&amp;IF(AND(ISNUMBER($G18),$G18&lt;0),"Age reversal — this horizon is younger than one above it. A mixed or disturbed profile may not be datable at all. ","")&amp;IF(AND(ISNUMBER($D18),ISNUMBER($C18),$C18&gt;0,$D18/$C18&gt;0.5),"Age uncertainty exceeds 50% of the age. Usable as an indication only. ","")&amp;IF(AND($D18="",$C18&lt;&gt;""),"No uncertainty given. Every radiometric age has one; a rate without it cannot be defended. ",""))</f>
        <v/>
      </c>
      <c r="J18" s="16">
        <f t="shared" si="0"/>
        <v>0</v>
      </c>
      <c r="K18" s="16" t="str">
        <f>IF(OR($A18="",NOT(ISNUMBER($B18))),"",SUMPRODUCT(MAX(('4. Chronology'!$A$5:$A$204=$A18)*('4. Chronology'!$B$5:$B$204&lt;$B18)*'4. Chronology'!$B$5:$B$204)))</f>
        <v/>
      </c>
    </row>
    <row r="19" spans="1:11" ht="14.5">
      <c r="A19" s="14"/>
      <c r="B19" s="14"/>
      <c r="C19" s="14"/>
      <c r="D19" s="14"/>
      <c r="E19" s="14"/>
      <c r="F19" s="16" t="str">
        <f>IF(OR($A19="",NOT(ISNUMBER($B19))),"",SUMIFS(community_cores_FS!$P$5:$P$597,community_cores_FS!$B$5:$B$597,$A19,community_cores_FS!$F$5:$F$597,"&lt;="&amp;$B19)+SUMPRODUCT((community_cores_FS!$B$5:$B$597=$A19)*(community_cores_FS!$E$5:$E$597&lt;$B19)*(community_cores_FS!$F$5:$F$597&gt;$B19)*community_cores_FS!$R$5:$R$597*($B19-community_cores_FS!$E$5:$E$597)))</f>
        <v/>
      </c>
      <c r="G19" s="16" t="str">
        <f>IF(OR($A19="",NOT(ISNUMBER($B19)),NOT(ISNUMBER($C19))),"",IFERROR(($B19-$K19)/($C19-IF($K19=0,0,SUMIFS('4. Chronology'!$C$5:$C$204,'4. Chronology'!$A$5:$A$204,$A19,'4. Chronology'!$B$5:$B$204,$K19))),""))</f>
        <v/>
      </c>
      <c r="H19" s="16" t="str">
        <f>IF(OR($A19="",NOT(ISNUMBER($F19)),NOT(ISNUMBER($C19))),"",IFERROR((($F19-IF($K19=0,0,SUMIFS('4. Chronology'!$F$5:$F$204,'4. Chronology'!$A$5:$A$204,$A19,'4. Chronology'!$B$5:$B$204,$K19)))*1000)/($C19-IF($K19=0,0,SUMIFS('4. Chronology'!$C$5:$C$204,'4. Chronology'!$A$5:$A$204,$A19,'4. Chronology'!$B$5:$B$204,$K19))),""))</f>
        <v/>
      </c>
      <c r="I19" s="16" t="str">
        <f>IF($A19="","",IF(COUNTIF('2. Core Log'!$A$5:$A$124,$A19)=0,"Core ID not in Core Log. ","")&amp;IF($E19="","No date source given — RERCA and LORCA need to know which method produced this age. ","")&amp;IF(AND(ISNUMBER($C19),$C19&lt;0),"Negative age: this horizon post-dates the coring year. Check the conversion. ","")&amp;IF(AND(ISNUMBER($G19),$G19&lt;0),"Age reversal — this horizon is younger than one above it. A mixed or disturbed profile may not be datable at all. ","")&amp;IF(AND(ISNUMBER($D19),ISNUMBER($C19),$C19&gt;0,$D19/$C19&gt;0.5),"Age uncertainty exceeds 50% of the age. Usable as an indication only. ","")&amp;IF(AND($D19="",$C19&lt;&gt;""),"No uncertainty given. Every radiometric age has one; a rate without it cannot be defended. ",""))</f>
        <v/>
      </c>
      <c r="J19" s="16">
        <f t="shared" si="0"/>
        <v>0</v>
      </c>
      <c r="K19" s="16" t="str">
        <f>IF(OR($A19="",NOT(ISNUMBER($B19))),"",SUMPRODUCT(MAX(('4. Chronology'!$A$5:$A$204=$A19)*('4. Chronology'!$B$5:$B$204&lt;$B19)*'4. Chronology'!$B$5:$B$204)))</f>
        <v/>
      </c>
    </row>
    <row r="20" spans="1:11" ht="14.5">
      <c r="A20" s="14"/>
      <c r="B20" s="14"/>
      <c r="C20" s="14"/>
      <c r="D20" s="14"/>
      <c r="E20" s="14"/>
      <c r="F20" s="16" t="str">
        <f>IF(OR($A20="",NOT(ISNUMBER($B20))),"",SUMIFS(community_cores_FS!$P$5:$P$597,community_cores_FS!$B$5:$B$597,$A20,community_cores_FS!$F$5:$F$597,"&lt;="&amp;$B20)+SUMPRODUCT((community_cores_FS!$B$5:$B$597=$A20)*(community_cores_FS!$E$5:$E$597&lt;$B20)*(community_cores_FS!$F$5:$F$597&gt;$B20)*community_cores_FS!$R$5:$R$597*($B20-community_cores_FS!$E$5:$E$597)))</f>
        <v/>
      </c>
      <c r="G20" s="16" t="str">
        <f>IF(OR($A20="",NOT(ISNUMBER($B20)),NOT(ISNUMBER($C20))),"",IFERROR(($B20-$K20)/($C20-IF($K20=0,0,SUMIFS('4. Chronology'!$C$5:$C$204,'4. Chronology'!$A$5:$A$204,$A20,'4. Chronology'!$B$5:$B$204,$K20))),""))</f>
        <v/>
      </c>
      <c r="H20" s="16" t="str">
        <f>IF(OR($A20="",NOT(ISNUMBER($F20)),NOT(ISNUMBER($C20))),"",IFERROR((($F20-IF($K20=0,0,SUMIFS('4. Chronology'!$F$5:$F$204,'4. Chronology'!$A$5:$A$204,$A20,'4. Chronology'!$B$5:$B$204,$K20)))*1000)/($C20-IF($K20=0,0,SUMIFS('4. Chronology'!$C$5:$C$204,'4. Chronology'!$A$5:$A$204,$A20,'4. Chronology'!$B$5:$B$204,$K20))),""))</f>
        <v/>
      </c>
      <c r="I20" s="16" t="str">
        <f>IF($A20="","",IF(COUNTIF('2. Core Log'!$A$5:$A$124,$A20)=0,"Core ID not in Core Log. ","")&amp;IF($E20="","No date source given — RERCA and LORCA need to know which method produced this age. ","")&amp;IF(AND(ISNUMBER($C20),$C20&lt;0),"Negative age: this horizon post-dates the coring year. Check the conversion. ","")&amp;IF(AND(ISNUMBER($G20),$G20&lt;0),"Age reversal — this horizon is younger than one above it. A mixed or disturbed profile may not be datable at all. ","")&amp;IF(AND(ISNUMBER($D20),ISNUMBER($C20),$C20&gt;0,$D20/$C20&gt;0.5),"Age uncertainty exceeds 50% of the age. Usable as an indication only. ","")&amp;IF(AND($D20="",$C20&lt;&gt;""),"No uncertainty given. Every radiometric age has one; a rate without it cannot be defended. ",""))</f>
        <v/>
      </c>
      <c r="J20" s="16">
        <f t="shared" si="0"/>
        <v>0</v>
      </c>
      <c r="K20" s="16" t="str">
        <f>IF(OR($A20="",NOT(ISNUMBER($B20))),"",SUMPRODUCT(MAX(('4. Chronology'!$A$5:$A$204=$A20)*('4. Chronology'!$B$5:$B$204&lt;$B20)*'4. Chronology'!$B$5:$B$204)))</f>
        <v/>
      </c>
    </row>
    <row r="21" spans="1:11" ht="15.75" customHeight="1">
      <c r="A21" s="14"/>
      <c r="B21" s="14"/>
      <c r="C21" s="14"/>
      <c r="D21" s="14"/>
      <c r="E21" s="14"/>
      <c r="F21" s="16" t="str">
        <f>IF(OR($A21="",NOT(ISNUMBER($B21))),"",SUMIFS(community_cores_FS!$P$5:$P$597,community_cores_FS!$B$5:$B$597,$A21,community_cores_FS!$F$5:$F$597,"&lt;="&amp;$B21)+SUMPRODUCT((community_cores_FS!$B$5:$B$597=$A21)*(community_cores_FS!$E$5:$E$597&lt;$B21)*(community_cores_FS!$F$5:$F$597&gt;$B21)*community_cores_FS!$R$5:$R$597*($B21-community_cores_FS!$E$5:$E$597)))</f>
        <v/>
      </c>
      <c r="G21" s="16" t="str">
        <f>IF(OR($A21="",NOT(ISNUMBER($B21)),NOT(ISNUMBER($C21))),"",IFERROR(($B21-$K21)/($C21-IF($K21=0,0,SUMIFS('4. Chronology'!$C$5:$C$204,'4. Chronology'!$A$5:$A$204,$A21,'4. Chronology'!$B$5:$B$204,$K21))),""))</f>
        <v/>
      </c>
      <c r="H21" s="16" t="str">
        <f>IF(OR($A21="",NOT(ISNUMBER($F21)),NOT(ISNUMBER($C21))),"",IFERROR((($F21-IF($K21=0,0,SUMIFS('4. Chronology'!$F$5:$F$204,'4. Chronology'!$A$5:$A$204,$A21,'4. Chronology'!$B$5:$B$204,$K21)))*1000)/($C21-IF($K21=0,0,SUMIFS('4. Chronology'!$C$5:$C$204,'4. Chronology'!$A$5:$A$204,$A21,'4. Chronology'!$B$5:$B$204,$K21))),""))</f>
        <v/>
      </c>
      <c r="I21" s="16" t="str">
        <f>IF($A21="","",IF(COUNTIF('2. Core Log'!$A$5:$A$124,$A21)=0,"Core ID not in Core Log. ","")&amp;IF($E21="","No date source given — RERCA and LORCA need to know which method produced this age. ","")&amp;IF(AND(ISNUMBER($C21),$C21&lt;0),"Negative age: this horizon post-dates the coring year. Check the conversion. ","")&amp;IF(AND(ISNUMBER($G21),$G21&lt;0),"Age reversal — this horizon is younger than one above it. A mixed or disturbed profile may not be datable at all. ","")&amp;IF(AND(ISNUMBER($D21),ISNUMBER($C21),$C21&gt;0,$D21/$C21&gt;0.5),"Age uncertainty exceeds 50% of the age. Usable as an indication only. ","")&amp;IF(AND($D21="",$C21&lt;&gt;""),"No uncertainty given. Every radiometric age has one; a rate without it cannot be defended. ",""))</f>
        <v/>
      </c>
      <c r="J21" s="16">
        <f t="shared" si="0"/>
        <v>0</v>
      </c>
      <c r="K21" s="16" t="str">
        <f>IF(OR($A21="",NOT(ISNUMBER($B21))),"",SUMPRODUCT(MAX(('4. Chronology'!$A$5:$A$204=$A21)*('4. Chronology'!$B$5:$B$204&lt;$B21)*'4. Chronology'!$B$5:$B$204)))</f>
        <v/>
      </c>
    </row>
    <row r="22" spans="1:11" ht="15.75" customHeight="1">
      <c r="A22" s="14"/>
      <c r="B22" s="14"/>
      <c r="C22" s="14"/>
      <c r="D22" s="14"/>
      <c r="E22" s="14"/>
      <c r="F22" s="16" t="str">
        <f>IF(OR($A22="",NOT(ISNUMBER($B22))),"",SUMIFS(community_cores_FS!$P$5:$P$597,community_cores_FS!$B$5:$B$597,$A22,community_cores_FS!$F$5:$F$597,"&lt;="&amp;$B22)+SUMPRODUCT((community_cores_FS!$B$5:$B$597=$A22)*(community_cores_FS!$E$5:$E$597&lt;$B22)*(community_cores_FS!$F$5:$F$597&gt;$B22)*community_cores_FS!$R$5:$R$597*($B22-community_cores_FS!$E$5:$E$597)))</f>
        <v/>
      </c>
      <c r="G22" s="16" t="str">
        <f>IF(OR($A22="",NOT(ISNUMBER($B22)),NOT(ISNUMBER($C22))),"",IFERROR(($B22-$K22)/($C22-IF($K22=0,0,SUMIFS('4. Chronology'!$C$5:$C$204,'4. Chronology'!$A$5:$A$204,$A22,'4. Chronology'!$B$5:$B$204,$K22))),""))</f>
        <v/>
      </c>
      <c r="H22" s="16" t="str">
        <f>IF(OR($A22="",NOT(ISNUMBER($F22)),NOT(ISNUMBER($C22))),"",IFERROR((($F22-IF($K22=0,0,SUMIFS('4. Chronology'!$F$5:$F$204,'4. Chronology'!$A$5:$A$204,$A22,'4. Chronology'!$B$5:$B$204,$K22)))*1000)/($C22-IF($K22=0,0,SUMIFS('4. Chronology'!$C$5:$C$204,'4. Chronology'!$A$5:$A$204,$A22,'4. Chronology'!$B$5:$B$204,$K22))),""))</f>
        <v/>
      </c>
      <c r="I22" s="16" t="str">
        <f>IF($A22="","",IF(COUNTIF('2. Core Log'!$A$5:$A$124,$A22)=0,"Core ID not in Core Log. ","")&amp;IF($E22="","No date source given — RERCA and LORCA need to know which method produced this age. ","")&amp;IF(AND(ISNUMBER($C22),$C22&lt;0),"Negative age: this horizon post-dates the coring year. Check the conversion. ","")&amp;IF(AND(ISNUMBER($G22),$G22&lt;0),"Age reversal — this horizon is younger than one above it. A mixed or disturbed profile may not be datable at all. ","")&amp;IF(AND(ISNUMBER($D22),ISNUMBER($C22),$C22&gt;0,$D22/$C22&gt;0.5),"Age uncertainty exceeds 50% of the age. Usable as an indication only. ","")&amp;IF(AND($D22="",$C22&lt;&gt;""),"No uncertainty given. Every radiometric age has one; a rate without it cannot be defended. ",""))</f>
        <v/>
      </c>
      <c r="J22" s="16">
        <f t="shared" si="0"/>
        <v>0</v>
      </c>
      <c r="K22" s="16" t="str">
        <f>IF(OR($A22="",NOT(ISNUMBER($B22))),"",SUMPRODUCT(MAX(('4. Chronology'!$A$5:$A$204=$A22)*('4. Chronology'!$B$5:$B$204&lt;$B22)*'4. Chronology'!$B$5:$B$204)))</f>
        <v/>
      </c>
    </row>
    <row r="23" spans="1:11" ht="15.75" customHeight="1">
      <c r="A23" s="14"/>
      <c r="B23" s="14"/>
      <c r="C23" s="14"/>
      <c r="D23" s="14"/>
      <c r="E23" s="14"/>
      <c r="F23" s="16" t="str">
        <f>IF(OR($A23="",NOT(ISNUMBER($B23))),"",SUMIFS(community_cores_FS!$P$5:$P$597,community_cores_FS!$B$5:$B$597,$A23,community_cores_FS!$F$5:$F$597,"&lt;="&amp;$B23)+SUMPRODUCT((community_cores_FS!$B$5:$B$597=$A23)*(community_cores_FS!$E$5:$E$597&lt;$B23)*(community_cores_FS!$F$5:$F$597&gt;$B23)*community_cores_FS!$R$5:$R$597*($B23-community_cores_FS!$E$5:$E$597)))</f>
        <v/>
      </c>
      <c r="G23" s="16" t="str">
        <f>IF(OR($A23="",NOT(ISNUMBER($B23)),NOT(ISNUMBER($C23))),"",IFERROR(($B23-$K23)/($C23-IF($K23=0,0,SUMIFS('4. Chronology'!$C$5:$C$204,'4. Chronology'!$A$5:$A$204,$A23,'4. Chronology'!$B$5:$B$204,$K23))),""))</f>
        <v/>
      </c>
      <c r="H23" s="16" t="str">
        <f>IF(OR($A23="",NOT(ISNUMBER($F23)),NOT(ISNUMBER($C23))),"",IFERROR((($F23-IF($K23=0,0,SUMIFS('4. Chronology'!$F$5:$F$204,'4. Chronology'!$A$5:$A$204,$A23,'4. Chronology'!$B$5:$B$204,$K23)))*1000)/($C23-IF($K23=0,0,SUMIFS('4. Chronology'!$C$5:$C$204,'4. Chronology'!$A$5:$A$204,$A23,'4. Chronology'!$B$5:$B$204,$K23))),""))</f>
        <v/>
      </c>
      <c r="I23" s="16" t="str">
        <f>IF($A23="","",IF(COUNTIF('2. Core Log'!$A$5:$A$124,$A23)=0,"Core ID not in Core Log. ","")&amp;IF($E23="","No date source given — RERCA and LORCA need to know which method produced this age. ","")&amp;IF(AND(ISNUMBER($C23),$C23&lt;0),"Negative age: this horizon post-dates the coring year. Check the conversion. ","")&amp;IF(AND(ISNUMBER($G23),$G23&lt;0),"Age reversal — this horizon is younger than one above it. A mixed or disturbed profile may not be datable at all. ","")&amp;IF(AND(ISNUMBER($D23),ISNUMBER($C23),$C23&gt;0,$D23/$C23&gt;0.5),"Age uncertainty exceeds 50% of the age. Usable as an indication only. ","")&amp;IF(AND($D23="",$C23&lt;&gt;""),"No uncertainty given. Every radiometric age has one; a rate without it cannot be defended. ",""))</f>
        <v/>
      </c>
      <c r="J23" s="16">
        <f t="shared" si="0"/>
        <v>0</v>
      </c>
      <c r="K23" s="16" t="str">
        <f>IF(OR($A23="",NOT(ISNUMBER($B23))),"",SUMPRODUCT(MAX(('4. Chronology'!$A$5:$A$204=$A23)*('4. Chronology'!$B$5:$B$204&lt;$B23)*'4. Chronology'!$B$5:$B$204)))</f>
        <v/>
      </c>
    </row>
    <row r="24" spans="1:11" ht="15.75" customHeight="1">
      <c r="A24" s="14"/>
      <c r="B24" s="14"/>
      <c r="C24" s="14"/>
      <c r="D24" s="14"/>
      <c r="E24" s="14"/>
      <c r="F24" s="16" t="str">
        <f>IF(OR($A24="",NOT(ISNUMBER($B24))),"",SUMIFS(community_cores_FS!$P$5:$P$597,community_cores_FS!$B$5:$B$597,$A24,community_cores_FS!$F$5:$F$597,"&lt;="&amp;$B24)+SUMPRODUCT((community_cores_FS!$B$5:$B$597=$A24)*(community_cores_FS!$E$5:$E$597&lt;$B24)*(community_cores_FS!$F$5:$F$597&gt;$B24)*community_cores_FS!$R$5:$R$597*($B24-community_cores_FS!$E$5:$E$597)))</f>
        <v/>
      </c>
      <c r="G24" s="16" t="str">
        <f>IF(OR($A24="",NOT(ISNUMBER($B24)),NOT(ISNUMBER($C24))),"",IFERROR(($B24-$K24)/($C24-IF($K24=0,0,SUMIFS('4. Chronology'!$C$5:$C$204,'4. Chronology'!$A$5:$A$204,$A24,'4. Chronology'!$B$5:$B$204,$K24))),""))</f>
        <v/>
      </c>
      <c r="H24" s="16" t="str">
        <f>IF(OR($A24="",NOT(ISNUMBER($F24)),NOT(ISNUMBER($C24))),"",IFERROR((($F24-IF($K24=0,0,SUMIFS('4. Chronology'!$F$5:$F$204,'4. Chronology'!$A$5:$A$204,$A24,'4. Chronology'!$B$5:$B$204,$K24)))*1000)/($C24-IF($K24=0,0,SUMIFS('4. Chronology'!$C$5:$C$204,'4. Chronology'!$A$5:$A$204,$A24,'4. Chronology'!$B$5:$B$204,$K24))),""))</f>
        <v/>
      </c>
      <c r="I24" s="16" t="str">
        <f>IF($A24="","",IF(COUNTIF('2. Core Log'!$A$5:$A$124,$A24)=0,"Core ID not in Core Log. ","")&amp;IF($E24="","No date source given — RERCA and LORCA need to know which method produced this age. ","")&amp;IF(AND(ISNUMBER($C24),$C24&lt;0),"Negative age: this horizon post-dates the coring year. Check the conversion. ","")&amp;IF(AND(ISNUMBER($G24),$G24&lt;0),"Age reversal — this horizon is younger than one above it. A mixed or disturbed profile may not be datable at all. ","")&amp;IF(AND(ISNUMBER($D24),ISNUMBER($C24),$C24&gt;0,$D24/$C24&gt;0.5),"Age uncertainty exceeds 50% of the age. Usable as an indication only. ","")&amp;IF(AND($D24="",$C24&lt;&gt;""),"No uncertainty given. Every radiometric age has one; a rate without it cannot be defended. ",""))</f>
        <v/>
      </c>
      <c r="J24" s="16">
        <f t="shared" si="0"/>
        <v>0</v>
      </c>
      <c r="K24" s="16" t="str">
        <f>IF(OR($A24="",NOT(ISNUMBER($B24))),"",SUMPRODUCT(MAX(('4. Chronology'!$A$5:$A$204=$A24)*('4. Chronology'!$B$5:$B$204&lt;$B24)*'4. Chronology'!$B$5:$B$204)))</f>
        <v/>
      </c>
    </row>
    <row r="25" spans="1:11" ht="15.75" customHeight="1">
      <c r="A25" s="14"/>
      <c r="B25" s="14"/>
      <c r="C25" s="14"/>
      <c r="D25" s="14"/>
      <c r="E25" s="14"/>
      <c r="F25" s="16" t="str">
        <f>IF(OR($A25="",NOT(ISNUMBER($B25))),"",SUMIFS(community_cores_FS!$P$5:$P$597,community_cores_FS!$B$5:$B$597,$A25,community_cores_FS!$F$5:$F$597,"&lt;="&amp;$B25)+SUMPRODUCT((community_cores_FS!$B$5:$B$597=$A25)*(community_cores_FS!$E$5:$E$597&lt;$B25)*(community_cores_FS!$F$5:$F$597&gt;$B25)*community_cores_FS!$R$5:$R$597*($B25-community_cores_FS!$E$5:$E$597)))</f>
        <v/>
      </c>
      <c r="G25" s="16" t="str">
        <f>IF(OR($A25="",NOT(ISNUMBER($B25)),NOT(ISNUMBER($C25))),"",IFERROR(($B25-$K25)/($C25-IF($K25=0,0,SUMIFS('4. Chronology'!$C$5:$C$204,'4. Chronology'!$A$5:$A$204,$A25,'4. Chronology'!$B$5:$B$204,$K25))),""))</f>
        <v/>
      </c>
      <c r="H25" s="16" t="str">
        <f>IF(OR($A25="",NOT(ISNUMBER($F25)),NOT(ISNUMBER($C25))),"",IFERROR((($F25-IF($K25=0,0,SUMIFS('4. Chronology'!$F$5:$F$204,'4. Chronology'!$A$5:$A$204,$A25,'4. Chronology'!$B$5:$B$204,$K25)))*1000)/($C25-IF($K25=0,0,SUMIFS('4. Chronology'!$C$5:$C$204,'4. Chronology'!$A$5:$A$204,$A25,'4. Chronology'!$B$5:$B$204,$K25))),""))</f>
        <v/>
      </c>
      <c r="I25" s="16" t="str">
        <f>IF($A25="","",IF(COUNTIF('2. Core Log'!$A$5:$A$124,$A25)=0,"Core ID not in Core Log. ","")&amp;IF($E25="","No date source given — RERCA and LORCA need to know which method produced this age. ","")&amp;IF(AND(ISNUMBER($C25),$C25&lt;0),"Negative age: this horizon post-dates the coring year. Check the conversion. ","")&amp;IF(AND(ISNUMBER($G25),$G25&lt;0),"Age reversal — this horizon is younger than one above it. A mixed or disturbed profile may not be datable at all. ","")&amp;IF(AND(ISNUMBER($D25),ISNUMBER($C25),$C25&gt;0,$D25/$C25&gt;0.5),"Age uncertainty exceeds 50% of the age. Usable as an indication only. ","")&amp;IF(AND($D25="",$C25&lt;&gt;""),"No uncertainty given. Every radiometric age has one; a rate without it cannot be defended. ",""))</f>
        <v/>
      </c>
      <c r="J25" s="16">
        <f t="shared" si="0"/>
        <v>0</v>
      </c>
      <c r="K25" s="16" t="str">
        <f>IF(OR($A25="",NOT(ISNUMBER($B25))),"",SUMPRODUCT(MAX(('4. Chronology'!$A$5:$A$204=$A25)*('4. Chronology'!$B$5:$B$204&lt;$B25)*'4. Chronology'!$B$5:$B$204)))</f>
        <v/>
      </c>
    </row>
    <row r="26" spans="1:11" ht="15.75" customHeight="1">
      <c r="A26" s="14"/>
      <c r="B26" s="14"/>
      <c r="C26" s="14"/>
      <c r="D26" s="14"/>
      <c r="E26" s="14"/>
      <c r="F26" s="16" t="str">
        <f>IF(OR($A26="",NOT(ISNUMBER($B26))),"",SUMIFS(community_cores_FS!$P$5:$P$597,community_cores_FS!$B$5:$B$597,$A26,community_cores_FS!$F$5:$F$597,"&lt;="&amp;$B26)+SUMPRODUCT((community_cores_FS!$B$5:$B$597=$A26)*(community_cores_FS!$E$5:$E$597&lt;$B26)*(community_cores_FS!$F$5:$F$597&gt;$B26)*community_cores_FS!$R$5:$R$597*($B26-community_cores_FS!$E$5:$E$597)))</f>
        <v/>
      </c>
      <c r="G26" s="16" t="str">
        <f>IF(OR($A26="",NOT(ISNUMBER($B26)),NOT(ISNUMBER($C26))),"",IFERROR(($B26-$K26)/($C26-IF($K26=0,0,SUMIFS('4. Chronology'!$C$5:$C$204,'4. Chronology'!$A$5:$A$204,$A26,'4. Chronology'!$B$5:$B$204,$K26))),""))</f>
        <v/>
      </c>
      <c r="H26" s="16" t="str">
        <f>IF(OR($A26="",NOT(ISNUMBER($F26)),NOT(ISNUMBER($C26))),"",IFERROR((($F26-IF($K26=0,0,SUMIFS('4. Chronology'!$F$5:$F$204,'4. Chronology'!$A$5:$A$204,$A26,'4. Chronology'!$B$5:$B$204,$K26)))*1000)/($C26-IF($K26=0,0,SUMIFS('4. Chronology'!$C$5:$C$204,'4. Chronology'!$A$5:$A$204,$A26,'4. Chronology'!$B$5:$B$204,$K26))),""))</f>
        <v/>
      </c>
      <c r="I26" s="16" t="str">
        <f>IF($A26="","",IF(COUNTIF('2. Core Log'!$A$5:$A$124,$A26)=0,"Core ID not in Core Log. ","")&amp;IF($E26="","No date source given — RERCA and LORCA need to know which method produced this age. ","")&amp;IF(AND(ISNUMBER($C26),$C26&lt;0),"Negative age: this horizon post-dates the coring year. Check the conversion. ","")&amp;IF(AND(ISNUMBER($G26),$G26&lt;0),"Age reversal — this horizon is younger than one above it. A mixed or disturbed profile may not be datable at all. ","")&amp;IF(AND(ISNUMBER($D26),ISNUMBER($C26),$C26&gt;0,$D26/$C26&gt;0.5),"Age uncertainty exceeds 50% of the age. Usable as an indication only. ","")&amp;IF(AND($D26="",$C26&lt;&gt;""),"No uncertainty given. Every radiometric age has one; a rate without it cannot be defended. ",""))</f>
        <v/>
      </c>
      <c r="J26" s="16">
        <f t="shared" si="0"/>
        <v>0</v>
      </c>
      <c r="K26" s="16" t="str">
        <f>IF(OR($A26="",NOT(ISNUMBER($B26))),"",SUMPRODUCT(MAX(('4. Chronology'!$A$5:$A$204=$A26)*('4. Chronology'!$B$5:$B$204&lt;$B26)*'4. Chronology'!$B$5:$B$204)))</f>
        <v/>
      </c>
    </row>
    <row r="27" spans="1:11" ht="15.75" customHeight="1">
      <c r="A27" s="14"/>
      <c r="B27" s="14"/>
      <c r="C27" s="14"/>
      <c r="D27" s="14"/>
      <c r="E27" s="14"/>
      <c r="F27" s="16" t="str">
        <f>IF(OR($A27="",NOT(ISNUMBER($B27))),"",SUMIFS(community_cores_FS!$P$5:$P$597,community_cores_FS!$B$5:$B$597,$A27,community_cores_FS!$F$5:$F$597,"&lt;="&amp;$B27)+SUMPRODUCT((community_cores_FS!$B$5:$B$597=$A27)*(community_cores_FS!$E$5:$E$597&lt;$B27)*(community_cores_FS!$F$5:$F$597&gt;$B27)*community_cores_FS!$R$5:$R$597*($B27-community_cores_FS!$E$5:$E$597)))</f>
        <v/>
      </c>
      <c r="G27" s="16" t="str">
        <f>IF(OR($A27="",NOT(ISNUMBER($B27)),NOT(ISNUMBER($C27))),"",IFERROR(($B27-$K27)/($C27-IF($K27=0,0,SUMIFS('4. Chronology'!$C$5:$C$204,'4. Chronology'!$A$5:$A$204,$A27,'4. Chronology'!$B$5:$B$204,$K27))),""))</f>
        <v/>
      </c>
      <c r="H27" s="16" t="str">
        <f>IF(OR($A27="",NOT(ISNUMBER($F27)),NOT(ISNUMBER($C27))),"",IFERROR((($F27-IF($K27=0,0,SUMIFS('4. Chronology'!$F$5:$F$204,'4. Chronology'!$A$5:$A$204,$A27,'4. Chronology'!$B$5:$B$204,$K27)))*1000)/($C27-IF($K27=0,0,SUMIFS('4. Chronology'!$C$5:$C$204,'4. Chronology'!$A$5:$A$204,$A27,'4. Chronology'!$B$5:$B$204,$K27))),""))</f>
        <v/>
      </c>
      <c r="I27" s="16" t="str">
        <f>IF($A27="","",IF(COUNTIF('2. Core Log'!$A$5:$A$124,$A27)=0,"Core ID not in Core Log. ","")&amp;IF($E27="","No date source given — RERCA and LORCA need to know which method produced this age. ","")&amp;IF(AND(ISNUMBER($C27),$C27&lt;0),"Negative age: this horizon post-dates the coring year. Check the conversion. ","")&amp;IF(AND(ISNUMBER($G27),$G27&lt;0),"Age reversal — this horizon is younger than one above it. A mixed or disturbed profile may not be datable at all. ","")&amp;IF(AND(ISNUMBER($D27),ISNUMBER($C27),$C27&gt;0,$D27/$C27&gt;0.5),"Age uncertainty exceeds 50% of the age. Usable as an indication only. ","")&amp;IF(AND($D27="",$C27&lt;&gt;""),"No uncertainty given. Every radiometric age has one; a rate without it cannot be defended. ",""))</f>
        <v/>
      </c>
      <c r="J27" s="16">
        <f t="shared" si="0"/>
        <v>0</v>
      </c>
      <c r="K27" s="16" t="str">
        <f>IF(OR($A27="",NOT(ISNUMBER($B27))),"",SUMPRODUCT(MAX(('4. Chronology'!$A$5:$A$204=$A27)*('4. Chronology'!$B$5:$B$204&lt;$B27)*'4. Chronology'!$B$5:$B$204)))</f>
        <v/>
      </c>
    </row>
    <row r="28" spans="1:11" ht="15.75" customHeight="1">
      <c r="A28" s="14"/>
      <c r="B28" s="14"/>
      <c r="C28" s="14"/>
      <c r="D28" s="14"/>
      <c r="E28" s="14"/>
      <c r="F28" s="16" t="str">
        <f>IF(OR($A28="",NOT(ISNUMBER($B28))),"",SUMIFS(community_cores_FS!$P$5:$P$597,community_cores_FS!$B$5:$B$597,$A28,community_cores_FS!$F$5:$F$597,"&lt;="&amp;$B28)+SUMPRODUCT((community_cores_FS!$B$5:$B$597=$A28)*(community_cores_FS!$E$5:$E$597&lt;$B28)*(community_cores_FS!$F$5:$F$597&gt;$B28)*community_cores_FS!$R$5:$R$597*($B28-community_cores_FS!$E$5:$E$597)))</f>
        <v/>
      </c>
      <c r="G28" s="16" t="str">
        <f>IF(OR($A28="",NOT(ISNUMBER($B28)),NOT(ISNUMBER($C28))),"",IFERROR(($B28-$K28)/($C28-IF($K28=0,0,SUMIFS('4. Chronology'!$C$5:$C$204,'4. Chronology'!$A$5:$A$204,$A28,'4. Chronology'!$B$5:$B$204,$K28))),""))</f>
        <v/>
      </c>
      <c r="H28" s="16" t="str">
        <f>IF(OR($A28="",NOT(ISNUMBER($F28)),NOT(ISNUMBER($C28))),"",IFERROR((($F28-IF($K28=0,0,SUMIFS('4. Chronology'!$F$5:$F$204,'4. Chronology'!$A$5:$A$204,$A28,'4. Chronology'!$B$5:$B$204,$K28)))*1000)/($C28-IF($K28=0,0,SUMIFS('4. Chronology'!$C$5:$C$204,'4. Chronology'!$A$5:$A$204,$A28,'4. Chronology'!$B$5:$B$204,$K28))),""))</f>
        <v/>
      </c>
      <c r="I28" s="16" t="str">
        <f>IF($A28="","",IF(COUNTIF('2. Core Log'!$A$5:$A$124,$A28)=0,"Core ID not in Core Log. ","")&amp;IF($E28="","No date source given — RERCA and LORCA need to know which method produced this age. ","")&amp;IF(AND(ISNUMBER($C28),$C28&lt;0),"Negative age: this horizon post-dates the coring year. Check the conversion. ","")&amp;IF(AND(ISNUMBER($G28),$G28&lt;0),"Age reversal — this horizon is younger than one above it. A mixed or disturbed profile may not be datable at all. ","")&amp;IF(AND(ISNUMBER($D28),ISNUMBER($C28),$C28&gt;0,$D28/$C28&gt;0.5),"Age uncertainty exceeds 50% of the age. Usable as an indication only. ","")&amp;IF(AND($D28="",$C28&lt;&gt;""),"No uncertainty given. Every radiometric age has one; a rate without it cannot be defended. ",""))</f>
        <v/>
      </c>
      <c r="J28" s="16">
        <f t="shared" si="0"/>
        <v>0</v>
      </c>
      <c r="K28" s="16" t="str">
        <f>IF(OR($A28="",NOT(ISNUMBER($B28))),"",SUMPRODUCT(MAX(('4. Chronology'!$A$5:$A$204=$A28)*('4. Chronology'!$B$5:$B$204&lt;$B28)*'4. Chronology'!$B$5:$B$204)))</f>
        <v/>
      </c>
    </row>
    <row r="29" spans="1:11" ht="15.75" customHeight="1">
      <c r="A29" s="14"/>
      <c r="B29" s="14"/>
      <c r="C29" s="14"/>
      <c r="D29" s="14"/>
      <c r="E29" s="14"/>
      <c r="F29" s="16" t="str">
        <f>IF(OR($A29="",NOT(ISNUMBER($B29))),"",SUMIFS(community_cores_FS!$P$5:$P$597,community_cores_FS!$B$5:$B$597,$A29,community_cores_FS!$F$5:$F$597,"&lt;="&amp;$B29)+SUMPRODUCT((community_cores_FS!$B$5:$B$597=$A29)*(community_cores_FS!$E$5:$E$597&lt;$B29)*(community_cores_FS!$F$5:$F$597&gt;$B29)*community_cores_FS!$R$5:$R$597*($B29-community_cores_FS!$E$5:$E$597)))</f>
        <v/>
      </c>
      <c r="G29" s="16" t="str">
        <f>IF(OR($A29="",NOT(ISNUMBER($B29)),NOT(ISNUMBER($C29))),"",IFERROR(($B29-$K29)/($C29-IF($K29=0,0,SUMIFS('4. Chronology'!$C$5:$C$204,'4. Chronology'!$A$5:$A$204,$A29,'4. Chronology'!$B$5:$B$204,$K29))),""))</f>
        <v/>
      </c>
      <c r="H29" s="16" t="str">
        <f>IF(OR($A29="",NOT(ISNUMBER($F29)),NOT(ISNUMBER($C29))),"",IFERROR((($F29-IF($K29=0,0,SUMIFS('4. Chronology'!$F$5:$F$204,'4. Chronology'!$A$5:$A$204,$A29,'4. Chronology'!$B$5:$B$204,$K29)))*1000)/($C29-IF($K29=0,0,SUMIFS('4. Chronology'!$C$5:$C$204,'4. Chronology'!$A$5:$A$204,$A29,'4. Chronology'!$B$5:$B$204,$K29))),""))</f>
        <v/>
      </c>
      <c r="I29" s="16" t="str">
        <f>IF($A29="","",IF(COUNTIF('2. Core Log'!$A$5:$A$124,$A29)=0,"Core ID not in Core Log. ","")&amp;IF($E29="","No date source given — RERCA and LORCA need to know which method produced this age. ","")&amp;IF(AND(ISNUMBER($C29),$C29&lt;0),"Negative age: this horizon post-dates the coring year. Check the conversion. ","")&amp;IF(AND(ISNUMBER($G29),$G29&lt;0),"Age reversal — this horizon is younger than one above it. A mixed or disturbed profile may not be datable at all. ","")&amp;IF(AND(ISNUMBER($D29),ISNUMBER($C29),$C29&gt;0,$D29/$C29&gt;0.5),"Age uncertainty exceeds 50% of the age. Usable as an indication only. ","")&amp;IF(AND($D29="",$C29&lt;&gt;""),"No uncertainty given. Every radiometric age has one; a rate without it cannot be defended. ",""))</f>
        <v/>
      </c>
      <c r="J29" s="16">
        <f t="shared" si="0"/>
        <v>0</v>
      </c>
      <c r="K29" s="16" t="str">
        <f>IF(OR($A29="",NOT(ISNUMBER($B29))),"",SUMPRODUCT(MAX(('4. Chronology'!$A$5:$A$204=$A29)*('4. Chronology'!$B$5:$B$204&lt;$B29)*'4. Chronology'!$B$5:$B$204)))</f>
        <v/>
      </c>
    </row>
    <row r="30" spans="1:11" ht="15.75" customHeight="1">
      <c r="A30" s="14"/>
      <c r="B30" s="14"/>
      <c r="C30" s="14"/>
      <c r="D30" s="14"/>
      <c r="E30" s="14"/>
      <c r="F30" s="16" t="str">
        <f>IF(OR($A30="",NOT(ISNUMBER($B30))),"",SUMIFS(community_cores_FS!$P$5:$P$597,community_cores_FS!$B$5:$B$597,$A30,community_cores_FS!$F$5:$F$597,"&lt;="&amp;$B30)+SUMPRODUCT((community_cores_FS!$B$5:$B$597=$A30)*(community_cores_FS!$E$5:$E$597&lt;$B30)*(community_cores_FS!$F$5:$F$597&gt;$B30)*community_cores_FS!$R$5:$R$597*($B30-community_cores_FS!$E$5:$E$597)))</f>
        <v/>
      </c>
      <c r="G30" s="16" t="str">
        <f>IF(OR($A30="",NOT(ISNUMBER($B30)),NOT(ISNUMBER($C30))),"",IFERROR(($B30-$K30)/($C30-IF($K30=0,0,SUMIFS('4. Chronology'!$C$5:$C$204,'4. Chronology'!$A$5:$A$204,$A30,'4. Chronology'!$B$5:$B$204,$K30))),""))</f>
        <v/>
      </c>
      <c r="H30" s="16" t="str">
        <f>IF(OR($A30="",NOT(ISNUMBER($F30)),NOT(ISNUMBER($C30))),"",IFERROR((($F30-IF($K30=0,0,SUMIFS('4. Chronology'!$F$5:$F$204,'4. Chronology'!$A$5:$A$204,$A30,'4. Chronology'!$B$5:$B$204,$K30)))*1000)/($C30-IF($K30=0,0,SUMIFS('4. Chronology'!$C$5:$C$204,'4. Chronology'!$A$5:$A$204,$A30,'4. Chronology'!$B$5:$B$204,$K30))),""))</f>
        <v/>
      </c>
      <c r="I30" s="16" t="str">
        <f>IF($A30="","",IF(COUNTIF('2. Core Log'!$A$5:$A$124,$A30)=0,"Core ID not in Core Log. ","")&amp;IF($E30="","No date source given — RERCA and LORCA need to know which method produced this age. ","")&amp;IF(AND(ISNUMBER($C30),$C30&lt;0),"Negative age: this horizon post-dates the coring year. Check the conversion. ","")&amp;IF(AND(ISNUMBER($G30),$G30&lt;0),"Age reversal — this horizon is younger than one above it. A mixed or disturbed profile may not be datable at all. ","")&amp;IF(AND(ISNUMBER($D30),ISNUMBER($C30),$C30&gt;0,$D30/$C30&gt;0.5),"Age uncertainty exceeds 50% of the age. Usable as an indication only. ","")&amp;IF(AND($D30="",$C30&lt;&gt;""),"No uncertainty given. Every radiometric age has one; a rate without it cannot be defended. ",""))</f>
        <v/>
      </c>
      <c r="J30" s="16">
        <f t="shared" si="0"/>
        <v>0</v>
      </c>
      <c r="K30" s="16" t="str">
        <f>IF(OR($A30="",NOT(ISNUMBER($B30))),"",SUMPRODUCT(MAX(('4. Chronology'!$A$5:$A$204=$A30)*('4. Chronology'!$B$5:$B$204&lt;$B30)*'4. Chronology'!$B$5:$B$204)))</f>
        <v/>
      </c>
    </row>
    <row r="31" spans="1:11" ht="15.75" customHeight="1">
      <c r="A31" s="14"/>
      <c r="B31" s="14"/>
      <c r="C31" s="14"/>
      <c r="D31" s="14"/>
      <c r="E31" s="14"/>
      <c r="F31" s="16" t="str">
        <f>IF(OR($A31="",NOT(ISNUMBER($B31))),"",SUMIFS(community_cores_FS!$P$5:$P$597,community_cores_FS!$B$5:$B$597,$A31,community_cores_FS!$F$5:$F$597,"&lt;="&amp;$B31)+SUMPRODUCT((community_cores_FS!$B$5:$B$597=$A31)*(community_cores_FS!$E$5:$E$597&lt;$B31)*(community_cores_FS!$F$5:$F$597&gt;$B31)*community_cores_FS!$R$5:$R$597*($B31-community_cores_FS!$E$5:$E$597)))</f>
        <v/>
      </c>
      <c r="G31" s="16" t="str">
        <f>IF(OR($A31="",NOT(ISNUMBER($B31)),NOT(ISNUMBER($C31))),"",IFERROR(($B31-$K31)/($C31-IF($K31=0,0,SUMIFS('4. Chronology'!$C$5:$C$204,'4. Chronology'!$A$5:$A$204,$A31,'4. Chronology'!$B$5:$B$204,$K31))),""))</f>
        <v/>
      </c>
      <c r="H31" s="16" t="str">
        <f>IF(OR($A31="",NOT(ISNUMBER($F31)),NOT(ISNUMBER($C31))),"",IFERROR((($F31-IF($K31=0,0,SUMIFS('4. Chronology'!$F$5:$F$204,'4. Chronology'!$A$5:$A$204,$A31,'4. Chronology'!$B$5:$B$204,$K31)))*1000)/($C31-IF($K31=0,0,SUMIFS('4. Chronology'!$C$5:$C$204,'4. Chronology'!$A$5:$A$204,$A31,'4. Chronology'!$B$5:$B$204,$K31))),""))</f>
        <v/>
      </c>
      <c r="I31" s="16" t="str">
        <f>IF($A31="","",IF(COUNTIF('2. Core Log'!$A$5:$A$124,$A31)=0,"Core ID not in Core Log. ","")&amp;IF($E31="","No date source given — RERCA and LORCA need to know which method produced this age. ","")&amp;IF(AND(ISNUMBER($C31),$C31&lt;0),"Negative age: this horizon post-dates the coring year. Check the conversion. ","")&amp;IF(AND(ISNUMBER($G31),$G31&lt;0),"Age reversal — this horizon is younger than one above it. A mixed or disturbed profile may not be datable at all. ","")&amp;IF(AND(ISNUMBER($D31),ISNUMBER($C31),$C31&gt;0,$D31/$C31&gt;0.5),"Age uncertainty exceeds 50% of the age. Usable as an indication only. ","")&amp;IF(AND($D31="",$C31&lt;&gt;""),"No uncertainty given. Every radiometric age has one; a rate without it cannot be defended. ",""))</f>
        <v/>
      </c>
      <c r="J31" s="16">
        <f t="shared" si="0"/>
        <v>0</v>
      </c>
      <c r="K31" s="16" t="str">
        <f>IF(OR($A31="",NOT(ISNUMBER($B31))),"",SUMPRODUCT(MAX(('4. Chronology'!$A$5:$A$204=$A31)*('4. Chronology'!$B$5:$B$204&lt;$B31)*'4. Chronology'!$B$5:$B$204)))</f>
        <v/>
      </c>
    </row>
    <row r="32" spans="1:11" ht="15.75" customHeight="1">
      <c r="A32" s="14"/>
      <c r="B32" s="14"/>
      <c r="C32" s="14"/>
      <c r="D32" s="14"/>
      <c r="E32" s="14"/>
      <c r="F32" s="16" t="str">
        <f>IF(OR($A32="",NOT(ISNUMBER($B32))),"",SUMIFS(community_cores_FS!$P$5:$P$597,community_cores_FS!$B$5:$B$597,$A32,community_cores_FS!$F$5:$F$597,"&lt;="&amp;$B32)+SUMPRODUCT((community_cores_FS!$B$5:$B$597=$A32)*(community_cores_FS!$E$5:$E$597&lt;$B32)*(community_cores_FS!$F$5:$F$597&gt;$B32)*community_cores_FS!$R$5:$R$597*($B32-community_cores_FS!$E$5:$E$597)))</f>
        <v/>
      </c>
      <c r="G32" s="16" t="str">
        <f>IF(OR($A32="",NOT(ISNUMBER($B32)),NOT(ISNUMBER($C32))),"",IFERROR(($B32-$K32)/($C32-IF($K32=0,0,SUMIFS('4. Chronology'!$C$5:$C$204,'4. Chronology'!$A$5:$A$204,$A32,'4. Chronology'!$B$5:$B$204,$K32))),""))</f>
        <v/>
      </c>
      <c r="H32" s="16" t="str">
        <f>IF(OR($A32="",NOT(ISNUMBER($F32)),NOT(ISNUMBER($C32))),"",IFERROR((($F32-IF($K32=0,0,SUMIFS('4. Chronology'!$F$5:$F$204,'4. Chronology'!$A$5:$A$204,$A32,'4. Chronology'!$B$5:$B$204,$K32)))*1000)/($C32-IF($K32=0,0,SUMIFS('4. Chronology'!$C$5:$C$204,'4. Chronology'!$A$5:$A$204,$A32,'4. Chronology'!$B$5:$B$204,$K32))),""))</f>
        <v/>
      </c>
      <c r="I32" s="16" t="str">
        <f>IF($A32="","",IF(COUNTIF('2. Core Log'!$A$5:$A$124,$A32)=0,"Core ID not in Core Log. ","")&amp;IF($E32="","No date source given — RERCA and LORCA need to know which method produced this age. ","")&amp;IF(AND(ISNUMBER($C32),$C32&lt;0),"Negative age: this horizon post-dates the coring year. Check the conversion. ","")&amp;IF(AND(ISNUMBER($G32),$G32&lt;0),"Age reversal — this horizon is younger than one above it. A mixed or disturbed profile may not be datable at all. ","")&amp;IF(AND(ISNUMBER($D32),ISNUMBER($C32),$C32&gt;0,$D32/$C32&gt;0.5),"Age uncertainty exceeds 50% of the age. Usable as an indication only. ","")&amp;IF(AND($D32="",$C32&lt;&gt;""),"No uncertainty given. Every radiometric age has one; a rate without it cannot be defended. ",""))</f>
        <v/>
      </c>
      <c r="J32" s="16">
        <f t="shared" si="0"/>
        <v>0</v>
      </c>
      <c r="K32" s="16" t="str">
        <f>IF(OR($A32="",NOT(ISNUMBER($B32))),"",SUMPRODUCT(MAX(('4. Chronology'!$A$5:$A$204=$A32)*('4. Chronology'!$B$5:$B$204&lt;$B32)*'4. Chronology'!$B$5:$B$204)))</f>
        <v/>
      </c>
    </row>
    <row r="33" spans="1:11" ht="15.75" customHeight="1">
      <c r="A33" s="14"/>
      <c r="B33" s="14"/>
      <c r="C33" s="14"/>
      <c r="D33" s="14"/>
      <c r="E33" s="14"/>
      <c r="F33" s="16" t="str">
        <f>IF(OR($A33="",NOT(ISNUMBER($B33))),"",SUMIFS(community_cores_FS!$P$5:$P$597,community_cores_FS!$B$5:$B$597,$A33,community_cores_FS!$F$5:$F$597,"&lt;="&amp;$B33)+SUMPRODUCT((community_cores_FS!$B$5:$B$597=$A33)*(community_cores_FS!$E$5:$E$597&lt;$B33)*(community_cores_FS!$F$5:$F$597&gt;$B33)*community_cores_FS!$R$5:$R$597*($B33-community_cores_FS!$E$5:$E$597)))</f>
        <v/>
      </c>
      <c r="G33" s="16" t="str">
        <f>IF(OR($A33="",NOT(ISNUMBER($B33)),NOT(ISNUMBER($C33))),"",IFERROR(($B33-$K33)/($C33-IF($K33=0,0,SUMIFS('4. Chronology'!$C$5:$C$204,'4. Chronology'!$A$5:$A$204,$A33,'4. Chronology'!$B$5:$B$204,$K33))),""))</f>
        <v/>
      </c>
      <c r="H33" s="16" t="str">
        <f>IF(OR($A33="",NOT(ISNUMBER($F33)),NOT(ISNUMBER($C33))),"",IFERROR((($F33-IF($K33=0,0,SUMIFS('4. Chronology'!$F$5:$F$204,'4. Chronology'!$A$5:$A$204,$A33,'4. Chronology'!$B$5:$B$204,$K33)))*1000)/($C33-IF($K33=0,0,SUMIFS('4. Chronology'!$C$5:$C$204,'4. Chronology'!$A$5:$A$204,$A33,'4. Chronology'!$B$5:$B$204,$K33))),""))</f>
        <v/>
      </c>
      <c r="I33" s="16" t="str">
        <f>IF($A33="","",IF(COUNTIF('2. Core Log'!$A$5:$A$124,$A33)=0,"Core ID not in Core Log. ","")&amp;IF($E33="","No date source given — RERCA and LORCA need to know which method produced this age. ","")&amp;IF(AND(ISNUMBER($C33),$C33&lt;0),"Negative age: this horizon post-dates the coring year. Check the conversion. ","")&amp;IF(AND(ISNUMBER($G33),$G33&lt;0),"Age reversal — this horizon is younger than one above it. A mixed or disturbed profile may not be datable at all. ","")&amp;IF(AND(ISNUMBER($D33),ISNUMBER($C33),$C33&gt;0,$D33/$C33&gt;0.5),"Age uncertainty exceeds 50% of the age. Usable as an indication only. ","")&amp;IF(AND($D33="",$C33&lt;&gt;""),"No uncertainty given. Every radiometric age has one; a rate without it cannot be defended. ",""))</f>
        <v/>
      </c>
      <c r="J33" s="16">
        <f t="shared" si="0"/>
        <v>0</v>
      </c>
      <c r="K33" s="16" t="str">
        <f>IF(OR($A33="",NOT(ISNUMBER($B33))),"",SUMPRODUCT(MAX(('4. Chronology'!$A$5:$A$204=$A33)*('4. Chronology'!$B$5:$B$204&lt;$B33)*'4. Chronology'!$B$5:$B$204)))</f>
        <v/>
      </c>
    </row>
    <row r="34" spans="1:11" ht="15.75" customHeight="1">
      <c r="A34" s="14"/>
      <c r="B34" s="14"/>
      <c r="C34" s="14"/>
      <c r="D34" s="14"/>
      <c r="E34" s="14"/>
      <c r="F34" s="16" t="str">
        <f>IF(OR($A34="",NOT(ISNUMBER($B34))),"",SUMIFS(community_cores_FS!$P$5:$P$597,community_cores_FS!$B$5:$B$597,$A34,community_cores_FS!$F$5:$F$597,"&lt;="&amp;$B34)+SUMPRODUCT((community_cores_FS!$B$5:$B$597=$A34)*(community_cores_FS!$E$5:$E$597&lt;$B34)*(community_cores_FS!$F$5:$F$597&gt;$B34)*community_cores_FS!$R$5:$R$597*($B34-community_cores_FS!$E$5:$E$597)))</f>
        <v/>
      </c>
      <c r="G34" s="16" t="str">
        <f>IF(OR($A34="",NOT(ISNUMBER($B34)),NOT(ISNUMBER($C34))),"",IFERROR(($B34-$K34)/($C34-IF($K34=0,0,SUMIFS('4. Chronology'!$C$5:$C$204,'4. Chronology'!$A$5:$A$204,$A34,'4. Chronology'!$B$5:$B$204,$K34))),""))</f>
        <v/>
      </c>
      <c r="H34" s="16" t="str">
        <f>IF(OR($A34="",NOT(ISNUMBER($F34)),NOT(ISNUMBER($C34))),"",IFERROR((($F34-IF($K34=0,0,SUMIFS('4. Chronology'!$F$5:$F$204,'4. Chronology'!$A$5:$A$204,$A34,'4. Chronology'!$B$5:$B$204,$K34)))*1000)/($C34-IF($K34=0,0,SUMIFS('4. Chronology'!$C$5:$C$204,'4. Chronology'!$A$5:$A$204,$A34,'4. Chronology'!$B$5:$B$204,$K34))),""))</f>
        <v/>
      </c>
      <c r="I34" s="16" t="str">
        <f>IF($A34="","",IF(COUNTIF('2. Core Log'!$A$5:$A$124,$A34)=0,"Core ID not in Core Log. ","")&amp;IF($E34="","No date source given — RERCA and LORCA need to know which method produced this age. ","")&amp;IF(AND(ISNUMBER($C34),$C34&lt;0),"Negative age: this horizon post-dates the coring year. Check the conversion. ","")&amp;IF(AND(ISNUMBER($G34),$G34&lt;0),"Age reversal — this horizon is younger than one above it. A mixed or disturbed profile may not be datable at all. ","")&amp;IF(AND(ISNUMBER($D34),ISNUMBER($C34),$C34&gt;0,$D34/$C34&gt;0.5),"Age uncertainty exceeds 50% of the age. Usable as an indication only. ","")&amp;IF(AND($D34="",$C34&lt;&gt;""),"No uncertainty given. Every radiometric age has one; a rate without it cannot be defended. ",""))</f>
        <v/>
      </c>
      <c r="J34" s="16">
        <f t="shared" si="0"/>
        <v>0</v>
      </c>
      <c r="K34" s="16" t="str">
        <f>IF(OR($A34="",NOT(ISNUMBER($B34))),"",SUMPRODUCT(MAX(('4. Chronology'!$A$5:$A$204=$A34)*('4. Chronology'!$B$5:$B$204&lt;$B34)*'4. Chronology'!$B$5:$B$204)))</f>
        <v/>
      </c>
    </row>
    <row r="35" spans="1:11" ht="15.75" customHeight="1">
      <c r="A35" s="14"/>
      <c r="B35" s="14"/>
      <c r="C35" s="14"/>
      <c r="D35" s="14"/>
      <c r="E35" s="14"/>
      <c r="F35" s="16" t="str">
        <f>IF(OR($A35="",NOT(ISNUMBER($B35))),"",SUMIFS(community_cores_FS!$P$5:$P$597,community_cores_FS!$B$5:$B$597,$A35,community_cores_FS!$F$5:$F$597,"&lt;="&amp;$B35)+SUMPRODUCT((community_cores_FS!$B$5:$B$597=$A35)*(community_cores_FS!$E$5:$E$597&lt;$B35)*(community_cores_FS!$F$5:$F$597&gt;$B35)*community_cores_FS!$R$5:$R$597*($B35-community_cores_FS!$E$5:$E$597)))</f>
        <v/>
      </c>
      <c r="G35" s="16" t="str">
        <f>IF(OR($A35="",NOT(ISNUMBER($B35)),NOT(ISNUMBER($C35))),"",IFERROR(($B35-$K35)/($C35-IF($K35=0,0,SUMIFS('4. Chronology'!$C$5:$C$204,'4. Chronology'!$A$5:$A$204,$A35,'4. Chronology'!$B$5:$B$204,$K35))),""))</f>
        <v/>
      </c>
      <c r="H35" s="16" t="str">
        <f>IF(OR($A35="",NOT(ISNUMBER($F35)),NOT(ISNUMBER($C35))),"",IFERROR((($F35-IF($K35=0,0,SUMIFS('4. Chronology'!$F$5:$F$204,'4. Chronology'!$A$5:$A$204,$A35,'4. Chronology'!$B$5:$B$204,$K35)))*1000)/($C35-IF($K35=0,0,SUMIFS('4. Chronology'!$C$5:$C$204,'4. Chronology'!$A$5:$A$204,$A35,'4. Chronology'!$B$5:$B$204,$K35))),""))</f>
        <v/>
      </c>
      <c r="I35" s="16" t="str">
        <f>IF($A35="","",IF(COUNTIF('2. Core Log'!$A$5:$A$124,$A35)=0,"Core ID not in Core Log. ","")&amp;IF($E35="","No date source given — RERCA and LORCA need to know which method produced this age. ","")&amp;IF(AND(ISNUMBER($C35),$C35&lt;0),"Negative age: this horizon post-dates the coring year. Check the conversion. ","")&amp;IF(AND(ISNUMBER($G35),$G35&lt;0),"Age reversal — this horizon is younger than one above it. A mixed or disturbed profile may not be datable at all. ","")&amp;IF(AND(ISNUMBER($D35),ISNUMBER($C35),$C35&gt;0,$D35/$C35&gt;0.5),"Age uncertainty exceeds 50% of the age. Usable as an indication only. ","")&amp;IF(AND($D35="",$C35&lt;&gt;""),"No uncertainty given. Every radiometric age has one; a rate without it cannot be defended. ",""))</f>
        <v/>
      </c>
      <c r="J35" s="16">
        <f t="shared" si="0"/>
        <v>0</v>
      </c>
      <c r="K35" s="16" t="str">
        <f>IF(OR($A35="",NOT(ISNUMBER($B35))),"",SUMPRODUCT(MAX(('4. Chronology'!$A$5:$A$204=$A35)*('4. Chronology'!$B$5:$B$204&lt;$B35)*'4. Chronology'!$B$5:$B$204)))</f>
        <v/>
      </c>
    </row>
    <row r="36" spans="1:11" ht="15.75" customHeight="1">
      <c r="A36" s="14"/>
      <c r="B36" s="14"/>
      <c r="C36" s="14"/>
      <c r="D36" s="14"/>
      <c r="E36" s="14"/>
      <c r="F36" s="16" t="str">
        <f>IF(OR($A36="",NOT(ISNUMBER($B36))),"",SUMIFS(community_cores_FS!$P$5:$P$597,community_cores_FS!$B$5:$B$597,$A36,community_cores_FS!$F$5:$F$597,"&lt;="&amp;$B36)+SUMPRODUCT((community_cores_FS!$B$5:$B$597=$A36)*(community_cores_FS!$E$5:$E$597&lt;$B36)*(community_cores_FS!$F$5:$F$597&gt;$B36)*community_cores_FS!$R$5:$R$597*($B36-community_cores_FS!$E$5:$E$597)))</f>
        <v/>
      </c>
      <c r="G36" s="16" t="str">
        <f>IF(OR($A36="",NOT(ISNUMBER($B36)),NOT(ISNUMBER($C36))),"",IFERROR(($B36-$K36)/($C36-IF($K36=0,0,SUMIFS('4. Chronology'!$C$5:$C$204,'4. Chronology'!$A$5:$A$204,$A36,'4. Chronology'!$B$5:$B$204,$K36))),""))</f>
        <v/>
      </c>
      <c r="H36" s="16" t="str">
        <f>IF(OR($A36="",NOT(ISNUMBER($F36)),NOT(ISNUMBER($C36))),"",IFERROR((($F36-IF($K36=0,0,SUMIFS('4. Chronology'!$F$5:$F$204,'4. Chronology'!$A$5:$A$204,$A36,'4. Chronology'!$B$5:$B$204,$K36)))*1000)/($C36-IF($K36=0,0,SUMIFS('4. Chronology'!$C$5:$C$204,'4. Chronology'!$A$5:$A$204,$A36,'4. Chronology'!$B$5:$B$204,$K36))),""))</f>
        <v/>
      </c>
      <c r="I36" s="16" t="str">
        <f>IF($A36="","",IF(COUNTIF('2. Core Log'!$A$5:$A$124,$A36)=0,"Core ID not in Core Log. ","")&amp;IF($E36="","No date source given — RERCA and LORCA need to know which method produced this age. ","")&amp;IF(AND(ISNUMBER($C36),$C36&lt;0),"Negative age: this horizon post-dates the coring year. Check the conversion. ","")&amp;IF(AND(ISNUMBER($G36),$G36&lt;0),"Age reversal — this horizon is younger than one above it. A mixed or disturbed profile may not be datable at all. ","")&amp;IF(AND(ISNUMBER($D36),ISNUMBER($C36),$C36&gt;0,$D36/$C36&gt;0.5),"Age uncertainty exceeds 50% of the age. Usable as an indication only. ","")&amp;IF(AND($D36="",$C36&lt;&gt;""),"No uncertainty given. Every radiometric age has one; a rate without it cannot be defended. ",""))</f>
        <v/>
      </c>
      <c r="J36" s="16">
        <f t="shared" si="0"/>
        <v>0</v>
      </c>
      <c r="K36" s="16" t="str">
        <f>IF(OR($A36="",NOT(ISNUMBER($B36))),"",SUMPRODUCT(MAX(('4. Chronology'!$A$5:$A$204=$A36)*('4. Chronology'!$B$5:$B$204&lt;$B36)*'4. Chronology'!$B$5:$B$204)))</f>
        <v/>
      </c>
    </row>
    <row r="37" spans="1:11" ht="15.75" customHeight="1">
      <c r="A37" s="14"/>
      <c r="B37" s="14"/>
      <c r="C37" s="14"/>
      <c r="D37" s="14"/>
      <c r="E37" s="14"/>
      <c r="F37" s="16" t="str">
        <f>IF(OR($A37="",NOT(ISNUMBER($B37))),"",SUMIFS(community_cores_FS!$P$5:$P$597,community_cores_FS!$B$5:$B$597,$A37,community_cores_FS!$F$5:$F$597,"&lt;="&amp;$B37)+SUMPRODUCT((community_cores_FS!$B$5:$B$597=$A37)*(community_cores_FS!$E$5:$E$597&lt;$B37)*(community_cores_FS!$F$5:$F$597&gt;$B37)*community_cores_FS!$R$5:$R$597*($B37-community_cores_FS!$E$5:$E$597)))</f>
        <v/>
      </c>
      <c r="G37" s="16" t="str">
        <f>IF(OR($A37="",NOT(ISNUMBER($B37)),NOT(ISNUMBER($C37))),"",IFERROR(($B37-$K37)/($C37-IF($K37=0,0,SUMIFS('4. Chronology'!$C$5:$C$204,'4. Chronology'!$A$5:$A$204,$A37,'4. Chronology'!$B$5:$B$204,$K37))),""))</f>
        <v/>
      </c>
      <c r="H37" s="16" t="str">
        <f>IF(OR($A37="",NOT(ISNUMBER($F37)),NOT(ISNUMBER($C37))),"",IFERROR((($F37-IF($K37=0,0,SUMIFS('4. Chronology'!$F$5:$F$204,'4. Chronology'!$A$5:$A$204,$A37,'4. Chronology'!$B$5:$B$204,$K37)))*1000)/($C37-IF($K37=0,0,SUMIFS('4. Chronology'!$C$5:$C$204,'4. Chronology'!$A$5:$A$204,$A37,'4. Chronology'!$B$5:$B$204,$K37))),""))</f>
        <v/>
      </c>
      <c r="I37" s="16" t="str">
        <f>IF($A37="","",IF(COUNTIF('2. Core Log'!$A$5:$A$124,$A37)=0,"Core ID not in Core Log. ","")&amp;IF($E37="","No date source given — RERCA and LORCA need to know which method produced this age. ","")&amp;IF(AND(ISNUMBER($C37),$C37&lt;0),"Negative age: this horizon post-dates the coring year. Check the conversion. ","")&amp;IF(AND(ISNUMBER($G37),$G37&lt;0),"Age reversal — this horizon is younger than one above it. A mixed or disturbed profile may not be datable at all. ","")&amp;IF(AND(ISNUMBER($D37),ISNUMBER($C37),$C37&gt;0,$D37/$C37&gt;0.5),"Age uncertainty exceeds 50% of the age. Usable as an indication only. ","")&amp;IF(AND($D37="",$C37&lt;&gt;""),"No uncertainty given. Every radiometric age has one; a rate without it cannot be defended. ",""))</f>
        <v/>
      </c>
      <c r="J37" s="16">
        <f t="shared" si="0"/>
        <v>0</v>
      </c>
      <c r="K37" s="16" t="str">
        <f>IF(OR($A37="",NOT(ISNUMBER($B37))),"",SUMPRODUCT(MAX(('4. Chronology'!$A$5:$A$204=$A37)*('4. Chronology'!$B$5:$B$204&lt;$B37)*'4. Chronology'!$B$5:$B$204)))</f>
        <v/>
      </c>
    </row>
    <row r="38" spans="1:11" ht="15.75" customHeight="1">
      <c r="A38" s="14"/>
      <c r="B38" s="14"/>
      <c r="C38" s="14"/>
      <c r="D38" s="14"/>
      <c r="E38" s="14"/>
      <c r="F38" s="16" t="str">
        <f>IF(OR($A38="",NOT(ISNUMBER($B38))),"",SUMIFS(community_cores_FS!$P$5:$P$597,community_cores_FS!$B$5:$B$597,$A38,community_cores_FS!$F$5:$F$597,"&lt;="&amp;$B38)+SUMPRODUCT((community_cores_FS!$B$5:$B$597=$A38)*(community_cores_FS!$E$5:$E$597&lt;$B38)*(community_cores_FS!$F$5:$F$597&gt;$B38)*community_cores_FS!$R$5:$R$597*($B38-community_cores_FS!$E$5:$E$597)))</f>
        <v/>
      </c>
      <c r="G38" s="16" t="str">
        <f>IF(OR($A38="",NOT(ISNUMBER($B38)),NOT(ISNUMBER($C38))),"",IFERROR(($B38-$K38)/($C38-IF($K38=0,0,SUMIFS('4. Chronology'!$C$5:$C$204,'4. Chronology'!$A$5:$A$204,$A38,'4. Chronology'!$B$5:$B$204,$K38))),""))</f>
        <v/>
      </c>
      <c r="H38" s="16" t="str">
        <f>IF(OR($A38="",NOT(ISNUMBER($F38)),NOT(ISNUMBER($C38))),"",IFERROR((($F38-IF($K38=0,0,SUMIFS('4. Chronology'!$F$5:$F$204,'4. Chronology'!$A$5:$A$204,$A38,'4. Chronology'!$B$5:$B$204,$K38)))*1000)/($C38-IF($K38=0,0,SUMIFS('4. Chronology'!$C$5:$C$204,'4. Chronology'!$A$5:$A$204,$A38,'4. Chronology'!$B$5:$B$204,$K38))),""))</f>
        <v/>
      </c>
      <c r="I38" s="16" t="str">
        <f>IF($A38="","",IF(COUNTIF('2. Core Log'!$A$5:$A$124,$A38)=0,"Core ID not in Core Log. ","")&amp;IF($E38="","No date source given — RERCA and LORCA need to know which method produced this age. ","")&amp;IF(AND(ISNUMBER($C38),$C38&lt;0),"Negative age: this horizon post-dates the coring year. Check the conversion. ","")&amp;IF(AND(ISNUMBER($G38),$G38&lt;0),"Age reversal — this horizon is younger than one above it. A mixed or disturbed profile may not be datable at all. ","")&amp;IF(AND(ISNUMBER($D38),ISNUMBER($C38),$C38&gt;0,$D38/$C38&gt;0.5),"Age uncertainty exceeds 50% of the age. Usable as an indication only. ","")&amp;IF(AND($D38="",$C38&lt;&gt;""),"No uncertainty given. Every radiometric age has one; a rate without it cannot be defended. ",""))</f>
        <v/>
      </c>
      <c r="J38" s="16">
        <f t="shared" si="0"/>
        <v>0</v>
      </c>
      <c r="K38" s="16" t="str">
        <f>IF(OR($A38="",NOT(ISNUMBER($B38))),"",SUMPRODUCT(MAX(('4. Chronology'!$A$5:$A$204=$A38)*('4. Chronology'!$B$5:$B$204&lt;$B38)*'4. Chronology'!$B$5:$B$204)))</f>
        <v/>
      </c>
    </row>
    <row r="39" spans="1:11" ht="15.75" customHeight="1">
      <c r="A39" s="14"/>
      <c r="B39" s="14"/>
      <c r="C39" s="14"/>
      <c r="D39" s="14"/>
      <c r="E39" s="14"/>
      <c r="F39" s="16" t="str">
        <f>IF(OR($A39="",NOT(ISNUMBER($B39))),"",SUMIFS(community_cores_FS!$P$5:$P$597,community_cores_FS!$B$5:$B$597,$A39,community_cores_FS!$F$5:$F$597,"&lt;="&amp;$B39)+SUMPRODUCT((community_cores_FS!$B$5:$B$597=$A39)*(community_cores_FS!$E$5:$E$597&lt;$B39)*(community_cores_FS!$F$5:$F$597&gt;$B39)*community_cores_FS!$R$5:$R$597*($B39-community_cores_FS!$E$5:$E$597)))</f>
        <v/>
      </c>
      <c r="G39" s="16" t="str">
        <f>IF(OR($A39="",NOT(ISNUMBER($B39)),NOT(ISNUMBER($C39))),"",IFERROR(($B39-$K39)/($C39-IF($K39=0,0,SUMIFS('4. Chronology'!$C$5:$C$204,'4. Chronology'!$A$5:$A$204,$A39,'4. Chronology'!$B$5:$B$204,$K39))),""))</f>
        <v/>
      </c>
      <c r="H39" s="16" t="str">
        <f>IF(OR($A39="",NOT(ISNUMBER($F39)),NOT(ISNUMBER($C39))),"",IFERROR((($F39-IF($K39=0,0,SUMIFS('4. Chronology'!$F$5:$F$204,'4. Chronology'!$A$5:$A$204,$A39,'4. Chronology'!$B$5:$B$204,$K39)))*1000)/($C39-IF($K39=0,0,SUMIFS('4. Chronology'!$C$5:$C$204,'4. Chronology'!$A$5:$A$204,$A39,'4. Chronology'!$B$5:$B$204,$K39))),""))</f>
        <v/>
      </c>
      <c r="I39" s="16" t="str">
        <f>IF($A39="","",IF(COUNTIF('2. Core Log'!$A$5:$A$124,$A39)=0,"Core ID not in Core Log. ","")&amp;IF($E39="","No date source given — RERCA and LORCA need to know which method produced this age. ","")&amp;IF(AND(ISNUMBER($C39),$C39&lt;0),"Negative age: this horizon post-dates the coring year. Check the conversion. ","")&amp;IF(AND(ISNUMBER($G39),$G39&lt;0),"Age reversal — this horizon is younger than one above it. A mixed or disturbed profile may not be datable at all. ","")&amp;IF(AND(ISNUMBER($D39),ISNUMBER($C39),$C39&gt;0,$D39/$C39&gt;0.5),"Age uncertainty exceeds 50% of the age. Usable as an indication only. ","")&amp;IF(AND($D39="",$C39&lt;&gt;""),"No uncertainty given. Every radiometric age has one; a rate without it cannot be defended. ",""))</f>
        <v/>
      </c>
      <c r="J39" s="16">
        <f t="shared" si="0"/>
        <v>0</v>
      </c>
      <c r="K39" s="16" t="str">
        <f>IF(OR($A39="",NOT(ISNUMBER($B39))),"",SUMPRODUCT(MAX(('4. Chronology'!$A$5:$A$204=$A39)*('4. Chronology'!$B$5:$B$204&lt;$B39)*'4. Chronology'!$B$5:$B$204)))</f>
        <v/>
      </c>
    </row>
    <row r="40" spans="1:11" ht="15.75" customHeight="1">
      <c r="A40" s="14"/>
      <c r="B40" s="14"/>
      <c r="C40" s="14"/>
      <c r="D40" s="14"/>
      <c r="E40" s="14"/>
      <c r="F40" s="16" t="str">
        <f>IF(OR($A40="",NOT(ISNUMBER($B40))),"",SUMIFS(community_cores_FS!$P$5:$P$597,community_cores_FS!$B$5:$B$597,$A40,community_cores_FS!$F$5:$F$597,"&lt;="&amp;$B40)+SUMPRODUCT((community_cores_FS!$B$5:$B$597=$A40)*(community_cores_FS!$E$5:$E$597&lt;$B40)*(community_cores_FS!$F$5:$F$597&gt;$B40)*community_cores_FS!$R$5:$R$597*($B40-community_cores_FS!$E$5:$E$597)))</f>
        <v/>
      </c>
      <c r="G40" s="16" t="str">
        <f>IF(OR($A40="",NOT(ISNUMBER($B40)),NOT(ISNUMBER($C40))),"",IFERROR(($B40-$K40)/($C40-IF($K40=0,0,SUMIFS('4. Chronology'!$C$5:$C$204,'4. Chronology'!$A$5:$A$204,$A40,'4. Chronology'!$B$5:$B$204,$K40))),""))</f>
        <v/>
      </c>
      <c r="H40" s="16" t="str">
        <f>IF(OR($A40="",NOT(ISNUMBER($F40)),NOT(ISNUMBER($C40))),"",IFERROR((($F40-IF($K40=0,0,SUMIFS('4. Chronology'!$F$5:$F$204,'4. Chronology'!$A$5:$A$204,$A40,'4. Chronology'!$B$5:$B$204,$K40)))*1000)/($C40-IF($K40=0,0,SUMIFS('4. Chronology'!$C$5:$C$204,'4. Chronology'!$A$5:$A$204,$A40,'4. Chronology'!$B$5:$B$204,$K40))),""))</f>
        <v/>
      </c>
      <c r="I40" s="16" t="str">
        <f>IF($A40="","",IF(COUNTIF('2. Core Log'!$A$5:$A$124,$A40)=0,"Core ID not in Core Log. ","")&amp;IF($E40="","No date source given — RERCA and LORCA need to know which method produced this age. ","")&amp;IF(AND(ISNUMBER($C40),$C40&lt;0),"Negative age: this horizon post-dates the coring year. Check the conversion. ","")&amp;IF(AND(ISNUMBER($G40),$G40&lt;0),"Age reversal — this horizon is younger than one above it. A mixed or disturbed profile may not be datable at all. ","")&amp;IF(AND(ISNUMBER($D40),ISNUMBER($C40),$C40&gt;0,$D40/$C40&gt;0.5),"Age uncertainty exceeds 50% of the age. Usable as an indication only. ","")&amp;IF(AND($D40="",$C40&lt;&gt;""),"No uncertainty given. Every radiometric age has one; a rate without it cannot be defended. ",""))</f>
        <v/>
      </c>
      <c r="J40" s="16">
        <f t="shared" si="0"/>
        <v>0</v>
      </c>
      <c r="K40" s="16" t="str">
        <f>IF(OR($A40="",NOT(ISNUMBER($B40))),"",SUMPRODUCT(MAX(('4. Chronology'!$A$5:$A$204=$A40)*('4. Chronology'!$B$5:$B$204&lt;$B40)*'4. Chronology'!$B$5:$B$204)))</f>
        <v/>
      </c>
    </row>
    <row r="41" spans="1:11" ht="15.75" customHeight="1">
      <c r="A41" s="14"/>
      <c r="B41" s="14"/>
      <c r="C41" s="14"/>
      <c r="D41" s="14"/>
      <c r="E41" s="14"/>
      <c r="F41" s="16" t="str">
        <f>IF(OR($A41="",NOT(ISNUMBER($B41))),"",SUMIFS(community_cores_FS!$P$5:$P$597,community_cores_FS!$B$5:$B$597,$A41,community_cores_FS!$F$5:$F$597,"&lt;="&amp;$B41)+SUMPRODUCT((community_cores_FS!$B$5:$B$597=$A41)*(community_cores_FS!$E$5:$E$597&lt;$B41)*(community_cores_FS!$F$5:$F$597&gt;$B41)*community_cores_FS!$R$5:$R$597*($B41-community_cores_FS!$E$5:$E$597)))</f>
        <v/>
      </c>
      <c r="G41" s="16" t="str">
        <f>IF(OR($A41="",NOT(ISNUMBER($B41)),NOT(ISNUMBER($C41))),"",IFERROR(($B41-$K41)/($C41-IF($K41=0,0,SUMIFS('4. Chronology'!$C$5:$C$204,'4. Chronology'!$A$5:$A$204,$A41,'4. Chronology'!$B$5:$B$204,$K41))),""))</f>
        <v/>
      </c>
      <c r="H41" s="16" t="str">
        <f>IF(OR($A41="",NOT(ISNUMBER($F41)),NOT(ISNUMBER($C41))),"",IFERROR((($F41-IF($K41=0,0,SUMIFS('4. Chronology'!$F$5:$F$204,'4. Chronology'!$A$5:$A$204,$A41,'4. Chronology'!$B$5:$B$204,$K41)))*1000)/($C41-IF($K41=0,0,SUMIFS('4. Chronology'!$C$5:$C$204,'4. Chronology'!$A$5:$A$204,$A41,'4. Chronology'!$B$5:$B$204,$K41))),""))</f>
        <v/>
      </c>
      <c r="I41" s="16" t="str">
        <f>IF($A41="","",IF(COUNTIF('2. Core Log'!$A$5:$A$124,$A41)=0,"Core ID not in Core Log. ","")&amp;IF($E41="","No date source given — RERCA and LORCA need to know which method produced this age. ","")&amp;IF(AND(ISNUMBER($C41),$C41&lt;0),"Negative age: this horizon post-dates the coring year. Check the conversion. ","")&amp;IF(AND(ISNUMBER($G41),$G41&lt;0),"Age reversal — this horizon is younger than one above it. A mixed or disturbed profile may not be datable at all. ","")&amp;IF(AND(ISNUMBER($D41),ISNUMBER($C41),$C41&gt;0,$D41/$C41&gt;0.5),"Age uncertainty exceeds 50% of the age. Usable as an indication only. ","")&amp;IF(AND($D41="",$C41&lt;&gt;""),"No uncertainty given. Every radiometric age has one; a rate without it cannot be defended. ",""))</f>
        <v/>
      </c>
      <c r="J41" s="16">
        <f t="shared" si="0"/>
        <v>0</v>
      </c>
      <c r="K41" s="16" t="str">
        <f>IF(OR($A41="",NOT(ISNUMBER($B41))),"",SUMPRODUCT(MAX(('4. Chronology'!$A$5:$A$204=$A41)*('4. Chronology'!$B$5:$B$204&lt;$B41)*'4. Chronology'!$B$5:$B$204)))</f>
        <v/>
      </c>
    </row>
    <row r="42" spans="1:11" ht="15.75" customHeight="1">
      <c r="A42" s="14"/>
      <c r="B42" s="14"/>
      <c r="C42" s="14"/>
      <c r="D42" s="14"/>
      <c r="E42" s="14"/>
      <c r="F42" s="16" t="str">
        <f>IF(OR($A42="",NOT(ISNUMBER($B42))),"",SUMIFS(community_cores_FS!$P$5:$P$597,community_cores_FS!$B$5:$B$597,$A42,community_cores_FS!$F$5:$F$597,"&lt;="&amp;$B42)+SUMPRODUCT((community_cores_FS!$B$5:$B$597=$A42)*(community_cores_FS!$E$5:$E$597&lt;$B42)*(community_cores_FS!$F$5:$F$597&gt;$B42)*community_cores_FS!$R$5:$R$597*($B42-community_cores_FS!$E$5:$E$597)))</f>
        <v/>
      </c>
      <c r="G42" s="16" t="str">
        <f>IF(OR($A42="",NOT(ISNUMBER($B42)),NOT(ISNUMBER($C42))),"",IFERROR(($B42-$K42)/($C42-IF($K42=0,0,SUMIFS('4. Chronology'!$C$5:$C$204,'4. Chronology'!$A$5:$A$204,$A42,'4. Chronology'!$B$5:$B$204,$K42))),""))</f>
        <v/>
      </c>
      <c r="H42" s="16" t="str">
        <f>IF(OR($A42="",NOT(ISNUMBER($F42)),NOT(ISNUMBER($C42))),"",IFERROR((($F42-IF($K42=0,0,SUMIFS('4. Chronology'!$F$5:$F$204,'4. Chronology'!$A$5:$A$204,$A42,'4. Chronology'!$B$5:$B$204,$K42)))*1000)/($C42-IF($K42=0,0,SUMIFS('4. Chronology'!$C$5:$C$204,'4. Chronology'!$A$5:$A$204,$A42,'4. Chronology'!$B$5:$B$204,$K42))),""))</f>
        <v/>
      </c>
      <c r="I42" s="16" t="str">
        <f>IF($A42="","",IF(COUNTIF('2. Core Log'!$A$5:$A$124,$A42)=0,"Core ID not in Core Log. ","")&amp;IF($E42="","No date source given — RERCA and LORCA need to know which method produced this age. ","")&amp;IF(AND(ISNUMBER($C42),$C42&lt;0),"Negative age: this horizon post-dates the coring year. Check the conversion. ","")&amp;IF(AND(ISNUMBER($G42),$G42&lt;0),"Age reversal — this horizon is younger than one above it. A mixed or disturbed profile may not be datable at all. ","")&amp;IF(AND(ISNUMBER($D42),ISNUMBER($C42),$C42&gt;0,$D42/$C42&gt;0.5),"Age uncertainty exceeds 50% of the age. Usable as an indication only. ","")&amp;IF(AND($D42="",$C42&lt;&gt;""),"No uncertainty given. Every radiometric age has one; a rate without it cannot be defended. ",""))</f>
        <v/>
      </c>
      <c r="J42" s="16">
        <f t="shared" si="0"/>
        <v>0</v>
      </c>
      <c r="K42" s="16" t="str">
        <f>IF(OR($A42="",NOT(ISNUMBER($B42))),"",SUMPRODUCT(MAX(('4. Chronology'!$A$5:$A$204=$A42)*('4. Chronology'!$B$5:$B$204&lt;$B42)*'4. Chronology'!$B$5:$B$204)))</f>
        <v/>
      </c>
    </row>
    <row r="43" spans="1:11" ht="15.75" customHeight="1">
      <c r="A43" s="14"/>
      <c r="B43" s="14"/>
      <c r="C43" s="14"/>
      <c r="D43" s="14"/>
      <c r="E43" s="14"/>
      <c r="F43" s="16" t="str">
        <f>IF(OR($A43="",NOT(ISNUMBER($B43))),"",SUMIFS(community_cores_FS!$P$5:$P$597,community_cores_FS!$B$5:$B$597,$A43,community_cores_FS!$F$5:$F$597,"&lt;="&amp;$B43)+SUMPRODUCT((community_cores_FS!$B$5:$B$597=$A43)*(community_cores_FS!$E$5:$E$597&lt;$B43)*(community_cores_FS!$F$5:$F$597&gt;$B43)*community_cores_FS!$R$5:$R$597*($B43-community_cores_FS!$E$5:$E$597)))</f>
        <v/>
      </c>
      <c r="G43" s="16" t="str">
        <f>IF(OR($A43="",NOT(ISNUMBER($B43)),NOT(ISNUMBER($C43))),"",IFERROR(($B43-$K43)/($C43-IF($K43=0,0,SUMIFS('4. Chronology'!$C$5:$C$204,'4. Chronology'!$A$5:$A$204,$A43,'4. Chronology'!$B$5:$B$204,$K43))),""))</f>
        <v/>
      </c>
      <c r="H43" s="16" t="str">
        <f>IF(OR($A43="",NOT(ISNUMBER($F43)),NOT(ISNUMBER($C43))),"",IFERROR((($F43-IF($K43=0,0,SUMIFS('4. Chronology'!$F$5:$F$204,'4. Chronology'!$A$5:$A$204,$A43,'4. Chronology'!$B$5:$B$204,$K43)))*1000)/($C43-IF($K43=0,0,SUMIFS('4. Chronology'!$C$5:$C$204,'4. Chronology'!$A$5:$A$204,$A43,'4. Chronology'!$B$5:$B$204,$K43))),""))</f>
        <v/>
      </c>
      <c r="I43" s="16" t="str">
        <f>IF($A43="","",IF(COUNTIF('2. Core Log'!$A$5:$A$124,$A43)=0,"Core ID not in Core Log. ","")&amp;IF($E43="","No date source given — RERCA and LORCA need to know which method produced this age. ","")&amp;IF(AND(ISNUMBER($C43),$C43&lt;0),"Negative age: this horizon post-dates the coring year. Check the conversion. ","")&amp;IF(AND(ISNUMBER($G43),$G43&lt;0),"Age reversal — this horizon is younger than one above it. A mixed or disturbed profile may not be datable at all. ","")&amp;IF(AND(ISNUMBER($D43),ISNUMBER($C43),$C43&gt;0,$D43/$C43&gt;0.5),"Age uncertainty exceeds 50% of the age. Usable as an indication only. ","")&amp;IF(AND($D43="",$C43&lt;&gt;""),"No uncertainty given. Every radiometric age has one; a rate without it cannot be defended. ",""))</f>
        <v/>
      </c>
      <c r="J43" s="16">
        <f t="shared" si="0"/>
        <v>0</v>
      </c>
      <c r="K43" s="16" t="str">
        <f>IF(OR($A43="",NOT(ISNUMBER($B43))),"",SUMPRODUCT(MAX(('4. Chronology'!$A$5:$A$204=$A43)*('4. Chronology'!$B$5:$B$204&lt;$B43)*'4. Chronology'!$B$5:$B$204)))</f>
        <v/>
      </c>
    </row>
    <row r="44" spans="1:11" ht="15.75" customHeight="1">
      <c r="A44" s="14"/>
      <c r="B44" s="14"/>
      <c r="C44" s="14"/>
      <c r="D44" s="14"/>
      <c r="E44" s="14"/>
      <c r="F44" s="16" t="str">
        <f>IF(OR($A44="",NOT(ISNUMBER($B44))),"",SUMIFS(community_cores_FS!$P$5:$P$597,community_cores_FS!$B$5:$B$597,$A44,community_cores_FS!$F$5:$F$597,"&lt;="&amp;$B44)+SUMPRODUCT((community_cores_FS!$B$5:$B$597=$A44)*(community_cores_FS!$E$5:$E$597&lt;$B44)*(community_cores_FS!$F$5:$F$597&gt;$B44)*community_cores_FS!$R$5:$R$597*($B44-community_cores_FS!$E$5:$E$597)))</f>
        <v/>
      </c>
      <c r="G44" s="16" t="str">
        <f>IF(OR($A44="",NOT(ISNUMBER($B44)),NOT(ISNUMBER($C44))),"",IFERROR(($B44-$K44)/($C44-IF($K44=0,0,SUMIFS('4. Chronology'!$C$5:$C$204,'4. Chronology'!$A$5:$A$204,$A44,'4. Chronology'!$B$5:$B$204,$K44))),""))</f>
        <v/>
      </c>
      <c r="H44" s="16" t="str">
        <f>IF(OR($A44="",NOT(ISNUMBER($F44)),NOT(ISNUMBER($C44))),"",IFERROR((($F44-IF($K44=0,0,SUMIFS('4. Chronology'!$F$5:$F$204,'4. Chronology'!$A$5:$A$204,$A44,'4. Chronology'!$B$5:$B$204,$K44)))*1000)/($C44-IF($K44=0,0,SUMIFS('4. Chronology'!$C$5:$C$204,'4. Chronology'!$A$5:$A$204,$A44,'4. Chronology'!$B$5:$B$204,$K44))),""))</f>
        <v/>
      </c>
      <c r="I44" s="16" t="str">
        <f>IF($A44="","",IF(COUNTIF('2. Core Log'!$A$5:$A$124,$A44)=0,"Core ID not in Core Log. ","")&amp;IF($E44="","No date source given — RERCA and LORCA need to know which method produced this age. ","")&amp;IF(AND(ISNUMBER($C44),$C44&lt;0),"Negative age: this horizon post-dates the coring year. Check the conversion. ","")&amp;IF(AND(ISNUMBER($G44),$G44&lt;0),"Age reversal — this horizon is younger than one above it. A mixed or disturbed profile may not be datable at all. ","")&amp;IF(AND(ISNUMBER($D44),ISNUMBER($C44),$C44&gt;0,$D44/$C44&gt;0.5),"Age uncertainty exceeds 50% of the age. Usable as an indication only. ","")&amp;IF(AND($D44="",$C44&lt;&gt;""),"No uncertainty given. Every radiometric age has one; a rate without it cannot be defended. ",""))</f>
        <v/>
      </c>
      <c r="J44" s="16">
        <f t="shared" si="0"/>
        <v>0</v>
      </c>
      <c r="K44" s="16" t="str">
        <f>IF(OR($A44="",NOT(ISNUMBER($B44))),"",SUMPRODUCT(MAX(('4. Chronology'!$A$5:$A$204=$A44)*('4. Chronology'!$B$5:$B$204&lt;$B44)*'4. Chronology'!$B$5:$B$204)))</f>
        <v/>
      </c>
    </row>
    <row r="45" spans="1:11" ht="15.75" customHeight="1">
      <c r="A45" s="14"/>
      <c r="B45" s="14"/>
      <c r="C45" s="14"/>
      <c r="D45" s="14"/>
      <c r="E45" s="14"/>
      <c r="F45" s="16" t="str">
        <f>IF(OR($A45="",NOT(ISNUMBER($B45))),"",SUMIFS(community_cores_FS!$P$5:$P$597,community_cores_FS!$B$5:$B$597,$A45,community_cores_FS!$F$5:$F$597,"&lt;="&amp;$B45)+SUMPRODUCT((community_cores_FS!$B$5:$B$597=$A45)*(community_cores_FS!$E$5:$E$597&lt;$B45)*(community_cores_FS!$F$5:$F$597&gt;$B45)*community_cores_FS!$R$5:$R$597*($B45-community_cores_FS!$E$5:$E$597)))</f>
        <v/>
      </c>
      <c r="G45" s="16" t="str">
        <f>IF(OR($A45="",NOT(ISNUMBER($B45)),NOT(ISNUMBER($C45))),"",IFERROR(($B45-$K45)/($C45-IF($K45=0,0,SUMIFS('4. Chronology'!$C$5:$C$204,'4. Chronology'!$A$5:$A$204,$A45,'4. Chronology'!$B$5:$B$204,$K45))),""))</f>
        <v/>
      </c>
      <c r="H45" s="16" t="str">
        <f>IF(OR($A45="",NOT(ISNUMBER($F45)),NOT(ISNUMBER($C45))),"",IFERROR((($F45-IF($K45=0,0,SUMIFS('4. Chronology'!$F$5:$F$204,'4. Chronology'!$A$5:$A$204,$A45,'4. Chronology'!$B$5:$B$204,$K45)))*1000)/($C45-IF($K45=0,0,SUMIFS('4. Chronology'!$C$5:$C$204,'4. Chronology'!$A$5:$A$204,$A45,'4. Chronology'!$B$5:$B$204,$K45))),""))</f>
        <v/>
      </c>
      <c r="I45" s="16" t="str">
        <f>IF($A45="","",IF(COUNTIF('2. Core Log'!$A$5:$A$124,$A45)=0,"Core ID not in Core Log. ","")&amp;IF($E45="","No date source given — RERCA and LORCA need to know which method produced this age. ","")&amp;IF(AND(ISNUMBER($C45),$C45&lt;0),"Negative age: this horizon post-dates the coring year. Check the conversion. ","")&amp;IF(AND(ISNUMBER($G45),$G45&lt;0),"Age reversal — this horizon is younger than one above it. A mixed or disturbed profile may not be datable at all. ","")&amp;IF(AND(ISNUMBER($D45),ISNUMBER($C45),$C45&gt;0,$D45/$C45&gt;0.5),"Age uncertainty exceeds 50% of the age. Usable as an indication only. ","")&amp;IF(AND($D45="",$C45&lt;&gt;""),"No uncertainty given. Every radiometric age has one; a rate without it cannot be defended. ",""))</f>
        <v/>
      </c>
      <c r="J45" s="16">
        <f t="shared" si="0"/>
        <v>0</v>
      </c>
      <c r="K45" s="16" t="str">
        <f>IF(OR($A45="",NOT(ISNUMBER($B45))),"",SUMPRODUCT(MAX(('4. Chronology'!$A$5:$A$204=$A45)*('4. Chronology'!$B$5:$B$204&lt;$B45)*'4. Chronology'!$B$5:$B$204)))</f>
        <v/>
      </c>
    </row>
    <row r="46" spans="1:11" ht="15.75" customHeight="1">
      <c r="A46" s="14"/>
      <c r="B46" s="14"/>
      <c r="C46" s="14"/>
      <c r="D46" s="14"/>
      <c r="E46" s="14"/>
      <c r="F46" s="16" t="str">
        <f>IF(OR($A46="",NOT(ISNUMBER($B46))),"",SUMIFS(community_cores_FS!$P$5:$P$597,community_cores_FS!$B$5:$B$597,$A46,community_cores_FS!$F$5:$F$597,"&lt;="&amp;$B46)+SUMPRODUCT((community_cores_FS!$B$5:$B$597=$A46)*(community_cores_FS!$E$5:$E$597&lt;$B46)*(community_cores_FS!$F$5:$F$597&gt;$B46)*community_cores_FS!$R$5:$R$597*($B46-community_cores_FS!$E$5:$E$597)))</f>
        <v/>
      </c>
      <c r="G46" s="16" t="str">
        <f>IF(OR($A46="",NOT(ISNUMBER($B46)),NOT(ISNUMBER($C46))),"",IFERROR(($B46-$K46)/($C46-IF($K46=0,0,SUMIFS('4. Chronology'!$C$5:$C$204,'4. Chronology'!$A$5:$A$204,$A46,'4. Chronology'!$B$5:$B$204,$K46))),""))</f>
        <v/>
      </c>
      <c r="H46" s="16" t="str">
        <f>IF(OR($A46="",NOT(ISNUMBER($F46)),NOT(ISNUMBER($C46))),"",IFERROR((($F46-IF($K46=0,0,SUMIFS('4. Chronology'!$F$5:$F$204,'4. Chronology'!$A$5:$A$204,$A46,'4. Chronology'!$B$5:$B$204,$K46)))*1000)/($C46-IF($K46=0,0,SUMIFS('4. Chronology'!$C$5:$C$204,'4. Chronology'!$A$5:$A$204,$A46,'4. Chronology'!$B$5:$B$204,$K46))),""))</f>
        <v/>
      </c>
      <c r="I46" s="16" t="str">
        <f>IF($A46="","",IF(COUNTIF('2. Core Log'!$A$5:$A$124,$A46)=0,"Core ID not in Core Log. ","")&amp;IF($E46="","No date source given — RERCA and LORCA need to know which method produced this age. ","")&amp;IF(AND(ISNUMBER($C46),$C46&lt;0),"Negative age: this horizon post-dates the coring year. Check the conversion. ","")&amp;IF(AND(ISNUMBER($G46),$G46&lt;0),"Age reversal — this horizon is younger than one above it. A mixed or disturbed profile may not be datable at all. ","")&amp;IF(AND(ISNUMBER($D46),ISNUMBER($C46),$C46&gt;0,$D46/$C46&gt;0.5),"Age uncertainty exceeds 50% of the age. Usable as an indication only. ","")&amp;IF(AND($D46="",$C46&lt;&gt;""),"No uncertainty given. Every radiometric age has one; a rate without it cannot be defended. ",""))</f>
        <v/>
      </c>
      <c r="J46" s="16">
        <f t="shared" si="0"/>
        <v>0</v>
      </c>
      <c r="K46" s="16" t="str">
        <f>IF(OR($A46="",NOT(ISNUMBER($B46))),"",SUMPRODUCT(MAX(('4. Chronology'!$A$5:$A$204=$A46)*('4. Chronology'!$B$5:$B$204&lt;$B46)*'4. Chronology'!$B$5:$B$204)))</f>
        <v/>
      </c>
    </row>
    <row r="47" spans="1:11" ht="15.75" customHeight="1">
      <c r="A47" s="14"/>
      <c r="B47" s="14"/>
      <c r="C47" s="14"/>
      <c r="D47" s="14"/>
      <c r="E47" s="14"/>
      <c r="F47" s="16" t="str">
        <f>IF(OR($A47="",NOT(ISNUMBER($B47))),"",SUMIFS(community_cores_FS!$P$5:$P$597,community_cores_FS!$B$5:$B$597,$A47,community_cores_FS!$F$5:$F$597,"&lt;="&amp;$B47)+SUMPRODUCT((community_cores_FS!$B$5:$B$597=$A47)*(community_cores_FS!$E$5:$E$597&lt;$B47)*(community_cores_FS!$F$5:$F$597&gt;$B47)*community_cores_FS!$R$5:$R$597*($B47-community_cores_FS!$E$5:$E$597)))</f>
        <v/>
      </c>
      <c r="G47" s="16" t="str">
        <f>IF(OR($A47="",NOT(ISNUMBER($B47)),NOT(ISNUMBER($C47))),"",IFERROR(($B47-$K47)/($C47-IF($K47=0,0,SUMIFS('4. Chronology'!$C$5:$C$204,'4. Chronology'!$A$5:$A$204,$A47,'4. Chronology'!$B$5:$B$204,$K47))),""))</f>
        <v/>
      </c>
      <c r="H47" s="16" t="str">
        <f>IF(OR($A47="",NOT(ISNUMBER($F47)),NOT(ISNUMBER($C47))),"",IFERROR((($F47-IF($K47=0,0,SUMIFS('4. Chronology'!$F$5:$F$204,'4. Chronology'!$A$5:$A$204,$A47,'4. Chronology'!$B$5:$B$204,$K47)))*1000)/($C47-IF($K47=0,0,SUMIFS('4. Chronology'!$C$5:$C$204,'4. Chronology'!$A$5:$A$204,$A47,'4. Chronology'!$B$5:$B$204,$K47))),""))</f>
        <v/>
      </c>
      <c r="I47" s="16" t="str">
        <f>IF($A47="","",IF(COUNTIF('2. Core Log'!$A$5:$A$124,$A47)=0,"Core ID not in Core Log. ","")&amp;IF($E47="","No date source given — RERCA and LORCA need to know which method produced this age. ","")&amp;IF(AND(ISNUMBER($C47),$C47&lt;0),"Negative age: this horizon post-dates the coring year. Check the conversion. ","")&amp;IF(AND(ISNUMBER($G47),$G47&lt;0),"Age reversal — this horizon is younger than one above it. A mixed or disturbed profile may not be datable at all. ","")&amp;IF(AND(ISNUMBER($D47),ISNUMBER($C47),$C47&gt;0,$D47/$C47&gt;0.5),"Age uncertainty exceeds 50% of the age. Usable as an indication only. ","")&amp;IF(AND($D47="",$C47&lt;&gt;""),"No uncertainty given. Every radiometric age has one; a rate without it cannot be defended. ",""))</f>
        <v/>
      </c>
      <c r="J47" s="16">
        <f t="shared" si="0"/>
        <v>0</v>
      </c>
      <c r="K47" s="16" t="str">
        <f>IF(OR($A47="",NOT(ISNUMBER($B47))),"",SUMPRODUCT(MAX(('4. Chronology'!$A$5:$A$204=$A47)*('4. Chronology'!$B$5:$B$204&lt;$B47)*'4. Chronology'!$B$5:$B$204)))</f>
        <v/>
      </c>
    </row>
    <row r="48" spans="1:11" ht="15.75" customHeight="1">
      <c r="A48" s="14"/>
      <c r="B48" s="14"/>
      <c r="C48" s="14"/>
      <c r="D48" s="14"/>
      <c r="E48" s="14"/>
      <c r="F48" s="16" t="str">
        <f>IF(OR($A48="",NOT(ISNUMBER($B48))),"",SUMIFS(community_cores_FS!$P$5:$P$597,community_cores_FS!$B$5:$B$597,$A48,community_cores_FS!$F$5:$F$597,"&lt;="&amp;$B48)+SUMPRODUCT((community_cores_FS!$B$5:$B$597=$A48)*(community_cores_FS!$E$5:$E$597&lt;$B48)*(community_cores_FS!$F$5:$F$597&gt;$B48)*community_cores_FS!$R$5:$R$597*($B48-community_cores_FS!$E$5:$E$597)))</f>
        <v/>
      </c>
      <c r="G48" s="16" t="str">
        <f>IF(OR($A48="",NOT(ISNUMBER($B48)),NOT(ISNUMBER($C48))),"",IFERROR(($B48-$K48)/($C48-IF($K48=0,0,SUMIFS('4. Chronology'!$C$5:$C$204,'4. Chronology'!$A$5:$A$204,$A48,'4. Chronology'!$B$5:$B$204,$K48))),""))</f>
        <v/>
      </c>
      <c r="H48" s="16" t="str">
        <f>IF(OR($A48="",NOT(ISNUMBER($F48)),NOT(ISNUMBER($C48))),"",IFERROR((($F48-IF($K48=0,0,SUMIFS('4. Chronology'!$F$5:$F$204,'4. Chronology'!$A$5:$A$204,$A48,'4. Chronology'!$B$5:$B$204,$K48)))*1000)/($C48-IF($K48=0,0,SUMIFS('4. Chronology'!$C$5:$C$204,'4. Chronology'!$A$5:$A$204,$A48,'4. Chronology'!$B$5:$B$204,$K48))),""))</f>
        <v/>
      </c>
      <c r="I48" s="16" t="str">
        <f>IF($A48="","",IF(COUNTIF('2. Core Log'!$A$5:$A$124,$A48)=0,"Core ID not in Core Log. ","")&amp;IF($E48="","No date source given — RERCA and LORCA need to know which method produced this age. ","")&amp;IF(AND(ISNUMBER($C48),$C48&lt;0),"Negative age: this horizon post-dates the coring year. Check the conversion. ","")&amp;IF(AND(ISNUMBER($G48),$G48&lt;0),"Age reversal — this horizon is younger than one above it. A mixed or disturbed profile may not be datable at all. ","")&amp;IF(AND(ISNUMBER($D48),ISNUMBER($C48),$C48&gt;0,$D48/$C48&gt;0.5),"Age uncertainty exceeds 50% of the age. Usable as an indication only. ","")&amp;IF(AND($D48="",$C48&lt;&gt;""),"No uncertainty given. Every radiometric age has one; a rate without it cannot be defended. ",""))</f>
        <v/>
      </c>
      <c r="J48" s="16">
        <f t="shared" si="0"/>
        <v>0</v>
      </c>
      <c r="K48" s="16" t="str">
        <f>IF(OR($A48="",NOT(ISNUMBER($B48))),"",SUMPRODUCT(MAX(('4. Chronology'!$A$5:$A$204=$A48)*('4. Chronology'!$B$5:$B$204&lt;$B48)*'4. Chronology'!$B$5:$B$204)))</f>
        <v/>
      </c>
    </row>
    <row r="49" spans="1:11" ht="15.75" customHeight="1">
      <c r="A49" s="14"/>
      <c r="B49" s="14"/>
      <c r="C49" s="14"/>
      <c r="D49" s="14"/>
      <c r="E49" s="14"/>
      <c r="F49" s="16" t="str">
        <f>IF(OR($A49="",NOT(ISNUMBER($B49))),"",SUMIFS(community_cores_FS!$P$5:$P$597,community_cores_FS!$B$5:$B$597,$A49,community_cores_FS!$F$5:$F$597,"&lt;="&amp;$B49)+SUMPRODUCT((community_cores_FS!$B$5:$B$597=$A49)*(community_cores_FS!$E$5:$E$597&lt;$B49)*(community_cores_FS!$F$5:$F$597&gt;$B49)*community_cores_FS!$R$5:$R$597*($B49-community_cores_FS!$E$5:$E$597)))</f>
        <v/>
      </c>
      <c r="G49" s="16" t="str">
        <f>IF(OR($A49="",NOT(ISNUMBER($B49)),NOT(ISNUMBER($C49))),"",IFERROR(($B49-$K49)/($C49-IF($K49=0,0,SUMIFS('4. Chronology'!$C$5:$C$204,'4. Chronology'!$A$5:$A$204,$A49,'4. Chronology'!$B$5:$B$204,$K49))),""))</f>
        <v/>
      </c>
      <c r="H49" s="16" t="str">
        <f>IF(OR($A49="",NOT(ISNUMBER($F49)),NOT(ISNUMBER($C49))),"",IFERROR((($F49-IF($K49=0,0,SUMIFS('4. Chronology'!$F$5:$F$204,'4. Chronology'!$A$5:$A$204,$A49,'4. Chronology'!$B$5:$B$204,$K49)))*1000)/($C49-IF($K49=0,0,SUMIFS('4. Chronology'!$C$5:$C$204,'4. Chronology'!$A$5:$A$204,$A49,'4. Chronology'!$B$5:$B$204,$K49))),""))</f>
        <v/>
      </c>
      <c r="I49" s="16" t="str">
        <f>IF($A49="","",IF(COUNTIF('2. Core Log'!$A$5:$A$124,$A49)=0,"Core ID not in Core Log. ","")&amp;IF($E49="","No date source given — RERCA and LORCA need to know which method produced this age. ","")&amp;IF(AND(ISNUMBER($C49),$C49&lt;0),"Negative age: this horizon post-dates the coring year. Check the conversion. ","")&amp;IF(AND(ISNUMBER($G49),$G49&lt;0),"Age reversal — this horizon is younger than one above it. A mixed or disturbed profile may not be datable at all. ","")&amp;IF(AND(ISNUMBER($D49),ISNUMBER($C49),$C49&gt;0,$D49/$C49&gt;0.5),"Age uncertainty exceeds 50% of the age. Usable as an indication only. ","")&amp;IF(AND($D49="",$C49&lt;&gt;""),"No uncertainty given. Every radiometric age has one; a rate without it cannot be defended. ",""))</f>
        <v/>
      </c>
      <c r="J49" s="16">
        <f t="shared" si="0"/>
        <v>0</v>
      </c>
      <c r="K49" s="16" t="str">
        <f>IF(OR($A49="",NOT(ISNUMBER($B49))),"",SUMPRODUCT(MAX(('4. Chronology'!$A$5:$A$204=$A49)*('4. Chronology'!$B$5:$B$204&lt;$B49)*'4. Chronology'!$B$5:$B$204)))</f>
        <v/>
      </c>
    </row>
    <row r="50" spans="1:11" ht="15.75" customHeight="1">
      <c r="A50" s="14"/>
      <c r="B50" s="14"/>
      <c r="C50" s="14"/>
      <c r="D50" s="14"/>
      <c r="E50" s="14"/>
      <c r="F50" s="16" t="str">
        <f>IF(OR($A50="",NOT(ISNUMBER($B50))),"",SUMIFS(community_cores_FS!$P$5:$P$597,community_cores_FS!$B$5:$B$597,$A50,community_cores_FS!$F$5:$F$597,"&lt;="&amp;$B50)+SUMPRODUCT((community_cores_FS!$B$5:$B$597=$A50)*(community_cores_FS!$E$5:$E$597&lt;$B50)*(community_cores_FS!$F$5:$F$597&gt;$B50)*community_cores_FS!$R$5:$R$597*($B50-community_cores_FS!$E$5:$E$597)))</f>
        <v/>
      </c>
      <c r="G50" s="16" t="str">
        <f>IF(OR($A50="",NOT(ISNUMBER($B50)),NOT(ISNUMBER($C50))),"",IFERROR(($B50-$K50)/($C50-IF($K50=0,0,SUMIFS('4. Chronology'!$C$5:$C$204,'4. Chronology'!$A$5:$A$204,$A50,'4. Chronology'!$B$5:$B$204,$K50))),""))</f>
        <v/>
      </c>
      <c r="H50" s="16" t="str">
        <f>IF(OR($A50="",NOT(ISNUMBER($F50)),NOT(ISNUMBER($C50))),"",IFERROR((($F50-IF($K50=0,0,SUMIFS('4. Chronology'!$F$5:$F$204,'4. Chronology'!$A$5:$A$204,$A50,'4. Chronology'!$B$5:$B$204,$K50)))*1000)/($C50-IF($K50=0,0,SUMIFS('4. Chronology'!$C$5:$C$204,'4. Chronology'!$A$5:$A$204,$A50,'4. Chronology'!$B$5:$B$204,$K50))),""))</f>
        <v/>
      </c>
      <c r="I50" s="16" t="str">
        <f>IF($A50="","",IF(COUNTIF('2. Core Log'!$A$5:$A$124,$A50)=0,"Core ID not in Core Log. ","")&amp;IF($E50="","No date source given — RERCA and LORCA need to know which method produced this age. ","")&amp;IF(AND(ISNUMBER($C50),$C50&lt;0),"Negative age: this horizon post-dates the coring year. Check the conversion. ","")&amp;IF(AND(ISNUMBER($G50),$G50&lt;0),"Age reversal — this horizon is younger than one above it. A mixed or disturbed profile may not be datable at all. ","")&amp;IF(AND(ISNUMBER($D50),ISNUMBER($C50),$C50&gt;0,$D50/$C50&gt;0.5),"Age uncertainty exceeds 50% of the age. Usable as an indication only. ","")&amp;IF(AND($D50="",$C50&lt;&gt;""),"No uncertainty given. Every radiometric age has one; a rate without it cannot be defended. ",""))</f>
        <v/>
      </c>
      <c r="J50" s="16">
        <f t="shared" si="0"/>
        <v>0</v>
      </c>
      <c r="K50" s="16" t="str">
        <f>IF(OR($A50="",NOT(ISNUMBER($B50))),"",SUMPRODUCT(MAX(('4. Chronology'!$A$5:$A$204=$A50)*('4. Chronology'!$B$5:$B$204&lt;$B50)*'4. Chronology'!$B$5:$B$204)))</f>
        <v/>
      </c>
    </row>
    <row r="51" spans="1:11" ht="15.75" customHeight="1">
      <c r="A51" s="14"/>
      <c r="B51" s="14"/>
      <c r="C51" s="14"/>
      <c r="D51" s="14"/>
      <c r="E51" s="14"/>
      <c r="F51" s="16" t="str">
        <f>IF(OR($A51="",NOT(ISNUMBER($B51))),"",SUMIFS(community_cores_FS!$P$5:$P$597,community_cores_FS!$B$5:$B$597,$A51,community_cores_FS!$F$5:$F$597,"&lt;="&amp;$B51)+SUMPRODUCT((community_cores_FS!$B$5:$B$597=$A51)*(community_cores_FS!$E$5:$E$597&lt;$B51)*(community_cores_FS!$F$5:$F$597&gt;$B51)*community_cores_FS!$R$5:$R$597*($B51-community_cores_FS!$E$5:$E$597)))</f>
        <v/>
      </c>
      <c r="G51" s="16" t="str">
        <f>IF(OR($A51="",NOT(ISNUMBER($B51)),NOT(ISNUMBER($C51))),"",IFERROR(($B51-$K51)/($C51-IF($K51=0,0,SUMIFS('4. Chronology'!$C$5:$C$204,'4. Chronology'!$A$5:$A$204,$A51,'4. Chronology'!$B$5:$B$204,$K51))),""))</f>
        <v/>
      </c>
      <c r="H51" s="16" t="str">
        <f>IF(OR($A51="",NOT(ISNUMBER($F51)),NOT(ISNUMBER($C51))),"",IFERROR((($F51-IF($K51=0,0,SUMIFS('4. Chronology'!$F$5:$F$204,'4. Chronology'!$A$5:$A$204,$A51,'4. Chronology'!$B$5:$B$204,$K51)))*1000)/($C51-IF($K51=0,0,SUMIFS('4. Chronology'!$C$5:$C$204,'4. Chronology'!$A$5:$A$204,$A51,'4. Chronology'!$B$5:$B$204,$K51))),""))</f>
        <v/>
      </c>
      <c r="I51" s="16" t="str">
        <f>IF($A51="","",IF(COUNTIF('2. Core Log'!$A$5:$A$124,$A51)=0,"Core ID not in Core Log. ","")&amp;IF($E51="","No date source given — RERCA and LORCA need to know which method produced this age. ","")&amp;IF(AND(ISNUMBER($C51),$C51&lt;0),"Negative age: this horizon post-dates the coring year. Check the conversion. ","")&amp;IF(AND(ISNUMBER($G51),$G51&lt;0),"Age reversal — this horizon is younger than one above it. A mixed or disturbed profile may not be datable at all. ","")&amp;IF(AND(ISNUMBER($D51),ISNUMBER($C51),$C51&gt;0,$D51/$C51&gt;0.5),"Age uncertainty exceeds 50% of the age. Usable as an indication only. ","")&amp;IF(AND($D51="",$C51&lt;&gt;""),"No uncertainty given. Every radiometric age has one; a rate without it cannot be defended. ",""))</f>
        <v/>
      </c>
      <c r="J51" s="16">
        <f t="shared" si="0"/>
        <v>0</v>
      </c>
      <c r="K51" s="16" t="str">
        <f>IF(OR($A51="",NOT(ISNUMBER($B51))),"",SUMPRODUCT(MAX(('4. Chronology'!$A$5:$A$204=$A51)*('4. Chronology'!$B$5:$B$204&lt;$B51)*'4. Chronology'!$B$5:$B$204)))</f>
        <v/>
      </c>
    </row>
    <row r="52" spans="1:11" ht="15.75" customHeight="1">
      <c r="A52" s="14"/>
      <c r="B52" s="14"/>
      <c r="C52" s="14"/>
      <c r="D52" s="14"/>
      <c r="E52" s="14"/>
      <c r="F52" s="16" t="str">
        <f>IF(OR($A52="",NOT(ISNUMBER($B52))),"",SUMIFS(community_cores_FS!$P$5:$P$597,community_cores_FS!$B$5:$B$597,$A52,community_cores_FS!$F$5:$F$597,"&lt;="&amp;$B52)+SUMPRODUCT((community_cores_FS!$B$5:$B$597=$A52)*(community_cores_FS!$E$5:$E$597&lt;$B52)*(community_cores_FS!$F$5:$F$597&gt;$B52)*community_cores_FS!$R$5:$R$597*($B52-community_cores_FS!$E$5:$E$597)))</f>
        <v/>
      </c>
      <c r="G52" s="16" t="str">
        <f>IF(OR($A52="",NOT(ISNUMBER($B52)),NOT(ISNUMBER($C52))),"",IFERROR(($B52-$K52)/($C52-IF($K52=0,0,SUMIFS('4. Chronology'!$C$5:$C$204,'4. Chronology'!$A$5:$A$204,$A52,'4. Chronology'!$B$5:$B$204,$K52))),""))</f>
        <v/>
      </c>
      <c r="H52" s="16" t="str">
        <f>IF(OR($A52="",NOT(ISNUMBER($F52)),NOT(ISNUMBER($C52))),"",IFERROR((($F52-IF($K52=0,0,SUMIFS('4. Chronology'!$F$5:$F$204,'4. Chronology'!$A$5:$A$204,$A52,'4. Chronology'!$B$5:$B$204,$K52)))*1000)/($C52-IF($K52=0,0,SUMIFS('4. Chronology'!$C$5:$C$204,'4. Chronology'!$A$5:$A$204,$A52,'4. Chronology'!$B$5:$B$204,$K52))),""))</f>
        <v/>
      </c>
      <c r="I52" s="16" t="str">
        <f>IF($A52="","",IF(COUNTIF('2. Core Log'!$A$5:$A$124,$A52)=0,"Core ID not in Core Log. ","")&amp;IF($E52="","No date source given — RERCA and LORCA need to know which method produced this age. ","")&amp;IF(AND(ISNUMBER($C52),$C52&lt;0),"Negative age: this horizon post-dates the coring year. Check the conversion. ","")&amp;IF(AND(ISNUMBER($G52),$G52&lt;0),"Age reversal — this horizon is younger than one above it. A mixed or disturbed profile may not be datable at all. ","")&amp;IF(AND(ISNUMBER($D52),ISNUMBER($C52),$C52&gt;0,$D52/$C52&gt;0.5),"Age uncertainty exceeds 50% of the age. Usable as an indication only. ","")&amp;IF(AND($D52="",$C52&lt;&gt;""),"No uncertainty given. Every radiometric age has one; a rate without it cannot be defended. ",""))</f>
        <v/>
      </c>
      <c r="J52" s="16">
        <f t="shared" si="0"/>
        <v>0</v>
      </c>
      <c r="K52" s="16" t="str">
        <f>IF(OR($A52="",NOT(ISNUMBER($B52))),"",SUMPRODUCT(MAX(('4. Chronology'!$A$5:$A$204=$A52)*('4. Chronology'!$B$5:$B$204&lt;$B52)*'4. Chronology'!$B$5:$B$204)))</f>
        <v/>
      </c>
    </row>
    <row r="53" spans="1:11" ht="15.75" customHeight="1">
      <c r="A53" s="14"/>
      <c r="B53" s="14"/>
      <c r="C53" s="14"/>
      <c r="D53" s="14"/>
      <c r="E53" s="14"/>
      <c r="F53" s="16" t="str">
        <f>IF(OR($A53="",NOT(ISNUMBER($B53))),"",SUMIFS(community_cores_FS!$P$5:$P$597,community_cores_FS!$B$5:$B$597,$A53,community_cores_FS!$F$5:$F$597,"&lt;="&amp;$B53)+SUMPRODUCT((community_cores_FS!$B$5:$B$597=$A53)*(community_cores_FS!$E$5:$E$597&lt;$B53)*(community_cores_FS!$F$5:$F$597&gt;$B53)*community_cores_FS!$R$5:$R$597*($B53-community_cores_FS!$E$5:$E$597)))</f>
        <v/>
      </c>
      <c r="G53" s="16" t="str">
        <f>IF(OR($A53="",NOT(ISNUMBER($B53)),NOT(ISNUMBER($C53))),"",IFERROR(($B53-$K53)/($C53-IF($K53=0,0,SUMIFS('4. Chronology'!$C$5:$C$204,'4. Chronology'!$A$5:$A$204,$A53,'4. Chronology'!$B$5:$B$204,$K53))),""))</f>
        <v/>
      </c>
      <c r="H53" s="16" t="str">
        <f>IF(OR($A53="",NOT(ISNUMBER($F53)),NOT(ISNUMBER($C53))),"",IFERROR((($F53-IF($K53=0,0,SUMIFS('4. Chronology'!$F$5:$F$204,'4. Chronology'!$A$5:$A$204,$A53,'4. Chronology'!$B$5:$B$204,$K53)))*1000)/($C53-IF($K53=0,0,SUMIFS('4. Chronology'!$C$5:$C$204,'4. Chronology'!$A$5:$A$204,$A53,'4. Chronology'!$B$5:$B$204,$K53))),""))</f>
        <v/>
      </c>
      <c r="I53" s="16" t="str">
        <f>IF($A53="","",IF(COUNTIF('2. Core Log'!$A$5:$A$124,$A53)=0,"Core ID not in Core Log. ","")&amp;IF($E53="","No date source given — RERCA and LORCA need to know which method produced this age. ","")&amp;IF(AND(ISNUMBER($C53),$C53&lt;0),"Negative age: this horizon post-dates the coring year. Check the conversion. ","")&amp;IF(AND(ISNUMBER($G53),$G53&lt;0),"Age reversal — this horizon is younger than one above it. A mixed or disturbed profile may not be datable at all. ","")&amp;IF(AND(ISNUMBER($D53),ISNUMBER($C53),$C53&gt;0,$D53/$C53&gt;0.5),"Age uncertainty exceeds 50% of the age. Usable as an indication only. ","")&amp;IF(AND($D53="",$C53&lt;&gt;""),"No uncertainty given. Every radiometric age has one; a rate without it cannot be defended. ",""))</f>
        <v/>
      </c>
      <c r="J53" s="16">
        <f t="shared" si="0"/>
        <v>0</v>
      </c>
      <c r="K53" s="16" t="str">
        <f>IF(OR($A53="",NOT(ISNUMBER($B53))),"",SUMPRODUCT(MAX(('4. Chronology'!$A$5:$A$204=$A53)*('4. Chronology'!$B$5:$B$204&lt;$B53)*'4. Chronology'!$B$5:$B$204)))</f>
        <v/>
      </c>
    </row>
    <row r="54" spans="1:11" ht="15.75" customHeight="1">
      <c r="A54" s="14"/>
      <c r="B54" s="14"/>
      <c r="C54" s="14"/>
      <c r="D54" s="14"/>
      <c r="E54" s="14"/>
      <c r="F54" s="16" t="str">
        <f>IF(OR($A54="",NOT(ISNUMBER($B54))),"",SUMIFS(community_cores_FS!$P$5:$P$597,community_cores_FS!$B$5:$B$597,$A54,community_cores_FS!$F$5:$F$597,"&lt;="&amp;$B54)+SUMPRODUCT((community_cores_FS!$B$5:$B$597=$A54)*(community_cores_FS!$E$5:$E$597&lt;$B54)*(community_cores_FS!$F$5:$F$597&gt;$B54)*community_cores_FS!$R$5:$R$597*($B54-community_cores_FS!$E$5:$E$597)))</f>
        <v/>
      </c>
      <c r="G54" s="16" t="str">
        <f>IF(OR($A54="",NOT(ISNUMBER($B54)),NOT(ISNUMBER($C54))),"",IFERROR(($B54-$K54)/($C54-IF($K54=0,0,SUMIFS('4. Chronology'!$C$5:$C$204,'4. Chronology'!$A$5:$A$204,$A54,'4. Chronology'!$B$5:$B$204,$K54))),""))</f>
        <v/>
      </c>
      <c r="H54" s="16" t="str">
        <f>IF(OR($A54="",NOT(ISNUMBER($F54)),NOT(ISNUMBER($C54))),"",IFERROR((($F54-IF($K54=0,0,SUMIFS('4. Chronology'!$F$5:$F$204,'4. Chronology'!$A$5:$A$204,$A54,'4. Chronology'!$B$5:$B$204,$K54)))*1000)/($C54-IF($K54=0,0,SUMIFS('4. Chronology'!$C$5:$C$204,'4. Chronology'!$A$5:$A$204,$A54,'4. Chronology'!$B$5:$B$204,$K54))),""))</f>
        <v/>
      </c>
      <c r="I54" s="16" t="str">
        <f>IF($A54="","",IF(COUNTIF('2. Core Log'!$A$5:$A$124,$A54)=0,"Core ID not in Core Log. ","")&amp;IF($E54="","No date source given — RERCA and LORCA need to know which method produced this age. ","")&amp;IF(AND(ISNUMBER($C54),$C54&lt;0),"Negative age: this horizon post-dates the coring year. Check the conversion. ","")&amp;IF(AND(ISNUMBER($G54),$G54&lt;0),"Age reversal — this horizon is younger than one above it. A mixed or disturbed profile may not be datable at all. ","")&amp;IF(AND(ISNUMBER($D54),ISNUMBER($C54),$C54&gt;0,$D54/$C54&gt;0.5),"Age uncertainty exceeds 50% of the age. Usable as an indication only. ","")&amp;IF(AND($D54="",$C54&lt;&gt;""),"No uncertainty given. Every radiometric age has one; a rate without it cannot be defended. ",""))</f>
        <v/>
      </c>
      <c r="J54" s="16">
        <f t="shared" si="0"/>
        <v>0</v>
      </c>
      <c r="K54" s="16" t="str">
        <f>IF(OR($A54="",NOT(ISNUMBER($B54))),"",SUMPRODUCT(MAX(('4. Chronology'!$A$5:$A$204=$A54)*('4. Chronology'!$B$5:$B$204&lt;$B54)*'4. Chronology'!$B$5:$B$204)))</f>
        <v/>
      </c>
    </row>
    <row r="55" spans="1:11" ht="15.75" customHeight="1">
      <c r="A55" s="14"/>
      <c r="B55" s="14"/>
      <c r="C55" s="14"/>
      <c r="D55" s="14"/>
      <c r="E55" s="14"/>
      <c r="F55" s="16" t="str">
        <f>IF(OR($A55="",NOT(ISNUMBER($B55))),"",SUMIFS(community_cores_FS!$P$5:$P$597,community_cores_FS!$B$5:$B$597,$A55,community_cores_FS!$F$5:$F$597,"&lt;="&amp;$B55)+SUMPRODUCT((community_cores_FS!$B$5:$B$597=$A55)*(community_cores_FS!$E$5:$E$597&lt;$B55)*(community_cores_FS!$F$5:$F$597&gt;$B55)*community_cores_FS!$R$5:$R$597*($B55-community_cores_FS!$E$5:$E$597)))</f>
        <v/>
      </c>
      <c r="G55" s="16" t="str">
        <f>IF(OR($A55="",NOT(ISNUMBER($B55)),NOT(ISNUMBER($C55))),"",IFERROR(($B55-$K55)/($C55-IF($K55=0,0,SUMIFS('4. Chronology'!$C$5:$C$204,'4. Chronology'!$A$5:$A$204,$A55,'4. Chronology'!$B$5:$B$204,$K55))),""))</f>
        <v/>
      </c>
      <c r="H55" s="16" t="str">
        <f>IF(OR($A55="",NOT(ISNUMBER($F55)),NOT(ISNUMBER($C55))),"",IFERROR((($F55-IF($K55=0,0,SUMIFS('4. Chronology'!$F$5:$F$204,'4. Chronology'!$A$5:$A$204,$A55,'4. Chronology'!$B$5:$B$204,$K55)))*1000)/($C55-IF($K55=0,0,SUMIFS('4. Chronology'!$C$5:$C$204,'4. Chronology'!$A$5:$A$204,$A55,'4. Chronology'!$B$5:$B$204,$K55))),""))</f>
        <v/>
      </c>
      <c r="I55" s="16" t="str">
        <f>IF($A55="","",IF(COUNTIF('2. Core Log'!$A$5:$A$124,$A55)=0,"Core ID not in Core Log. ","")&amp;IF($E55="","No date source given — RERCA and LORCA need to know which method produced this age. ","")&amp;IF(AND(ISNUMBER($C55),$C55&lt;0),"Negative age: this horizon post-dates the coring year. Check the conversion. ","")&amp;IF(AND(ISNUMBER($G55),$G55&lt;0),"Age reversal — this horizon is younger than one above it. A mixed or disturbed profile may not be datable at all. ","")&amp;IF(AND(ISNUMBER($D55),ISNUMBER($C55),$C55&gt;0,$D55/$C55&gt;0.5),"Age uncertainty exceeds 50% of the age. Usable as an indication only. ","")&amp;IF(AND($D55="",$C55&lt;&gt;""),"No uncertainty given. Every radiometric age has one; a rate without it cannot be defended. ",""))</f>
        <v/>
      </c>
      <c r="J55" s="16">
        <f t="shared" si="0"/>
        <v>0</v>
      </c>
      <c r="K55" s="16" t="str">
        <f>IF(OR($A55="",NOT(ISNUMBER($B55))),"",SUMPRODUCT(MAX(('4. Chronology'!$A$5:$A$204=$A55)*('4. Chronology'!$B$5:$B$204&lt;$B55)*'4. Chronology'!$B$5:$B$204)))</f>
        <v/>
      </c>
    </row>
    <row r="56" spans="1:11" ht="15.75" customHeight="1">
      <c r="A56" s="14"/>
      <c r="B56" s="14"/>
      <c r="C56" s="14"/>
      <c r="D56" s="14"/>
      <c r="E56" s="14"/>
      <c r="F56" s="16" t="str">
        <f>IF(OR($A56="",NOT(ISNUMBER($B56))),"",SUMIFS(community_cores_FS!$P$5:$P$597,community_cores_FS!$B$5:$B$597,$A56,community_cores_FS!$F$5:$F$597,"&lt;="&amp;$B56)+SUMPRODUCT((community_cores_FS!$B$5:$B$597=$A56)*(community_cores_FS!$E$5:$E$597&lt;$B56)*(community_cores_FS!$F$5:$F$597&gt;$B56)*community_cores_FS!$R$5:$R$597*($B56-community_cores_FS!$E$5:$E$597)))</f>
        <v/>
      </c>
      <c r="G56" s="16" t="str">
        <f>IF(OR($A56="",NOT(ISNUMBER($B56)),NOT(ISNUMBER($C56))),"",IFERROR(($B56-$K56)/($C56-IF($K56=0,0,SUMIFS('4. Chronology'!$C$5:$C$204,'4. Chronology'!$A$5:$A$204,$A56,'4. Chronology'!$B$5:$B$204,$K56))),""))</f>
        <v/>
      </c>
      <c r="H56" s="16" t="str">
        <f>IF(OR($A56="",NOT(ISNUMBER($F56)),NOT(ISNUMBER($C56))),"",IFERROR((($F56-IF($K56=0,0,SUMIFS('4. Chronology'!$F$5:$F$204,'4. Chronology'!$A$5:$A$204,$A56,'4. Chronology'!$B$5:$B$204,$K56)))*1000)/($C56-IF($K56=0,0,SUMIFS('4. Chronology'!$C$5:$C$204,'4. Chronology'!$A$5:$A$204,$A56,'4. Chronology'!$B$5:$B$204,$K56))),""))</f>
        <v/>
      </c>
      <c r="I56" s="16" t="str">
        <f>IF($A56="","",IF(COUNTIF('2. Core Log'!$A$5:$A$124,$A56)=0,"Core ID not in Core Log. ","")&amp;IF($E56="","No date source given — RERCA and LORCA need to know which method produced this age. ","")&amp;IF(AND(ISNUMBER($C56),$C56&lt;0),"Negative age: this horizon post-dates the coring year. Check the conversion. ","")&amp;IF(AND(ISNUMBER($G56),$G56&lt;0),"Age reversal — this horizon is younger than one above it. A mixed or disturbed profile may not be datable at all. ","")&amp;IF(AND(ISNUMBER($D56),ISNUMBER($C56),$C56&gt;0,$D56/$C56&gt;0.5),"Age uncertainty exceeds 50% of the age. Usable as an indication only. ","")&amp;IF(AND($D56="",$C56&lt;&gt;""),"No uncertainty given. Every radiometric age has one; a rate without it cannot be defended. ",""))</f>
        <v/>
      </c>
      <c r="J56" s="16">
        <f t="shared" si="0"/>
        <v>0</v>
      </c>
      <c r="K56" s="16" t="str">
        <f>IF(OR($A56="",NOT(ISNUMBER($B56))),"",SUMPRODUCT(MAX(('4. Chronology'!$A$5:$A$204=$A56)*('4. Chronology'!$B$5:$B$204&lt;$B56)*'4. Chronology'!$B$5:$B$204)))</f>
        <v/>
      </c>
    </row>
    <row r="57" spans="1:11" ht="15.75" customHeight="1">
      <c r="A57" s="14"/>
      <c r="B57" s="14"/>
      <c r="C57" s="14"/>
      <c r="D57" s="14"/>
      <c r="E57" s="14"/>
      <c r="F57" s="16" t="str">
        <f>IF(OR($A57="",NOT(ISNUMBER($B57))),"",SUMIFS(community_cores_FS!$P$5:$P$597,community_cores_FS!$B$5:$B$597,$A57,community_cores_FS!$F$5:$F$597,"&lt;="&amp;$B57)+SUMPRODUCT((community_cores_FS!$B$5:$B$597=$A57)*(community_cores_FS!$E$5:$E$597&lt;$B57)*(community_cores_FS!$F$5:$F$597&gt;$B57)*community_cores_FS!$R$5:$R$597*($B57-community_cores_FS!$E$5:$E$597)))</f>
        <v/>
      </c>
      <c r="G57" s="16" t="str">
        <f>IF(OR($A57="",NOT(ISNUMBER($B57)),NOT(ISNUMBER($C57))),"",IFERROR(($B57-$K57)/($C57-IF($K57=0,0,SUMIFS('4. Chronology'!$C$5:$C$204,'4. Chronology'!$A$5:$A$204,$A57,'4. Chronology'!$B$5:$B$204,$K57))),""))</f>
        <v/>
      </c>
      <c r="H57" s="16" t="str">
        <f>IF(OR($A57="",NOT(ISNUMBER($F57)),NOT(ISNUMBER($C57))),"",IFERROR((($F57-IF($K57=0,0,SUMIFS('4. Chronology'!$F$5:$F$204,'4. Chronology'!$A$5:$A$204,$A57,'4. Chronology'!$B$5:$B$204,$K57)))*1000)/($C57-IF($K57=0,0,SUMIFS('4. Chronology'!$C$5:$C$204,'4. Chronology'!$A$5:$A$204,$A57,'4. Chronology'!$B$5:$B$204,$K57))),""))</f>
        <v/>
      </c>
      <c r="I57" s="16" t="str">
        <f>IF($A57="","",IF(COUNTIF('2. Core Log'!$A$5:$A$124,$A57)=0,"Core ID not in Core Log. ","")&amp;IF($E57="","No date source given — RERCA and LORCA need to know which method produced this age. ","")&amp;IF(AND(ISNUMBER($C57),$C57&lt;0),"Negative age: this horizon post-dates the coring year. Check the conversion. ","")&amp;IF(AND(ISNUMBER($G57),$G57&lt;0),"Age reversal — this horizon is younger than one above it. A mixed or disturbed profile may not be datable at all. ","")&amp;IF(AND(ISNUMBER($D57),ISNUMBER($C57),$C57&gt;0,$D57/$C57&gt;0.5),"Age uncertainty exceeds 50% of the age. Usable as an indication only. ","")&amp;IF(AND($D57="",$C57&lt;&gt;""),"No uncertainty given. Every radiometric age has one; a rate without it cannot be defended. ",""))</f>
        <v/>
      </c>
      <c r="J57" s="16">
        <f t="shared" si="0"/>
        <v>0</v>
      </c>
      <c r="K57" s="16" t="str">
        <f>IF(OR($A57="",NOT(ISNUMBER($B57))),"",SUMPRODUCT(MAX(('4. Chronology'!$A$5:$A$204=$A57)*('4. Chronology'!$B$5:$B$204&lt;$B57)*'4. Chronology'!$B$5:$B$204)))</f>
        <v/>
      </c>
    </row>
    <row r="58" spans="1:11" ht="15.75" customHeight="1">
      <c r="A58" s="14"/>
      <c r="B58" s="14"/>
      <c r="C58" s="14"/>
      <c r="D58" s="14"/>
      <c r="E58" s="14"/>
      <c r="F58" s="16" t="str">
        <f>IF(OR($A58="",NOT(ISNUMBER($B58))),"",SUMIFS(community_cores_FS!$P$5:$P$597,community_cores_FS!$B$5:$B$597,$A58,community_cores_FS!$F$5:$F$597,"&lt;="&amp;$B58)+SUMPRODUCT((community_cores_FS!$B$5:$B$597=$A58)*(community_cores_FS!$E$5:$E$597&lt;$B58)*(community_cores_FS!$F$5:$F$597&gt;$B58)*community_cores_FS!$R$5:$R$597*($B58-community_cores_FS!$E$5:$E$597)))</f>
        <v/>
      </c>
      <c r="G58" s="16" t="str">
        <f>IF(OR($A58="",NOT(ISNUMBER($B58)),NOT(ISNUMBER($C58))),"",IFERROR(($B58-$K58)/($C58-IF($K58=0,0,SUMIFS('4. Chronology'!$C$5:$C$204,'4. Chronology'!$A$5:$A$204,$A58,'4. Chronology'!$B$5:$B$204,$K58))),""))</f>
        <v/>
      </c>
      <c r="H58" s="16" t="str">
        <f>IF(OR($A58="",NOT(ISNUMBER($F58)),NOT(ISNUMBER($C58))),"",IFERROR((($F58-IF($K58=0,0,SUMIFS('4. Chronology'!$F$5:$F$204,'4. Chronology'!$A$5:$A$204,$A58,'4. Chronology'!$B$5:$B$204,$K58)))*1000)/($C58-IF($K58=0,0,SUMIFS('4. Chronology'!$C$5:$C$204,'4. Chronology'!$A$5:$A$204,$A58,'4. Chronology'!$B$5:$B$204,$K58))),""))</f>
        <v/>
      </c>
      <c r="I58" s="16" t="str">
        <f>IF($A58="","",IF(COUNTIF('2. Core Log'!$A$5:$A$124,$A58)=0,"Core ID not in Core Log. ","")&amp;IF($E58="","No date source given — RERCA and LORCA need to know which method produced this age. ","")&amp;IF(AND(ISNUMBER($C58),$C58&lt;0),"Negative age: this horizon post-dates the coring year. Check the conversion. ","")&amp;IF(AND(ISNUMBER($G58),$G58&lt;0),"Age reversal — this horizon is younger than one above it. A mixed or disturbed profile may not be datable at all. ","")&amp;IF(AND(ISNUMBER($D58),ISNUMBER($C58),$C58&gt;0,$D58/$C58&gt;0.5),"Age uncertainty exceeds 50% of the age. Usable as an indication only. ","")&amp;IF(AND($D58="",$C58&lt;&gt;""),"No uncertainty given. Every radiometric age has one; a rate without it cannot be defended. ",""))</f>
        <v/>
      </c>
      <c r="J58" s="16">
        <f t="shared" si="0"/>
        <v>0</v>
      </c>
      <c r="K58" s="16" t="str">
        <f>IF(OR($A58="",NOT(ISNUMBER($B58))),"",SUMPRODUCT(MAX(('4. Chronology'!$A$5:$A$204=$A58)*('4. Chronology'!$B$5:$B$204&lt;$B58)*'4. Chronology'!$B$5:$B$204)))</f>
        <v/>
      </c>
    </row>
    <row r="59" spans="1:11" ht="15.75" customHeight="1">
      <c r="A59" s="14"/>
      <c r="B59" s="14"/>
      <c r="C59" s="14"/>
      <c r="D59" s="14"/>
      <c r="E59" s="14"/>
      <c r="F59" s="16" t="str">
        <f>IF(OR($A59="",NOT(ISNUMBER($B59))),"",SUMIFS(community_cores_FS!$P$5:$P$597,community_cores_FS!$B$5:$B$597,$A59,community_cores_FS!$F$5:$F$597,"&lt;="&amp;$B59)+SUMPRODUCT((community_cores_FS!$B$5:$B$597=$A59)*(community_cores_FS!$E$5:$E$597&lt;$B59)*(community_cores_FS!$F$5:$F$597&gt;$B59)*community_cores_FS!$R$5:$R$597*($B59-community_cores_FS!$E$5:$E$597)))</f>
        <v/>
      </c>
      <c r="G59" s="16" t="str">
        <f>IF(OR($A59="",NOT(ISNUMBER($B59)),NOT(ISNUMBER($C59))),"",IFERROR(($B59-$K59)/($C59-IF($K59=0,0,SUMIFS('4. Chronology'!$C$5:$C$204,'4. Chronology'!$A$5:$A$204,$A59,'4. Chronology'!$B$5:$B$204,$K59))),""))</f>
        <v/>
      </c>
      <c r="H59" s="16" t="str">
        <f>IF(OR($A59="",NOT(ISNUMBER($F59)),NOT(ISNUMBER($C59))),"",IFERROR((($F59-IF($K59=0,0,SUMIFS('4. Chronology'!$F$5:$F$204,'4. Chronology'!$A$5:$A$204,$A59,'4. Chronology'!$B$5:$B$204,$K59)))*1000)/($C59-IF($K59=0,0,SUMIFS('4. Chronology'!$C$5:$C$204,'4. Chronology'!$A$5:$A$204,$A59,'4. Chronology'!$B$5:$B$204,$K59))),""))</f>
        <v/>
      </c>
      <c r="I59" s="16" t="str">
        <f>IF($A59="","",IF(COUNTIF('2. Core Log'!$A$5:$A$124,$A59)=0,"Core ID not in Core Log. ","")&amp;IF($E59="","No date source given — RERCA and LORCA need to know which method produced this age. ","")&amp;IF(AND(ISNUMBER($C59),$C59&lt;0),"Negative age: this horizon post-dates the coring year. Check the conversion. ","")&amp;IF(AND(ISNUMBER($G59),$G59&lt;0),"Age reversal — this horizon is younger than one above it. A mixed or disturbed profile may not be datable at all. ","")&amp;IF(AND(ISNUMBER($D59),ISNUMBER($C59),$C59&gt;0,$D59/$C59&gt;0.5),"Age uncertainty exceeds 50% of the age. Usable as an indication only. ","")&amp;IF(AND($D59="",$C59&lt;&gt;""),"No uncertainty given. Every radiometric age has one; a rate without it cannot be defended. ",""))</f>
        <v/>
      </c>
      <c r="J59" s="16">
        <f t="shared" si="0"/>
        <v>0</v>
      </c>
      <c r="K59" s="16" t="str">
        <f>IF(OR($A59="",NOT(ISNUMBER($B59))),"",SUMPRODUCT(MAX(('4. Chronology'!$A$5:$A$204=$A59)*('4. Chronology'!$B$5:$B$204&lt;$B59)*'4. Chronology'!$B$5:$B$204)))</f>
        <v/>
      </c>
    </row>
    <row r="60" spans="1:11" ht="15.75" customHeight="1">
      <c r="A60" s="14"/>
      <c r="B60" s="14"/>
      <c r="C60" s="14"/>
      <c r="D60" s="14"/>
      <c r="E60" s="14"/>
      <c r="F60" s="16" t="str">
        <f>IF(OR($A60="",NOT(ISNUMBER($B60))),"",SUMIFS(community_cores_FS!$P$5:$P$597,community_cores_FS!$B$5:$B$597,$A60,community_cores_FS!$F$5:$F$597,"&lt;="&amp;$B60)+SUMPRODUCT((community_cores_FS!$B$5:$B$597=$A60)*(community_cores_FS!$E$5:$E$597&lt;$B60)*(community_cores_FS!$F$5:$F$597&gt;$B60)*community_cores_FS!$R$5:$R$597*($B60-community_cores_FS!$E$5:$E$597)))</f>
        <v/>
      </c>
      <c r="G60" s="16" t="str">
        <f>IF(OR($A60="",NOT(ISNUMBER($B60)),NOT(ISNUMBER($C60))),"",IFERROR(($B60-$K60)/($C60-IF($K60=0,0,SUMIFS('4. Chronology'!$C$5:$C$204,'4. Chronology'!$A$5:$A$204,$A60,'4. Chronology'!$B$5:$B$204,$K60))),""))</f>
        <v/>
      </c>
      <c r="H60" s="16" t="str">
        <f>IF(OR($A60="",NOT(ISNUMBER($F60)),NOT(ISNUMBER($C60))),"",IFERROR((($F60-IF($K60=0,0,SUMIFS('4. Chronology'!$F$5:$F$204,'4. Chronology'!$A$5:$A$204,$A60,'4. Chronology'!$B$5:$B$204,$K60)))*1000)/($C60-IF($K60=0,0,SUMIFS('4. Chronology'!$C$5:$C$204,'4. Chronology'!$A$5:$A$204,$A60,'4. Chronology'!$B$5:$B$204,$K60))),""))</f>
        <v/>
      </c>
      <c r="I60" s="16" t="str">
        <f>IF($A60="","",IF(COUNTIF('2. Core Log'!$A$5:$A$124,$A60)=0,"Core ID not in Core Log. ","")&amp;IF($E60="","No date source given — RERCA and LORCA need to know which method produced this age. ","")&amp;IF(AND(ISNUMBER($C60),$C60&lt;0),"Negative age: this horizon post-dates the coring year. Check the conversion. ","")&amp;IF(AND(ISNUMBER($G60),$G60&lt;0),"Age reversal — this horizon is younger than one above it. A mixed or disturbed profile may not be datable at all. ","")&amp;IF(AND(ISNUMBER($D60),ISNUMBER($C60),$C60&gt;0,$D60/$C60&gt;0.5),"Age uncertainty exceeds 50% of the age. Usable as an indication only. ","")&amp;IF(AND($D60="",$C60&lt;&gt;""),"No uncertainty given. Every radiometric age has one; a rate without it cannot be defended. ",""))</f>
        <v/>
      </c>
      <c r="J60" s="16">
        <f t="shared" si="0"/>
        <v>0</v>
      </c>
      <c r="K60" s="16" t="str">
        <f>IF(OR($A60="",NOT(ISNUMBER($B60))),"",SUMPRODUCT(MAX(('4. Chronology'!$A$5:$A$204=$A60)*('4. Chronology'!$B$5:$B$204&lt;$B60)*'4. Chronology'!$B$5:$B$204)))</f>
        <v/>
      </c>
    </row>
    <row r="61" spans="1:11" ht="15.75" customHeight="1">
      <c r="A61" s="14"/>
      <c r="B61" s="14"/>
      <c r="C61" s="14"/>
      <c r="D61" s="14"/>
      <c r="E61" s="14"/>
      <c r="F61" s="16" t="str">
        <f>IF(OR($A61="",NOT(ISNUMBER($B61))),"",SUMIFS(community_cores_FS!$P$5:$P$597,community_cores_FS!$B$5:$B$597,$A61,community_cores_FS!$F$5:$F$597,"&lt;="&amp;$B61)+SUMPRODUCT((community_cores_FS!$B$5:$B$597=$A61)*(community_cores_FS!$E$5:$E$597&lt;$B61)*(community_cores_FS!$F$5:$F$597&gt;$B61)*community_cores_FS!$R$5:$R$597*($B61-community_cores_FS!$E$5:$E$597)))</f>
        <v/>
      </c>
      <c r="G61" s="16" t="str">
        <f>IF(OR($A61="",NOT(ISNUMBER($B61)),NOT(ISNUMBER($C61))),"",IFERROR(($B61-$K61)/($C61-IF($K61=0,0,SUMIFS('4. Chronology'!$C$5:$C$204,'4. Chronology'!$A$5:$A$204,$A61,'4. Chronology'!$B$5:$B$204,$K61))),""))</f>
        <v/>
      </c>
      <c r="H61" s="16" t="str">
        <f>IF(OR($A61="",NOT(ISNUMBER($F61)),NOT(ISNUMBER($C61))),"",IFERROR((($F61-IF($K61=0,0,SUMIFS('4. Chronology'!$F$5:$F$204,'4. Chronology'!$A$5:$A$204,$A61,'4. Chronology'!$B$5:$B$204,$K61)))*1000)/($C61-IF($K61=0,0,SUMIFS('4. Chronology'!$C$5:$C$204,'4. Chronology'!$A$5:$A$204,$A61,'4. Chronology'!$B$5:$B$204,$K61))),""))</f>
        <v/>
      </c>
      <c r="I61" s="16" t="str">
        <f>IF($A61="","",IF(COUNTIF('2. Core Log'!$A$5:$A$124,$A61)=0,"Core ID not in Core Log. ","")&amp;IF($E61="","No date source given — RERCA and LORCA need to know which method produced this age. ","")&amp;IF(AND(ISNUMBER($C61),$C61&lt;0),"Negative age: this horizon post-dates the coring year. Check the conversion. ","")&amp;IF(AND(ISNUMBER($G61),$G61&lt;0),"Age reversal — this horizon is younger than one above it. A mixed or disturbed profile may not be datable at all. ","")&amp;IF(AND(ISNUMBER($D61),ISNUMBER($C61),$C61&gt;0,$D61/$C61&gt;0.5),"Age uncertainty exceeds 50% of the age. Usable as an indication only. ","")&amp;IF(AND($D61="",$C61&lt;&gt;""),"No uncertainty given. Every radiometric age has one; a rate without it cannot be defended. ",""))</f>
        <v/>
      </c>
      <c r="J61" s="16">
        <f t="shared" si="0"/>
        <v>0</v>
      </c>
      <c r="K61" s="16" t="str">
        <f>IF(OR($A61="",NOT(ISNUMBER($B61))),"",SUMPRODUCT(MAX(('4. Chronology'!$A$5:$A$204=$A61)*('4. Chronology'!$B$5:$B$204&lt;$B61)*'4. Chronology'!$B$5:$B$204)))</f>
        <v/>
      </c>
    </row>
    <row r="62" spans="1:11" ht="15.75" customHeight="1">
      <c r="A62" s="14"/>
      <c r="B62" s="14"/>
      <c r="C62" s="14"/>
      <c r="D62" s="14"/>
      <c r="E62" s="14"/>
      <c r="F62" s="16" t="str">
        <f>IF(OR($A62="",NOT(ISNUMBER($B62))),"",SUMIFS(community_cores_FS!$P$5:$P$597,community_cores_FS!$B$5:$B$597,$A62,community_cores_FS!$F$5:$F$597,"&lt;="&amp;$B62)+SUMPRODUCT((community_cores_FS!$B$5:$B$597=$A62)*(community_cores_FS!$E$5:$E$597&lt;$B62)*(community_cores_FS!$F$5:$F$597&gt;$B62)*community_cores_FS!$R$5:$R$597*($B62-community_cores_FS!$E$5:$E$597)))</f>
        <v/>
      </c>
      <c r="G62" s="16" t="str">
        <f>IF(OR($A62="",NOT(ISNUMBER($B62)),NOT(ISNUMBER($C62))),"",IFERROR(($B62-$K62)/($C62-IF($K62=0,0,SUMIFS('4. Chronology'!$C$5:$C$204,'4. Chronology'!$A$5:$A$204,$A62,'4. Chronology'!$B$5:$B$204,$K62))),""))</f>
        <v/>
      </c>
      <c r="H62" s="16" t="str">
        <f>IF(OR($A62="",NOT(ISNUMBER($F62)),NOT(ISNUMBER($C62))),"",IFERROR((($F62-IF($K62=0,0,SUMIFS('4. Chronology'!$F$5:$F$204,'4. Chronology'!$A$5:$A$204,$A62,'4. Chronology'!$B$5:$B$204,$K62)))*1000)/($C62-IF($K62=0,0,SUMIFS('4. Chronology'!$C$5:$C$204,'4. Chronology'!$A$5:$A$204,$A62,'4. Chronology'!$B$5:$B$204,$K62))),""))</f>
        <v/>
      </c>
      <c r="I62" s="16" t="str">
        <f>IF($A62="","",IF(COUNTIF('2. Core Log'!$A$5:$A$124,$A62)=0,"Core ID not in Core Log. ","")&amp;IF($E62="","No date source given — RERCA and LORCA need to know which method produced this age. ","")&amp;IF(AND(ISNUMBER($C62),$C62&lt;0),"Negative age: this horizon post-dates the coring year. Check the conversion. ","")&amp;IF(AND(ISNUMBER($G62),$G62&lt;0),"Age reversal — this horizon is younger than one above it. A mixed or disturbed profile may not be datable at all. ","")&amp;IF(AND(ISNUMBER($D62),ISNUMBER($C62),$C62&gt;0,$D62/$C62&gt;0.5),"Age uncertainty exceeds 50% of the age. Usable as an indication only. ","")&amp;IF(AND($D62="",$C62&lt;&gt;""),"No uncertainty given. Every radiometric age has one; a rate without it cannot be defended. ",""))</f>
        <v/>
      </c>
      <c r="J62" s="16">
        <f t="shared" si="0"/>
        <v>0</v>
      </c>
      <c r="K62" s="16" t="str">
        <f>IF(OR($A62="",NOT(ISNUMBER($B62))),"",SUMPRODUCT(MAX(('4. Chronology'!$A$5:$A$204=$A62)*('4. Chronology'!$B$5:$B$204&lt;$B62)*'4. Chronology'!$B$5:$B$204)))</f>
        <v/>
      </c>
    </row>
    <row r="63" spans="1:11" ht="15.75" customHeight="1">
      <c r="A63" s="14"/>
      <c r="B63" s="14"/>
      <c r="C63" s="14"/>
      <c r="D63" s="14"/>
      <c r="E63" s="14"/>
      <c r="F63" s="16" t="str">
        <f>IF(OR($A63="",NOT(ISNUMBER($B63))),"",SUMIFS(community_cores_FS!$P$5:$P$597,community_cores_FS!$B$5:$B$597,$A63,community_cores_FS!$F$5:$F$597,"&lt;="&amp;$B63)+SUMPRODUCT((community_cores_FS!$B$5:$B$597=$A63)*(community_cores_FS!$E$5:$E$597&lt;$B63)*(community_cores_FS!$F$5:$F$597&gt;$B63)*community_cores_FS!$R$5:$R$597*($B63-community_cores_FS!$E$5:$E$597)))</f>
        <v/>
      </c>
      <c r="G63" s="16" t="str">
        <f>IF(OR($A63="",NOT(ISNUMBER($B63)),NOT(ISNUMBER($C63))),"",IFERROR(($B63-$K63)/($C63-IF($K63=0,0,SUMIFS('4. Chronology'!$C$5:$C$204,'4. Chronology'!$A$5:$A$204,$A63,'4. Chronology'!$B$5:$B$204,$K63))),""))</f>
        <v/>
      </c>
      <c r="H63" s="16" t="str">
        <f>IF(OR($A63="",NOT(ISNUMBER($F63)),NOT(ISNUMBER($C63))),"",IFERROR((($F63-IF($K63=0,0,SUMIFS('4. Chronology'!$F$5:$F$204,'4. Chronology'!$A$5:$A$204,$A63,'4. Chronology'!$B$5:$B$204,$K63)))*1000)/($C63-IF($K63=0,0,SUMIFS('4. Chronology'!$C$5:$C$204,'4. Chronology'!$A$5:$A$204,$A63,'4. Chronology'!$B$5:$B$204,$K63))),""))</f>
        <v/>
      </c>
      <c r="I63" s="16" t="str">
        <f>IF($A63="","",IF(COUNTIF('2. Core Log'!$A$5:$A$124,$A63)=0,"Core ID not in Core Log. ","")&amp;IF($E63="","No date source given — RERCA and LORCA need to know which method produced this age. ","")&amp;IF(AND(ISNUMBER($C63),$C63&lt;0),"Negative age: this horizon post-dates the coring year. Check the conversion. ","")&amp;IF(AND(ISNUMBER($G63),$G63&lt;0),"Age reversal — this horizon is younger than one above it. A mixed or disturbed profile may not be datable at all. ","")&amp;IF(AND(ISNUMBER($D63),ISNUMBER($C63),$C63&gt;0,$D63/$C63&gt;0.5),"Age uncertainty exceeds 50% of the age. Usable as an indication only. ","")&amp;IF(AND($D63="",$C63&lt;&gt;""),"No uncertainty given. Every radiometric age has one; a rate without it cannot be defended. ",""))</f>
        <v/>
      </c>
      <c r="J63" s="16">
        <f t="shared" si="0"/>
        <v>0</v>
      </c>
      <c r="K63" s="16" t="str">
        <f>IF(OR($A63="",NOT(ISNUMBER($B63))),"",SUMPRODUCT(MAX(('4. Chronology'!$A$5:$A$204=$A63)*('4. Chronology'!$B$5:$B$204&lt;$B63)*'4. Chronology'!$B$5:$B$204)))</f>
        <v/>
      </c>
    </row>
    <row r="64" spans="1:11" ht="15.75" customHeight="1">
      <c r="A64" s="14"/>
      <c r="B64" s="14"/>
      <c r="C64" s="14"/>
      <c r="D64" s="14"/>
      <c r="E64" s="14"/>
      <c r="F64" s="16" t="str">
        <f>IF(OR($A64="",NOT(ISNUMBER($B64))),"",SUMIFS(community_cores_FS!$P$5:$P$597,community_cores_FS!$B$5:$B$597,$A64,community_cores_FS!$F$5:$F$597,"&lt;="&amp;$B64)+SUMPRODUCT((community_cores_FS!$B$5:$B$597=$A64)*(community_cores_FS!$E$5:$E$597&lt;$B64)*(community_cores_FS!$F$5:$F$597&gt;$B64)*community_cores_FS!$R$5:$R$597*($B64-community_cores_FS!$E$5:$E$597)))</f>
        <v/>
      </c>
      <c r="G64" s="16" t="str">
        <f>IF(OR($A64="",NOT(ISNUMBER($B64)),NOT(ISNUMBER($C64))),"",IFERROR(($B64-$K64)/($C64-IF($K64=0,0,SUMIFS('4. Chronology'!$C$5:$C$204,'4. Chronology'!$A$5:$A$204,$A64,'4. Chronology'!$B$5:$B$204,$K64))),""))</f>
        <v/>
      </c>
      <c r="H64" s="16" t="str">
        <f>IF(OR($A64="",NOT(ISNUMBER($F64)),NOT(ISNUMBER($C64))),"",IFERROR((($F64-IF($K64=0,0,SUMIFS('4. Chronology'!$F$5:$F$204,'4. Chronology'!$A$5:$A$204,$A64,'4. Chronology'!$B$5:$B$204,$K64)))*1000)/($C64-IF($K64=0,0,SUMIFS('4. Chronology'!$C$5:$C$204,'4. Chronology'!$A$5:$A$204,$A64,'4. Chronology'!$B$5:$B$204,$K64))),""))</f>
        <v/>
      </c>
      <c r="I64" s="16" t="str">
        <f>IF($A64="","",IF(COUNTIF('2. Core Log'!$A$5:$A$124,$A64)=0,"Core ID not in Core Log. ","")&amp;IF($E64="","No date source given — RERCA and LORCA need to know which method produced this age. ","")&amp;IF(AND(ISNUMBER($C64),$C64&lt;0),"Negative age: this horizon post-dates the coring year. Check the conversion. ","")&amp;IF(AND(ISNUMBER($G64),$G64&lt;0),"Age reversal — this horizon is younger than one above it. A mixed or disturbed profile may not be datable at all. ","")&amp;IF(AND(ISNUMBER($D64),ISNUMBER($C64),$C64&gt;0,$D64/$C64&gt;0.5),"Age uncertainty exceeds 50% of the age. Usable as an indication only. ","")&amp;IF(AND($D64="",$C64&lt;&gt;""),"No uncertainty given. Every radiometric age has one; a rate without it cannot be defended. ",""))</f>
        <v/>
      </c>
      <c r="J64" s="16">
        <f t="shared" si="0"/>
        <v>0</v>
      </c>
      <c r="K64" s="16" t="str">
        <f>IF(OR($A64="",NOT(ISNUMBER($B64))),"",SUMPRODUCT(MAX(('4. Chronology'!$A$5:$A$204=$A64)*('4. Chronology'!$B$5:$B$204&lt;$B64)*'4. Chronology'!$B$5:$B$204)))</f>
        <v/>
      </c>
    </row>
    <row r="65" spans="1:11" ht="15.75" customHeight="1">
      <c r="A65" s="14"/>
      <c r="B65" s="14"/>
      <c r="C65" s="14"/>
      <c r="D65" s="14"/>
      <c r="E65" s="14"/>
      <c r="F65" s="16" t="str">
        <f>IF(OR($A65="",NOT(ISNUMBER($B65))),"",SUMIFS(community_cores_FS!$P$5:$P$597,community_cores_FS!$B$5:$B$597,$A65,community_cores_FS!$F$5:$F$597,"&lt;="&amp;$B65)+SUMPRODUCT((community_cores_FS!$B$5:$B$597=$A65)*(community_cores_FS!$E$5:$E$597&lt;$B65)*(community_cores_FS!$F$5:$F$597&gt;$B65)*community_cores_FS!$R$5:$R$597*($B65-community_cores_FS!$E$5:$E$597)))</f>
        <v/>
      </c>
      <c r="G65" s="16" t="str">
        <f>IF(OR($A65="",NOT(ISNUMBER($B65)),NOT(ISNUMBER($C65))),"",IFERROR(($B65-$K65)/($C65-IF($K65=0,0,SUMIFS('4. Chronology'!$C$5:$C$204,'4. Chronology'!$A$5:$A$204,$A65,'4. Chronology'!$B$5:$B$204,$K65))),""))</f>
        <v/>
      </c>
      <c r="H65" s="16" t="str">
        <f>IF(OR($A65="",NOT(ISNUMBER($F65)),NOT(ISNUMBER($C65))),"",IFERROR((($F65-IF($K65=0,0,SUMIFS('4. Chronology'!$F$5:$F$204,'4. Chronology'!$A$5:$A$204,$A65,'4. Chronology'!$B$5:$B$204,$K65)))*1000)/($C65-IF($K65=0,0,SUMIFS('4. Chronology'!$C$5:$C$204,'4. Chronology'!$A$5:$A$204,$A65,'4. Chronology'!$B$5:$B$204,$K65))),""))</f>
        <v/>
      </c>
      <c r="I65" s="16" t="str">
        <f>IF($A65="","",IF(COUNTIF('2. Core Log'!$A$5:$A$124,$A65)=0,"Core ID not in Core Log. ","")&amp;IF($E65="","No date source given — RERCA and LORCA need to know which method produced this age. ","")&amp;IF(AND(ISNUMBER($C65),$C65&lt;0),"Negative age: this horizon post-dates the coring year. Check the conversion. ","")&amp;IF(AND(ISNUMBER($G65),$G65&lt;0),"Age reversal — this horizon is younger than one above it. A mixed or disturbed profile may not be datable at all. ","")&amp;IF(AND(ISNUMBER($D65),ISNUMBER($C65),$C65&gt;0,$D65/$C65&gt;0.5),"Age uncertainty exceeds 50% of the age. Usable as an indication only. ","")&amp;IF(AND($D65="",$C65&lt;&gt;""),"No uncertainty given. Every radiometric age has one; a rate without it cannot be defended. ",""))</f>
        <v/>
      </c>
      <c r="J65" s="16">
        <f t="shared" si="0"/>
        <v>0</v>
      </c>
      <c r="K65" s="16" t="str">
        <f>IF(OR($A65="",NOT(ISNUMBER($B65))),"",SUMPRODUCT(MAX(('4. Chronology'!$A$5:$A$204=$A65)*('4. Chronology'!$B$5:$B$204&lt;$B65)*'4. Chronology'!$B$5:$B$204)))</f>
        <v/>
      </c>
    </row>
    <row r="66" spans="1:11" ht="15.75" customHeight="1">
      <c r="A66" s="14"/>
      <c r="B66" s="14"/>
      <c r="C66" s="14"/>
      <c r="D66" s="14"/>
      <c r="E66" s="14"/>
      <c r="F66" s="16" t="str">
        <f>IF(OR($A66="",NOT(ISNUMBER($B66))),"",SUMIFS(community_cores_FS!$P$5:$P$597,community_cores_FS!$B$5:$B$597,$A66,community_cores_FS!$F$5:$F$597,"&lt;="&amp;$B66)+SUMPRODUCT((community_cores_FS!$B$5:$B$597=$A66)*(community_cores_FS!$E$5:$E$597&lt;$B66)*(community_cores_FS!$F$5:$F$597&gt;$B66)*community_cores_FS!$R$5:$R$597*($B66-community_cores_FS!$E$5:$E$597)))</f>
        <v/>
      </c>
      <c r="G66" s="16" t="str">
        <f>IF(OR($A66="",NOT(ISNUMBER($B66)),NOT(ISNUMBER($C66))),"",IFERROR(($B66-$K66)/($C66-IF($K66=0,0,SUMIFS('4. Chronology'!$C$5:$C$204,'4. Chronology'!$A$5:$A$204,$A66,'4. Chronology'!$B$5:$B$204,$K66))),""))</f>
        <v/>
      </c>
      <c r="H66" s="16" t="str">
        <f>IF(OR($A66="",NOT(ISNUMBER($F66)),NOT(ISNUMBER($C66))),"",IFERROR((($F66-IF($K66=0,0,SUMIFS('4. Chronology'!$F$5:$F$204,'4. Chronology'!$A$5:$A$204,$A66,'4. Chronology'!$B$5:$B$204,$K66)))*1000)/($C66-IF($K66=0,0,SUMIFS('4. Chronology'!$C$5:$C$204,'4. Chronology'!$A$5:$A$204,$A66,'4. Chronology'!$B$5:$B$204,$K66))),""))</f>
        <v/>
      </c>
      <c r="I66" s="16" t="str">
        <f>IF($A66="","",IF(COUNTIF('2. Core Log'!$A$5:$A$124,$A66)=0,"Core ID not in Core Log. ","")&amp;IF($E66="","No date source given — RERCA and LORCA need to know which method produced this age. ","")&amp;IF(AND(ISNUMBER($C66),$C66&lt;0),"Negative age: this horizon post-dates the coring year. Check the conversion. ","")&amp;IF(AND(ISNUMBER($G66),$G66&lt;0),"Age reversal — this horizon is younger than one above it. A mixed or disturbed profile may not be datable at all. ","")&amp;IF(AND(ISNUMBER($D66),ISNUMBER($C66),$C66&gt;0,$D66/$C66&gt;0.5),"Age uncertainty exceeds 50% of the age. Usable as an indication only. ","")&amp;IF(AND($D66="",$C66&lt;&gt;""),"No uncertainty given. Every radiometric age has one; a rate without it cannot be defended. ",""))</f>
        <v/>
      </c>
      <c r="J66" s="16">
        <f t="shared" si="0"/>
        <v>0</v>
      </c>
      <c r="K66" s="16" t="str">
        <f>IF(OR($A66="",NOT(ISNUMBER($B66))),"",SUMPRODUCT(MAX(('4. Chronology'!$A$5:$A$204=$A66)*('4. Chronology'!$B$5:$B$204&lt;$B66)*'4. Chronology'!$B$5:$B$204)))</f>
        <v/>
      </c>
    </row>
    <row r="67" spans="1:11" ht="15.75" customHeight="1">
      <c r="A67" s="14"/>
      <c r="B67" s="14"/>
      <c r="C67" s="14"/>
      <c r="D67" s="14"/>
      <c r="E67" s="14"/>
      <c r="F67" s="16" t="str">
        <f>IF(OR($A67="",NOT(ISNUMBER($B67))),"",SUMIFS(community_cores_FS!$P$5:$P$597,community_cores_FS!$B$5:$B$597,$A67,community_cores_FS!$F$5:$F$597,"&lt;="&amp;$B67)+SUMPRODUCT((community_cores_FS!$B$5:$B$597=$A67)*(community_cores_FS!$E$5:$E$597&lt;$B67)*(community_cores_FS!$F$5:$F$597&gt;$B67)*community_cores_FS!$R$5:$R$597*($B67-community_cores_FS!$E$5:$E$597)))</f>
        <v/>
      </c>
      <c r="G67" s="16" t="str">
        <f>IF(OR($A67="",NOT(ISNUMBER($B67)),NOT(ISNUMBER($C67))),"",IFERROR(($B67-$K67)/($C67-IF($K67=0,0,SUMIFS('4. Chronology'!$C$5:$C$204,'4. Chronology'!$A$5:$A$204,$A67,'4. Chronology'!$B$5:$B$204,$K67))),""))</f>
        <v/>
      </c>
      <c r="H67" s="16" t="str">
        <f>IF(OR($A67="",NOT(ISNUMBER($F67)),NOT(ISNUMBER($C67))),"",IFERROR((($F67-IF($K67=0,0,SUMIFS('4. Chronology'!$F$5:$F$204,'4. Chronology'!$A$5:$A$204,$A67,'4. Chronology'!$B$5:$B$204,$K67)))*1000)/($C67-IF($K67=0,0,SUMIFS('4. Chronology'!$C$5:$C$204,'4. Chronology'!$A$5:$A$204,$A67,'4. Chronology'!$B$5:$B$204,$K67))),""))</f>
        <v/>
      </c>
      <c r="I67" s="16" t="str">
        <f>IF($A67="","",IF(COUNTIF('2. Core Log'!$A$5:$A$124,$A67)=0,"Core ID not in Core Log. ","")&amp;IF($E67="","No date source given — RERCA and LORCA need to know which method produced this age. ","")&amp;IF(AND(ISNUMBER($C67),$C67&lt;0),"Negative age: this horizon post-dates the coring year. Check the conversion. ","")&amp;IF(AND(ISNUMBER($G67),$G67&lt;0),"Age reversal — this horizon is younger than one above it. A mixed or disturbed profile may not be datable at all. ","")&amp;IF(AND(ISNUMBER($D67),ISNUMBER($C67),$C67&gt;0,$D67/$C67&gt;0.5),"Age uncertainty exceeds 50% of the age. Usable as an indication only. ","")&amp;IF(AND($D67="",$C67&lt;&gt;""),"No uncertainty given. Every radiometric age has one; a rate without it cannot be defended. ",""))</f>
        <v/>
      </c>
      <c r="J67" s="16">
        <f t="shared" si="0"/>
        <v>0</v>
      </c>
      <c r="K67" s="16" t="str">
        <f>IF(OR($A67="",NOT(ISNUMBER($B67))),"",SUMPRODUCT(MAX(('4. Chronology'!$A$5:$A$204=$A67)*('4. Chronology'!$B$5:$B$204&lt;$B67)*'4. Chronology'!$B$5:$B$204)))</f>
        <v/>
      </c>
    </row>
    <row r="68" spans="1:11" ht="15.75" customHeight="1">
      <c r="A68" s="14"/>
      <c r="B68" s="14"/>
      <c r="C68" s="14"/>
      <c r="D68" s="14"/>
      <c r="E68" s="14"/>
      <c r="F68" s="16" t="str">
        <f>IF(OR($A68="",NOT(ISNUMBER($B68))),"",SUMIFS(community_cores_FS!$P$5:$P$597,community_cores_FS!$B$5:$B$597,$A68,community_cores_FS!$F$5:$F$597,"&lt;="&amp;$B68)+SUMPRODUCT((community_cores_FS!$B$5:$B$597=$A68)*(community_cores_FS!$E$5:$E$597&lt;$B68)*(community_cores_FS!$F$5:$F$597&gt;$B68)*community_cores_FS!$R$5:$R$597*($B68-community_cores_FS!$E$5:$E$597)))</f>
        <v/>
      </c>
      <c r="G68" s="16" t="str">
        <f>IF(OR($A68="",NOT(ISNUMBER($B68)),NOT(ISNUMBER($C68))),"",IFERROR(($B68-$K68)/($C68-IF($K68=0,0,SUMIFS('4. Chronology'!$C$5:$C$204,'4. Chronology'!$A$5:$A$204,$A68,'4. Chronology'!$B$5:$B$204,$K68))),""))</f>
        <v/>
      </c>
      <c r="H68" s="16" t="str">
        <f>IF(OR($A68="",NOT(ISNUMBER($F68)),NOT(ISNUMBER($C68))),"",IFERROR((($F68-IF($K68=0,0,SUMIFS('4. Chronology'!$F$5:$F$204,'4. Chronology'!$A$5:$A$204,$A68,'4. Chronology'!$B$5:$B$204,$K68)))*1000)/($C68-IF($K68=0,0,SUMIFS('4. Chronology'!$C$5:$C$204,'4. Chronology'!$A$5:$A$204,$A68,'4. Chronology'!$B$5:$B$204,$K68))),""))</f>
        <v/>
      </c>
      <c r="I68" s="16" t="str">
        <f>IF($A68="","",IF(COUNTIF('2. Core Log'!$A$5:$A$124,$A68)=0,"Core ID not in Core Log. ","")&amp;IF($E68="","No date source given — RERCA and LORCA need to know which method produced this age. ","")&amp;IF(AND(ISNUMBER($C68),$C68&lt;0),"Negative age: this horizon post-dates the coring year. Check the conversion. ","")&amp;IF(AND(ISNUMBER($G68),$G68&lt;0),"Age reversal — this horizon is younger than one above it. A mixed or disturbed profile may not be datable at all. ","")&amp;IF(AND(ISNUMBER($D68),ISNUMBER($C68),$C68&gt;0,$D68/$C68&gt;0.5),"Age uncertainty exceeds 50% of the age. Usable as an indication only. ","")&amp;IF(AND($D68="",$C68&lt;&gt;""),"No uncertainty given. Every radiometric age has one; a rate without it cannot be defended. ",""))</f>
        <v/>
      </c>
      <c r="J68" s="16">
        <f t="shared" si="0"/>
        <v>0</v>
      </c>
      <c r="K68" s="16" t="str">
        <f>IF(OR($A68="",NOT(ISNUMBER($B68))),"",SUMPRODUCT(MAX(('4. Chronology'!$A$5:$A$204=$A68)*('4. Chronology'!$B$5:$B$204&lt;$B68)*'4. Chronology'!$B$5:$B$204)))</f>
        <v/>
      </c>
    </row>
    <row r="69" spans="1:11" ht="15.75" customHeight="1">
      <c r="A69" s="14"/>
      <c r="B69" s="14"/>
      <c r="C69" s="14"/>
      <c r="D69" s="14"/>
      <c r="E69" s="14"/>
      <c r="F69" s="16" t="str">
        <f>IF(OR($A69="",NOT(ISNUMBER($B69))),"",SUMIFS(community_cores_FS!$P$5:$P$597,community_cores_FS!$B$5:$B$597,$A69,community_cores_FS!$F$5:$F$597,"&lt;="&amp;$B69)+SUMPRODUCT((community_cores_FS!$B$5:$B$597=$A69)*(community_cores_FS!$E$5:$E$597&lt;$B69)*(community_cores_FS!$F$5:$F$597&gt;$B69)*community_cores_FS!$R$5:$R$597*($B69-community_cores_FS!$E$5:$E$597)))</f>
        <v/>
      </c>
      <c r="G69" s="16" t="str">
        <f>IF(OR($A69="",NOT(ISNUMBER($B69)),NOT(ISNUMBER($C69))),"",IFERROR(($B69-$K69)/($C69-IF($K69=0,0,SUMIFS('4. Chronology'!$C$5:$C$204,'4. Chronology'!$A$5:$A$204,$A69,'4. Chronology'!$B$5:$B$204,$K69))),""))</f>
        <v/>
      </c>
      <c r="H69" s="16" t="str">
        <f>IF(OR($A69="",NOT(ISNUMBER($F69)),NOT(ISNUMBER($C69))),"",IFERROR((($F69-IF($K69=0,0,SUMIFS('4. Chronology'!$F$5:$F$204,'4. Chronology'!$A$5:$A$204,$A69,'4. Chronology'!$B$5:$B$204,$K69)))*1000)/($C69-IF($K69=0,0,SUMIFS('4. Chronology'!$C$5:$C$204,'4. Chronology'!$A$5:$A$204,$A69,'4. Chronology'!$B$5:$B$204,$K69))),""))</f>
        <v/>
      </c>
      <c r="I69" s="16" t="str">
        <f>IF($A69="","",IF(COUNTIF('2. Core Log'!$A$5:$A$124,$A69)=0,"Core ID not in Core Log. ","")&amp;IF($E69="","No date source given — RERCA and LORCA need to know which method produced this age. ","")&amp;IF(AND(ISNUMBER($C69),$C69&lt;0),"Negative age: this horizon post-dates the coring year. Check the conversion. ","")&amp;IF(AND(ISNUMBER($G69),$G69&lt;0),"Age reversal — this horizon is younger than one above it. A mixed or disturbed profile may not be datable at all. ","")&amp;IF(AND(ISNUMBER($D69),ISNUMBER($C69),$C69&gt;0,$D69/$C69&gt;0.5),"Age uncertainty exceeds 50% of the age. Usable as an indication only. ","")&amp;IF(AND($D69="",$C69&lt;&gt;""),"No uncertainty given. Every radiometric age has one; a rate without it cannot be defended. ",""))</f>
        <v/>
      </c>
      <c r="J69" s="16">
        <f t="shared" si="0"/>
        <v>0</v>
      </c>
      <c r="K69" s="16" t="str">
        <f>IF(OR($A69="",NOT(ISNUMBER($B69))),"",SUMPRODUCT(MAX(('4. Chronology'!$A$5:$A$204=$A69)*('4. Chronology'!$B$5:$B$204&lt;$B69)*'4. Chronology'!$B$5:$B$204)))</f>
        <v/>
      </c>
    </row>
    <row r="70" spans="1:11" ht="15.75" customHeight="1">
      <c r="A70" s="14"/>
      <c r="B70" s="14"/>
      <c r="C70" s="14"/>
      <c r="D70" s="14"/>
      <c r="E70" s="14"/>
      <c r="F70" s="16" t="str">
        <f>IF(OR($A70="",NOT(ISNUMBER($B70))),"",SUMIFS(community_cores_FS!$P$5:$P$597,community_cores_FS!$B$5:$B$597,$A70,community_cores_FS!$F$5:$F$597,"&lt;="&amp;$B70)+SUMPRODUCT((community_cores_FS!$B$5:$B$597=$A70)*(community_cores_FS!$E$5:$E$597&lt;$B70)*(community_cores_FS!$F$5:$F$597&gt;$B70)*community_cores_FS!$R$5:$R$597*($B70-community_cores_FS!$E$5:$E$597)))</f>
        <v/>
      </c>
      <c r="G70" s="16" t="str">
        <f>IF(OR($A70="",NOT(ISNUMBER($B70)),NOT(ISNUMBER($C70))),"",IFERROR(($B70-$K70)/($C70-IF($K70=0,0,SUMIFS('4. Chronology'!$C$5:$C$204,'4. Chronology'!$A$5:$A$204,$A70,'4. Chronology'!$B$5:$B$204,$K70))),""))</f>
        <v/>
      </c>
      <c r="H70" s="16" t="str">
        <f>IF(OR($A70="",NOT(ISNUMBER($F70)),NOT(ISNUMBER($C70))),"",IFERROR((($F70-IF($K70=0,0,SUMIFS('4. Chronology'!$F$5:$F$204,'4. Chronology'!$A$5:$A$204,$A70,'4. Chronology'!$B$5:$B$204,$K70)))*1000)/($C70-IF($K70=0,0,SUMIFS('4. Chronology'!$C$5:$C$204,'4. Chronology'!$A$5:$A$204,$A70,'4. Chronology'!$B$5:$B$204,$K70))),""))</f>
        <v/>
      </c>
      <c r="I70" s="16" t="str">
        <f>IF($A70="","",IF(COUNTIF('2. Core Log'!$A$5:$A$124,$A70)=0,"Core ID not in Core Log. ","")&amp;IF($E70="","No date source given — RERCA and LORCA need to know which method produced this age. ","")&amp;IF(AND(ISNUMBER($C70),$C70&lt;0),"Negative age: this horizon post-dates the coring year. Check the conversion. ","")&amp;IF(AND(ISNUMBER($G70),$G70&lt;0),"Age reversal — this horizon is younger than one above it. A mixed or disturbed profile may not be datable at all. ","")&amp;IF(AND(ISNUMBER($D70),ISNUMBER($C70),$C70&gt;0,$D70/$C70&gt;0.5),"Age uncertainty exceeds 50% of the age. Usable as an indication only. ","")&amp;IF(AND($D70="",$C70&lt;&gt;""),"No uncertainty given. Every radiometric age has one; a rate without it cannot be defended. ",""))</f>
        <v/>
      </c>
      <c r="J70" s="16">
        <f t="shared" si="0"/>
        <v>0</v>
      </c>
      <c r="K70" s="16" t="str">
        <f>IF(OR($A70="",NOT(ISNUMBER($B70))),"",SUMPRODUCT(MAX(('4. Chronology'!$A$5:$A$204=$A70)*('4. Chronology'!$B$5:$B$204&lt;$B70)*'4. Chronology'!$B$5:$B$204)))</f>
        <v/>
      </c>
    </row>
    <row r="71" spans="1:11" ht="15.75" customHeight="1">
      <c r="A71" s="14"/>
      <c r="B71" s="14"/>
      <c r="C71" s="14"/>
      <c r="D71" s="14"/>
      <c r="E71" s="14"/>
      <c r="F71" s="16" t="str">
        <f>IF(OR($A71="",NOT(ISNUMBER($B71))),"",SUMIFS(community_cores_FS!$P$5:$P$597,community_cores_FS!$B$5:$B$597,$A71,community_cores_FS!$F$5:$F$597,"&lt;="&amp;$B71)+SUMPRODUCT((community_cores_FS!$B$5:$B$597=$A71)*(community_cores_FS!$E$5:$E$597&lt;$B71)*(community_cores_FS!$F$5:$F$597&gt;$B71)*community_cores_FS!$R$5:$R$597*($B71-community_cores_FS!$E$5:$E$597)))</f>
        <v/>
      </c>
      <c r="G71" s="16" t="str">
        <f>IF(OR($A71="",NOT(ISNUMBER($B71)),NOT(ISNUMBER($C71))),"",IFERROR(($B71-$K71)/($C71-IF($K71=0,0,SUMIFS('4. Chronology'!$C$5:$C$204,'4. Chronology'!$A$5:$A$204,$A71,'4. Chronology'!$B$5:$B$204,$K71))),""))</f>
        <v/>
      </c>
      <c r="H71" s="16" t="str">
        <f>IF(OR($A71="",NOT(ISNUMBER($F71)),NOT(ISNUMBER($C71))),"",IFERROR((($F71-IF($K71=0,0,SUMIFS('4. Chronology'!$F$5:$F$204,'4. Chronology'!$A$5:$A$204,$A71,'4. Chronology'!$B$5:$B$204,$K71)))*1000)/($C71-IF($K71=0,0,SUMIFS('4. Chronology'!$C$5:$C$204,'4. Chronology'!$A$5:$A$204,$A71,'4. Chronology'!$B$5:$B$204,$K71))),""))</f>
        <v/>
      </c>
      <c r="I71" s="16" t="str">
        <f>IF($A71="","",IF(COUNTIF('2. Core Log'!$A$5:$A$124,$A71)=0,"Core ID not in Core Log. ","")&amp;IF($E71="","No date source given — RERCA and LORCA need to know which method produced this age. ","")&amp;IF(AND(ISNUMBER($C71),$C71&lt;0),"Negative age: this horizon post-dates the coring year. Check the conversion. ","")&amp;IF(AND(ISNUMBER($G71),$G71&lt;0),"Age reversal — this horizon is younger than one above it. A mixed or disturbed profile may not be datable at all. ","")&amp;IF(AND(ISNUMBER($D71),ISNUMBER($C71),$C71&gt;0,$D71/$C71&gt;0.5),"Age uncertainty exceeds 50% of the age. Usable as an indication only. ","")&amp;IF(AND($D71="",$C71&lt;&gt;""),"No uncertainty given. Every radiometric age has one; a rate without it cannot be defended. ",""))</f>
        <v/>
      </c>
      <c r="J71" s="16">
        <f t="shared" si="0"/>
        <v>0</v>
      </c>
      <c r="K71" s="16" t="str">
        <f>IF(OR($A71="",NOT(ISNUMBER($B71))),"",SUMPRODUCT(MAX(('4. Chronology'!$A$5:$A$204=$A71)*('4. Chronology'!$B$5:$B$204&lt;$B71)*'4. Chronology'!$B$5:$B$204)))</f>
        <v/>
      </c>
    </row>
    <row r="72" spans="1:11" ht="15.75" customHeight="1">
      <c r="A72" s="14"/>
      <c r="B72" s="14"/>
      <c r="C72" s="14"/>
      <c r="D72" s="14"/>
      <c r="E72" s="14"/>
      <c r="F72" s="16" t="str">
        <f>IF(OR($A72="",NOT(ISNUMBER($B72))),"",SUMIFS(community_cores_FS!$P$5:$P$597,community_cores_FS!$B$5:$B$597,$A72,community_cores_FS!$F$5:$F$597,"&lt;="&amp;$B72)+SUMPRODUCT((community_cores_FS!$B$5:$B$597=$A72)*(community_cores_FS!$E$5:$E$597&lt;$B72)*(community_cores_FS!$F$5:$F$597&gt;$B72)*community_cores_FS!$R$5:$R$597*($B72-community_cores_FS!$E$5:$E$597)))</f>
        <v/>
      </c>
      <c r="G72" s="16" t="str">
        <f>IF(OR($A72="",NOT(ISNUMBER($B72)),NOT(ISNUMBER($C72))),"",IFERROR(($B72-$K72)/($C72-IF($K72=0,0,SUMIFS('4. Chronology'!$C$5:$C$204,'4. Chronology'!$A$5:$A$204,$A72,'4. Chronology'!$B$5:$B$204,$K72))),""))</f>
        <v/>
      </c>
      <c r="H72" s="16" t="str">
        <f>IF(OR($A72="",NOT(ISNUMBER($F72)),NOT(ISNUMBER($C72))),"",IFERROR((($F72-IF($K72=0,0,SUMIFS('4. Chronology'!$F$5:$F$204,'4. Chronology'!$A$5:$A$204,$A72,'4. Chronology'!$B$5:$B$204,$K72)))*1000)/($C72-IF($K72=0,0,SUMIFS('4. Chronology'!$C$5:$C$204,'4. Chronology'!$A$5:$A$204,$A72,'4. Chronology'!$B$5:$B$204,$K72))),""))</f>
        <v/>
      </c>
      <c r="I72" s="16" t="str">
        <f>IF($A72="","",IF(COUNTIF('2. Core Log'!$A$5:$A$124,$A72)=0,"Core ID not in Core Log. ","")&amp;IF($E72="","No date source given — RERCA and LORCA need to know which method produced this age. ","")&amp;IF(AND(ISNUMBER($C72),$C72&lt;0),"Negative age: this horizon post-dates the coring year. Check the conversion. ","")&amp;IF(AND(ISNUMBER($G72),$G72&lt;0),"Age reversal — this horizon is younger than one above it. A mixed or disturbed profile may not be datable at all. ","")&amp;IF(AND(ISNUMBER($D72),ISNUMBER($C72),$C72&gt;0,$D72/$C72&gt;0.5),"Age uncertainty exceeds 50% of the age. Usable as an indication only. ","")&amp;IF(AND($D72="",$C72&lt;&gt;""),"No uncertainty given. Every radiometric age has one; a rate without it cannot be defended. ",""))</f>
        <v/>
      </c>
      <c r="J72" s="16">
        <f t="shared" si="0"/>
        <v>0</v>
      </c>
      <c r="K72" s="16" t="str">
        <f>IF(OR($A72="",NOT(ISNUMBER($B72))),"",SUMPRODUCT(MAX(('4. Chronology'!$A$5:$A$204=$A72)*('4. Chronology'!$B$5:$B$204&lt;$B72)*'4. Chronology'!$B$5:$B$204)))</f>
        <v/>
      </c>
    </row>
    <row r="73" spans="1:11" ht="15.75" customHeight="1">
      <c r="A73" s="14"/>
      <c r="B73" s="14"/>
      <c r="C73" s="14"/>
      <c r="D73" s="14"/>
      <c r="E73" s="14"/>
      <c r="F73" s="16" t="str">
        <f>IF(OR($A73="",NOT(ISNUMBER($B73))),"",SUMIFS(community_cores_FS!$P$5:$P$597,community_cores_FS!$B$5:$B$597,$A73,community_cores_FS!$F$5:$F$597,"&lt;="&amp;$B73)+SUMPRODUCT((community_cores_FS!$B$5:$B$597=$A73)*(community_cores_FS!$E$5:$E$597&lt;$B73)*(community_cores_FS!$F$5:$F$597&gt;$B73)*community_cores_FS!$R$5:$R$597*($B73-community_cores_FS!$E$5:$E$597)))</f>
        <v/>
      </c>
      <c r="G73" s="16" t="str">
        <f>IF(OR($A73="",NOT(ISNUMBER($B73)),NOT(ISNUMBER($C73))),"",IFERROR(($B73-$K73)/($C73-IF($K73=0,0,SUMIFS('4. Chronology'!$C$5:$C$204,'4. Chronology'!$A$5:$A$204,$A73,'4. Chronology'!$B$5:$B$204,$K73))),""))</f>
        <v/>
      </c>
      <c r="H73" s="16" t="str">
        <f>IF(OR($A73="",NOT(ISNUMBER($F73)),NOT(ISNUMBER($C73))),"",IFERROR((($F73-IF($K73=0,0,SUMIFS('4. Chronology'!$F$5:$F$204,'4. Chronology'!$A$5:$A$204,$A73,'4. Chronology'!$B$5:$B$204,$K73)))*1000)/($C73-IF($K73=0,0,SUMIFS('4. Chronology'!$C$5:$C$204,'4. Chronology'!$A$5:$A$204,$A73,'4. Chronology'!$B$5:$B$204,$K73))),""))</f>
        <v/>
      </c>
      <c r="I73" s="16" t="str">
        <f>IF($A73="","",IF(COUNTIF('2. Core Log'!$A$5:$A$124,$A73)=0,"Core ID not in Core Log. ","")&amp;IF($E73="","No date source given — RERCA and LORCA need to know which method produced this age. ","")&amp;IF(AND(ISNUMBER($C73),$C73&lt;0),"Negative age: this horizon post-dates the coring year. Check the conversion. ","")&amp;IF(AND(ISNUMBER($G73),$G73&lt;0),"Age reversal — this horizon is younger than one above it. A mixed or disturbed profile may not be datable at all. ","")&amp;IF(AND(ISNUMBER($D73),ISNUMBER($C73),$C73&gt;0,$D73/$C73&gt;0.5),"Age uncertainty exceeds 50% of the age. Usable as an indication only. ","")&amp;IF(AND($D73="",$C73&lt;&gt;""),"No uncertainty given. Every radiometric age has one; a rate without it cannot be defended. ",""))</f>
        <v/>
      </c>
      <c r="J73" s="16">
        <f t="shared" si="0"/>
        <v>0</v>
      </c>
      <c r="K73" s="16" t="str">
        <f>IF(OR($A73="",NOT(ISNUMBER($B73))),"",SUMPRODUCT(MAX(('4. Chronology'!$A$5:$A$204=$A73)*('4. Chronology'!$B$5:$B$204&lt;$B73)*'4. Chronology'!$B$5:$B$204)))</f>
        <v/>
      </c>
    </row>
    <row r="74" spans="1:11" ht="15.75" customHeight="1">
      <c r="A74" s="14"/>
      <c r="B74" s="14"/>
      <c r="C74" s="14"/>
      <c r="D74" s="14"/>
      <c r="E74" s="14"/>
      <c r="F74" s="16" t="str">
        <f>IF(OR($A74="",NOT(ISNUMBER($B74))),"",SUMIFS(community_cores_FS!$P$5:$P$597,community_cores_FS!$B$5:$B$597,$A74,community_cores_FS!$F$5:$F$597,"&lt;="&amp;$B74)+SUMPRODUCT((community_cores_FS!$B$5:$B$597=$A74)*(community_cores_FS!$E$5:$E$597&lt;$B74)*(community_cores_FS!$F$5:$F$597&gt;$B74)*community_cores_FS!$R$5:$R$597*($B74-community_cores_FS!$E$5:$E$597)))</f>
        <v/>
      </c>
      <c r="G74" s="16" t="str">
        <f>IF(OR($A74="",NOT(ISNUMBER($B74)),NOT(ISNUMBER($C74))),"",IFERROR(($B74-$K74)/($C74-IF($K74=0,0,SUMIFS('4. Chronology'!$C$5:$C$204,'4. Chronology'!$A$5:$A$204,$A74,'4. Chronology'!$B$5:$B$204,$K74))),""))</f>
        <v/>
      </c>
      <c r="H74" s="16" t="str">
        <f>IF(OR($A74="",NOT(ISNUMBER($F74)),NOT(ISNUMBER($C74))),"",IFERROR((($F74-IF($K74=0,0,SUMIFS('4. Chronology'!$F$5:$F$204,'4. Chronology'!$A$5:$A$204,$A74,'4. Chronology'!$B$5:$B$204,$K74)))*1000)/($C74-IF($K74=0,0,SUMIFS('4. Chronology'!$C$5:$C$204,'4. Chronology'!$A$5:$A$204,$A74,'4. Chronology'!$B$5:$B$204,$K74))),""))</f>
        <v/>
      </c>
      <c r="I74" s="16" t="str">
        <f>IF($A74="","",IF(COUNTIF('2. Core Log'!$A$5:$A$124,$A74)=0,"Core ID not in Core Log. ","")&amp;IF($E74="","No date source given — RERCA and LORCA need to know which method produced this age. ","")&amp;IF(AND(ISNUMBER($C74),$C74&lt;0),"Negative age: this horizon post-dates the coring year. Check the conversion. ","")&amp;IF(AND(ISNUMBER($G74),$G74&lt;0),"Age reversal — this horizon is younger than one above it. A mixed or disturbed profile may not be datable at all. ","")&amp;IF(AND(ISNUMBER($D74),ISNUMBER($C74),$C74&gt;0,$D74/$C74&gt;0.5),"Age uncertainty exceeds 50% of the age. Usable as an indication only. ","")&amp;IF(AND($D74="",$C74&lt;&gt;""),"No uncertainty given. Every radiometric age has one; a rate without it cannot be defended. ",""))</f>
        <v/>
      </c>
      <c r="J74" s="16">
        <f t="shared" si="0"/>
        <v>0</v>
      </c>
      <c r="K74" s="16" t="str">
        <f>IF(OR($A74="",NOT(ISNUMBER($B74))),"",SUMPRODUCT(MAX(('4. Chronology'!$A$5:$A$204=$A74)*('4. Chronology'!$B$5:$B$204&lt;$B74)*'4. Chronology'!$B$5:$B$204)))</f>
        <v/>
      </c>
    </row>
    <row r="75" spans="1:11" ht="15.75" customHeight="1">
      <c r="A75" s="14"/>
      <c r="B75" s="14"/>
      <c r="C75" s="14"/>
      <c r="D75" s="14"/>
      <c r="E75" s="14"/>
      <c r="F75" s="16" t="str">
        <f>IF(OR($A75="",NOT(ISNUMBER($B75))),"",SUMIFS(community_cores_FS!$P$5:$P$597,community_cores_FS!$B$5:$B$597,$A75,community_cores_FS!$F$5:$F$597,"&lt;="&amp;$B75)+SUMPRODUCT((community_cores_FS!$B$5:$B$597=$A75)*(community_cores_FS!$E$5:$E$597&lt;$B75)*(community_cores_FS!$F$5:$F$597&gt;$B75)*community_cores_FS!$R$5:$R$597*($B75-community_cores_FS!$E$5:$E$597)))</f>
        <v/>
      </c>
      <c r="G75" s="16" t="str">
        <f>IF(OR($A75="",NOT(ISNUMBER($B75)),NOT(ISNUMBER($C75))),"",IFERROR(($B75-$K75)/($C75-IF($K75=0,0,SUMIFS('4. Chronology'!$C$5:$C$204,'4. Chronology'!$A$5:$A$204,$A75,'4. Chronology'!$B$5:$B$204,$K75))),""))</f>
        <v/>
      </c>
      <c r="H75" s="16" t="str">
        <f>IF(OR($A75="",NOT(ISNUMBER($F75)),NOT(ISNUMBER($C75))),"",IFERROR((($F75-IF($K75=0,0,SUMIFS('4. Chronology'!$F$5:$F$204,'4. Chronology'!$A$5:$A$204,$A75,'4. Chronology'!$B$5:$B$204,$K75)))*1000)/($C75-IF($K75=0,0,SUMIFS('4. Chronology'!$C$5:$C$204,'4. Chronology'!$A$5:$A$204,$A75,'4. Chronology'!$B$5:$B$204,$K75))),""))</f>
        <v/>
      </c>
      <c r="I75" s="16" t="str">
        <f>IF($A75="","",IF(COUNTIF('2. Core Log'!$A$5:$A$124,$A75)=0,"Core ID not in Core Log. ","")&amp;IF($E75="","No date source given — RERCA and LORCA need to know which method produced this age. ","")&amp;IF(AND(ISNUMBER($C75),$C75&lt;0),"Negative age: this horizon post-dates the coring year. Check the conversion. ","")&amp;IF(AND(ISNUMBER($G75),$G75&lt;0),"Age reversal — this horizon is younger than one above it. A mixed or disturbed profile may not be datable at all. ","")&amp;IF(AND(ISNUMBER($D75),ISNUMBER($C75),$C75&gt;0,$D75/$C75&gt;0.5),"Age uncertainty exceeds 50% of the age. Usable as an indication only. ","")&amp;IF(AND($D75="",$C75&lt;&gt;""),"No uncertainty given. Every radiometric age has one; a rate without it cannot be defended. ",""))</f>
        <v/>
      </c>
      <c r="J75" s="16">
        <f t="shared" si="0"/>
        <v>0</v>
      </c>
      <c r="K75" s="16" t="str">
        <f>IF(OR($A75="",NOT(ISNUMBER($B75))),"",SUMPRODUCT(MAX(('4. Chronology'!$A$5:$A$204=$A75)*('4. Chronology'!$B$5:$B$204&lt;$B75)*'4. Chronology'!$B$5:$B$204)))</f>
        <v/>
      </c>
    </row>
    <row r="76" spans="1:11" ht="15.75" customHeight="1">
      <c r="A76" s="14"/>
      <c r="B76" s="14"/>
      <c r="C76" s="14"/>
      <c r="D76" s="14"/>
      <c r="E76" s="14"/>
      <c r="F76" s="16" t="str">
        <f>IF(OR($A76="",NOT(ISNUMBER($B76))),"",SUMIFS(community_cores_FS!$P$5:$P$597,community_cores_FS!$B$5:$B$597,$A76,community_cores_FS!$F$5:$F$597,"&lt;="&amp;$B76)+SUMPRODUCT((community_cores_FS!$B$5:$B$597=$A76)*(community_cores_FS!$E$5:$E$597&lt;$B76)*(community_cores_FS!$F$5:$F$597&gt;$B76)*community_cores_FS!$R$5:$R$597*($B76-community_cores_FS!$E$5:$E$597)))</f>
        <v/>
      </c>
      <c r="G76" s="16" t="str">
        <f>IF(OR($A76="",NOT(ISNUMBER($B76)),NOT(ISNUMBER($C76))),"",IFERROR(($B76-$K76)/($C76-IF($K76=0,0,SUMIFS('4. Chronology'!$C$5:$C$204,'4. Chronology'!$A$5:$A$204,$A76,'4. Chronology'!$B$5:$B$204,$K76))),""))</f>
        <v/>
      </c>
      <c r="H76" s="16" t="str">
        <f>IF(OR($A76="",NOT(ISNUMBER($F76)),NOT(ISNUMBER($C76))),"",IFERROR((($F76-IF($K76=0,0,SUMIFS('4. Chronology'!$F$5:$F$204,'4. Chronology'!$A$5:$A$204,$A76,'4. Chronology'!$B$5:$B$204,$K76)))*1000)/($C76-IF($K76=0,0,SUMIFS('4. Chronology'!$C$5:$C$204,'4. Chronology'!$A$5:$A$204,$A76,'4. Chronology'!$B$5:$B$204,$K76))),""))</f>
        <v/>
      </c>
      <c r="I76" s="16" t="str">
        <f>IF($A76="","",IF(COUNTIF('2. Core Log'!$A$5:$A$124,$A76)=0,"Core ID not in Core Log. ","")&amp;IF($E76="","No date source given — RERCA and LORCA need to know which method produced this age. ","")&amp;IF(AND(ISNUMBER($C76),$C76&lt;0),"Negative age: this horizon post-dates the coring year. Check the conversion. ","")&amp;IF(AND(ISNUMBER($G76),$G76&lt;0),"Age reversal — this horizon is younger than one above it. A mixed or disturbed profile may not be datable at all. ","")&amp;IF(AND(ISNUMBER($D76),ISNUMBER($C76),$C76&gt;0,$D76/$C76&gt;0.5),"Age uncertainty exceeds 50% of the age. Usable as an indication only. ","")&amp;IF(AND($D76="",$C76&lt;&gt;""),"No uncertainty given. Every radiometric age has one; a rate without it cannot be defended. ",""))</f>
        <v/>
      </c>
      <c r="J76" s="16">
        <f t="shared" si="0"/>
        <v>0</v>
      </c>
      <c r="K76" s="16" t="str">
        <f>IF(OR($A76="",NOT(ISNUMBER($B76))),"",SUMPRODUCT(MAX(('4. Chronology'!$A$5:$A$204=$A76)*('4. Chronology'!$B$5:$B$204&lt;$B76)*'4. Chronology'!$B$5:$B$204)))</f>
        <v/>
      </c>
    </row>
    <row r="77" spans="1:11" ht="15.75" customHeight="1">
      <c r="A77" s="14"/>
      <c r="B77" s="14"/>
      <c r="C77" s="14"/>
      <c r="D77" s="14"/>
      <c r="E77" s="14"/>
      <c r="F77" s="16" t="str">
        <f>IF(OR($A77="",NOT(ISNUMBER($B77))),"",SUMIFS(community_cores_FS!$P$5:$P$597,community_cores_FS!$B$5:$B$597,$A77,community_cores_FS!$F$5:$F$597,"&lt;="&amp;$B77)+SUMPRODUCT((community_cores_FS!$B$5:$B$597=$A77)*(community_cores_FS!$E$5:$E$597&lt;$B77)*(community_cores_FS!$F$5:$F$597&gt;$B77)*community_cores_FS!$R$5:$R$597*($B77-community_cores_FS!$E$5:$E$597)))</f>
        <v/>
      </c>
      <c r="G77" s="16" t="str">
        <f>IF(OR($A77="",NOT(ISNUMBER($B77)),NOT(ISNUMBER($C77))),"",IFERROR(($B77-$K77)/($C77-IF($K77=0,0,SUMIFS('4. Chronology'!$C$5:$C$204,'4. Chronology'!$A$5:$A$204,$A77,'4. Chronology'!$B$5:$B$204,$K77))),""))</f>
        <v/>
      </c>
      <c r="H77" s="16" t="str">
        <f>IF(OR($A77="",NOT(ISNUMBER($F77)),NOT(ISNUMBER($C77))),"",IFERROR((($F77-IF($K77=0,0,SUMIFS('4. Chronology'!$F$5:$F$204,'4. Chronology'!$A$5:$A$204,$A77,'4. Chronology'!$B$5:$B$204,$K77)))*1000)/($C77-IF($K77=0,0,SUMIFS('4. Chronology'!$C$5:$C$204,'4. Chronology'!$A$5:$A$204,$A77,'4. Chronology'!$B$5:$B$204,$K77))),""))</f>
        <v/>
      </c>
      <c r="I77" s="16" t="str">
        <f>IF($A77="","",IF(COUNTIF('2. Core Log'!$A$5:$A$124,$A77)=0,"Core ID not in Core Log. ","")&amp;IF($E77="","No date source given — RERCA and LORCA need to know which method produced this age. ","")&amp;IF(AND(ISNUMBER($C77),$C77&lt;0),"Negative age: this horizon post-dates the coring year. Check the conversion. ","")&amp;IF(AND(ISNUMBER($G77),$G77&lt;0),"Age reversal — this horizon is younger than one above it. A mixed or disturbed profile may not be datable at all. ","")&amp;IF(AND(ISNUMBER($D77),ISNUMBER($C77),$C77&gt;0,$D77/$C77&gt;0.5),"Age uncertainty exceeds 50% of the age. Usable as an indication only. ","")&amp;IF(AND($D77="",$C77&lt;&gt;""),"No uncertainty given. Every radiometric age has one; a rate without it cannot be defended. ",""))</f>
        <v/>
      </c>
      <c r="J77" s="16">
        <f t="shared" si="0"/>
        <v>0</v>
      </c>
      <c r="K77" s="16" t="str">
        <f>IF(OR($A77="",NOT(ISNUMBER($B77))),"",SUMPRODUCT(MAX(('4. Chronology'!$A$5:$A$204=$A77)*('4. Chronology'!$B$5:$B$204&lt;$B77)*'4. Chronology'!$B$5:$B$204)))</f>
        <v/>
      </c>
    </row>
    <row r="78" spans="1:11" ht="15.75" customHeight="1">
      <c r="A78" s="14"/>
      <c r="B78" s="14"/>
      <c r="C78" s="14"/>
      <c r="D78" s="14"/>
      <c r="E78" s="14"/>
      <c r="F78" s="16" t="str">
        <f>IF(OR($A78="",NOT(ISNUMBER($B78))),"",SUMIFS(community_cores_FS!$P$5:$P$597,community_cores_FS!$B$5:$B$597,$A78,community_cores_FS!$F$5:$F$597,"&lt;="&amp;$B78)+SUMPRODUCT((community_cores_FS!$B$5:$B$597=$A78)*(community_cores_FS!$E$5:$E$597&lt;$B78)*(community_cores_FS!$F$5:$F$597&gt;$B78)*community_cores_FS!$R$5:$R$597*($B78-community_cores_FS!$E$5:$E$597)))</f>
        <v/>
      </c>
      <c r="G78" s="16" t="str">
        <f>IF(OR($A78="",NOT(ISNUMBER($B78)),NOT(ISNUMBER($C78))),"",IFERROR(($B78-$K78)/($C78-IF($K78=0,0,SUMIFS('4. Chronology'!$C$5:$C$204,'4. Chronology'!$A$5:$A$204,$A78,'4. Chronology'!$B$5:$B$204,$K78))),""))</f>
        <v/>
      </c>
      <c r="H78" s="16" t="str">
        <f>IF(OR($A78="",NOT(ISNUMBER($F78)),NOT(ISNUMBER($C78))),"",IFERROR((($F78-IF($K78=0,0,SUMIFS('4. Chronology'!$F$5:$F$204,'4. Chronology'!$A$5:$A$204,$A78,'4. Chronology'!$B$5:$B$204,$K78)))*1000)/($C78-IF($K78=0,0,SUMIFS('4. Chronology'!$C$5:$C$204,'4. Chronology'!$A$5:$A$204,$A78,'4. Chronology'!$B$5:$B$204,$K78))),""))</f>
        <v/>
      </c>
      <c r="I78" s="16" t="str">
        <f>IF($A78="","",IF(COUNTIF('2. Core Log'!$A$5:$A$124,$A78)=0,"Core ID not in Core Log. ","")&amp;IF($E78="","No date source given — RERCA and LORCA need to know which method produced this age. ","")&amp;IF(AND(ISNUMBER($C78),$C78&lt;0),"Negative age: this horizon post-dates the coring year. Check the conversion. ","")&amp;IF(AND(ISNUMBER($G78),$G78&lt;0),"Age reversal — this horizon is younger than one above it. A mixed or disturbed profile may not be datable at all. ","")&amp;IF(AND(ISNUMBER($D78),ISNUMBER($C78),$C78&gt;0,$D78/$C78&gt;0.5),"Age uncertainty exceeds 50% of the age. Usable as an indication only. ","")&amp;IF(AND($D78="",$C78&lt;&gt;""),"No uncertainty given. Every radiometric age has one; a rate without it cannot be defended. ",""))</f>
        <v/>
      </c>
      <c r="J78" s="16">
        <f t="shared" si="0"/>
        <v>0</v>
      </c>
      <c r="K78" s="16" t="str">
        <f>IF(OR($A78="",NOT(ISNUMBER($B78))),"",SUMPRODUCT(MAX(('4. Chronology'!$A$5:$A$204=$A78)*('4. Chronology'!$B$5:$B$204&lt;$B78)*'4. Chronology'!$B$5:$B$204)))</f>
        <v/>
      </c>
    </row>
    <row r="79" spans="1:11" ht="15.75" customHeight="1">
      <c r="A79" s="14"/>
      <c r="B79" s="14"/>
      <c r="C79" s="14"/>
      <c r="D79" s="14"/>
      <c r="E79" s="14"/>
      <c r="F79" s="16" t="str">
        <f>IF(OR($A79="",NOT(ISNUMBER($B79))),"",SUMIFS(community_cores_FS!$P$5:$P$597,community_cores_FS!$B$5:$B$597,$A79,community_cores_FS!$F$5:$F$597,"&lt;="&amp;$B79)+SUMPRODUCT((community_cores_FS!$B$5:$B$597=$A79)*(community_cores_FS!$E$5:$E$597&lt;$B79)*(community_cores_FS!$F$5:$F$597&gt;$B79)*community_cores_FS!$R$5:$R$597*($B79-community_cores_FS!$E$5:$E$597)))</f>
        <v/>
      </c>
      <c r="G79" s="16" t="str">
        <f>IF(OR($A79="",NOT(ISNUMBER($B79)),NOT(ISNUMBER($C79))),"",IFERROR(($B79-$K79)/($C79-IF($K79=0,0,SUMIFS('4. Chronology'!$C$5:$C$204,'4. Chronology'!$A$5:$A$204,$A79,'4. Chronology'!$B$5:$B$204,$K79))),""))</f>
        <v/>
      </c>
      <c r="H79" s="16" t="str">
        <f>IF(OR($A79="",NOT(ISNUMBER($F79)),NOT(ISNUMBER($C79))),"",IFERROR((($F79-IF($K79=0,0,SUMIFS('4. Chronology'!$F$5:$F$204,'4. Chronology'!$A$5:$A$204,$A79,'4. Chronology'!$B$5:$B$204,$K79)))*1000)/($C79-IF($K79=0,0,SUMIFS('4. Chronology'!$C$5:$C$204,'4. Chronology'!$A$5:$A$204,$A79,'4. Chronology'!$B$5:$B$204,$K79))),""))</f>
        <v/>
      </c>
      <c r="I79" s="16" t="str">
        <f>IF($A79="","",IF(COUNTIF('2. Core Log'!$A$5:$A$124,$A79)=0,"Core ID not in Core Log. ","")&amp;IF($E79="","No date source given — RERCA and LORCA need to know which method produced this age. ","")&amp;IF(AND(ISNUMBER($C79),$C79&lt;0),"Negative age: this horizon post-dates the coring year. Check the conversion. ","")&amp;IF(AND(ISNUMBER($G79),$G79&lt;0),"Age reversal — this horizon is younger than one above it. A mixed or disturbed profile may not be datable at all. ","")&amp;IF(AND(ISNUMBER($D79),ISNUMBER($C79),$C79&gt;0,$D79/$C79&gt;0.5),"Age uncertainty exceeds 50% of the age. Usable as an indication only. ","")&amp;IF(AND($D79="",$C79&lt;&gt;""),"No uncertainty given. Every radiometric age has one; a rate without it cannot be defended. ",""))</f>
        <v/>
      </c>
      <c r="J79" s="16">
        <f t="shared" si="0"/>
        <v>0</v>
      </c>
      <c r="K79" s="16" t="str">
        <f>IF(OR($A79="",NOT(ISNUMBER($B79))),"",SUMPRODUCT(MAX(('4. Chronology'!$A$5:$A$204=$A79)*('4. Chronology'!$B$5:$B$204&lt;$B79)*'4. Chronology'!$B$5:$B$204)))</f>
        <v/>
      </c>
    </row>
    <row r="80" spans="1:11" ht="15.75" customHeight="1">
      <c r="A80" s="14"/>
      <c r="B80" s="14"/>
      <c r="C80" s="14"/>
      <c r="D80" s="14"/>
      <c r="E80" s="14"/>
      <c r="F80" s="16" t="str">
        <f>IF(OR($A80="",NOT(ISNUMBER($B80))),"",SUMIFS(community_cores_FS!$P$5:$P$597,community_cores_FS!$B$5:$B$597,$A80,community_cores_FS!$F$5:$F$597,"&lt;="&amp;$B80)+SUMPRODUCT((community_cores_FS!$B$5:$B$597=$A80)*(community_cores_FS!$E$5:$E$597&lt;$B80)*(community_cores_FS!$F$5:$F$597&gt;$B80)*community_cores_FS!$R$5:$R$597*($B80-community_cores_FS!$E$5:$E$597)))</f>
        <v/>
      </c>
      <c r="G80" s="16" t="str">
        <f>IF(OR($A80="",NOT(ISNUMBER($B80)),NOT(ISNUMBER($C80))),"",IFERROR(($B80-$K80)/($C80-IF($K80=0,0,SUMIFS('4. Chronology'!$C$5:$C$204,'4. Chronology'!$A$5:$A$204,$A80,'4. Chronology'!$B$5:$B$204,$K80))),""))</f>
        <v/>
      </c>
      <c r="H80" s="16" t="str">
        <f>IF(OR($A80="",NOT(ISNUMBER($F80)),NOT(ISNUMBER($C80))),"",IFERROR((($F80-IF($K80=0,0,SUMIFS('4. Chronology'!$F$5:$F$204,'4. Chronology'!$A$5:$A$204,$A80,'4. Chronology'!$B$5:$B$204,$K80)))*1000)/($C80-IF($K80=0,0,SUMIFS('4. Chronology'!$C$5:$C$204,'4. Chronology'!$A$5:$A$204,$A80,'4. Chronology'!$B$5:$B$204,$K80))),""))</f>
        <v/>
      </c>
      <c r="I80" s="16" t="str">
        <f>IF($A80="","",IF(COUNTIF('2. Core Log'!$A$5:$A$124,$A80)=0,"Core ID not in Core Log. ","")&amp;IF($E80="","No date source given — RERCA and LORCA need to know which method produced this age. ","")&amp;IF(AND(ISNUMBER($C80),$C80&lt;0),"Negative age: this horizon post-dates the coring year. Check the conversion. ","")&amp;IF(AND(ISNUMBER($G80),$G80&lt;0),"Age reversal — this horizon is younger than one above it. A mixed or disturbed profile may not be datable at all. ","")&amp;IF(AND(ISNUMBER($D80),ISNUMBER($C80),$C80&gt;0,$D80/$C80&gt;0.5),"Age uncertainty exceeds 50% of the age. Usable as an indication only. ","")&amp;IF(AND($D80="",$C80&lt;&gt;""),"No uncertainty given. Every radiometric age has one; a rate without it cannot be defended. ",""))</f>
        <v/>
      </c>
      <c r="J80" s="16">
        <f t="shared" si="0"/>
        <v>0</v>
      </c>
      <c r="K80" s="16" t="str">
        <f>IF(OR($A80="",NOT(ISNUMBER($B80))),"",SUMPRODUCT(MAX(('4. Chronology'!$A$5:$A$204=$A80)*('4. Chronology'!$B$5:$B$204&lt;$B80)*'4. Chronology'!$B$5:$B$204)))</f>
        <v/>
      </c>
    </row>
    <row r="81" spans="1:11" ht="15.75" customHeight="1">
      <c r="A81" s="14"/>
      <c r="B81" s="14"/>
      <c r="C81" s="14"/>
      <c r="D81" s="14"/>
      <c r="E81" s="14"/>
      <c r="F81" s="16" t="str">
        <f>IF(OR($A81="",NOT(ISNUMBER($B81))),"",SUMIFS(community_cores_FS!$P$5:$P$597,community_cores_FS!$B$5:$B$597,$A81,community_cores_FS!$F$5:$F$597,"&lt;="&amp;$B81)+SUMPRODUCT((community_cores_FS!$B$5:$B$597=$A81)*(community_cores_FS!$E$5:$E$597&lt;$B81)*(community_cores_FS!$F$5:$F$597&gt;$B81)*community_cores_FS!$R$5:$R$597*($B81-community_cores_FS!$E$5:$E$597)))</f>
        <v/>
      </c>
      <c r="G81" s="16" t="str">
        <f>IF(OR($A81="",NOT(ISNUMBER($B81)),NOT(ISNUMBER($C81))),"",IFERROR(($B81-$K81)/($C81-IF($K81=0,0,SUMIFS('4. Chronology'!$C$5:$C$204,'4. Chronology'!$A$5:$A$204,$A81,'4. Chronology'!$B$5:$B$204,$K81))),""))</f>
        <v/>
      </c>
      <c r="H81" s="16" t="str">
        <f>IF(OR($A81="",NOT(ISNUMBER($F81)),NOT(ISNUMBER($C81))),"",IFERROR((($F81-IF($K81=0,0,SUMIFS('4. Chronology'!$F$5:$F$204,'4. Chronology'!$A$5:$A$204,$A81,'4. Chronology'!$B$5:$B$204,$K81)))*1000)/($C81-IF($K81=0,0,SUMIFS('4. Chronology'!$C$5:$C$204,'4. Chronology'!$A$5:$A$204,$A81,'4. Chronology'!$B$5:$B$204,$K81))),""))</f>
        <v/>
      </c>
      <c r="I81" s="16" t="str">
        <f>IF($A81="","",IF(COUNTIF('2. Core Log'!$A$5:$A$124,$A81)=0,"Core ID not in Core Log. ","")&amp;IF($E81="","No date source given — RERCA and LORCA need to know which method produced this age. ","")&amp;IF(AND(ISNUMBER($C81),$C81&lt;0),"Negative age: this horizon post-dates the coring year. Check the conversion. ","")&amp;IF(AND(ISNUMBER($G81),$G81&lt;0),"Age reversal — this horizon is younger than one above it. A mixed or disturbed profile may not be datable at all. ","")&amp;IF(AND(ISNUMBER($D81),ISNUMBER($C81),$C81&gt;0,$D81/$C81&gt;0.5),"Age uncertainty exceeds 50% of the age. Usable as an indication only. ","")&amp;IF(AND($D81="",$C81&lt;&gt;""),"No uncertainty given. Every radiometric age has one; a rate without it cannot be defended. ",""))</f>
        <v/>
      </c>
      <c r="J81" s="16">
        <f t="shared" si="0"/>
        <v>0</v>
      </c>
      <c r="K81" s="16" t="str">
        <f>IF(OR($A81="",NOT(ISNUMBER($B81))),"",SUMPRODUCT(MAX(('4. Chronology'!$A$5:$A$204=$A81)*('4. Chronology'!$B$5:$B$204&lt;$B81)*'4. Chronology'!$B$5:$B$204)))</f>
        <v/>
      </c>
    </row>
    <row r="82" spans="1:11" ht="15.75" customHeight="1">
      <c r="A82" s="14"/>
      <c r="B82" s="14"/>
      <c r="C82" s="14"/>
      <c r="D82" s="14"/>
      <c r="E82" s="14"/>
      <c r="F82" s="16" t="str">
        <f>IF(OR($A82="",NOT(ISNUMBER($B82))),"",SUMIFS(community_cores_FS!$P$5:$P$597,community_cores_FS!$B$5:$B$597,$A82,community_cores_FS!$F$5:$F$597,"&lt;="&amp;$B82)+SUMPRODUCT((community_cores_FS!$B$5:$B$597=$A82)*(community_cores_FS!$E$5:$E$597&lt;$B82)*(community_cores_FS!$F$5:$F$597&gt;$B82)*community_cores_FS!$R$5:$R$597*($B82-community_cores_FS!$E$5:$E$597)))</f>
        <v/>
      </c>
      <c r="G82" s="16" t="str">
        <f>IF(OR($A82="",NOT(ISNUMBER($B82)),NOT(ISNUMBER($C82))),"",IFERROR(($B82-$K82)/($C82-IF($K82=0,0,SUMIFS('4. Chronology'!$C$5:$C$204,'4. Chronology'!$A$5:$A$204,$A82,'4. Chronology'!$B$5:$B$204,$K82))),""))</f>
        <v/>
      </c>
      <c r="H82" s="16" t="str">
        <f>IF(OR($A82="",NOT(ISNUMBER($F82)),NOT(ISNUMBER($C82))),"",IFERROR((($F82-IF($K82=0,0,SUMIFS('4. Chronology'!$F$5:$F$204,'4. Chronology'!$A$5:$A$204,$A82,'4. Chronology'!$B$5:$B$204,$K82)))*1000)/($C82-IF($K82=0,0,SUMIFS('4. Chronology'!$C$5:$C$204,'4. Chronology'!$A$5:$A$204,$A82,'4. Chronology'!$B$5:$B$204,$K82))),""))</f>
        <v/>
      </c>
      <c r="I82" s="16" t="str">
        <f>IF($A82="","",IF(COUNTIF('2. Core Log'!$A$5:$A$124,$A82)=0,"Core ID not in Core Log. ","")&amp;IF($E82="","No date source given — RERCA and LORCA need to know which method produced this age. ","")&amp;IF(AND(ISNUMBER($C82),$C82&lt;0),"Negative age: this horizon post-dates the coring year. Check the conversion. ","")&amp;IF(AND(ISNUMBER($G82),$G82&lt;0),"Age reversal — this horizon is younger than one above it. A mixed or disturbed profile may not be datable at all. ","")&amp;IF(AND(ISNUMBER($D82),ISNUMBER($C82),$C82&gt;0,$D82/$C82&gt;0.5),"Age uncertainty exceeds 50% of the age. Usable as an indication only. ","")&amp;IF(AND($D82="",$C82&lt;&gt;""),"No uncertainty given. Every radiometric age has one; a rate without it cannot be defended. ",""))</f>
        <v/>
      </c>
      <c r="J82" s="16">
        <f t="shared" si="0"/>
        <v>0</v>
      </c>
      <c r="K82" s="16" t="str">
        <f>IF(OR($A82="",NOT(ISNUMBER($B82))),"",SUMPRODUCT(MAX(('4. Chronology'!$A$5:$A$204=$A82)*('4. Chronology'!$B$5:$B$204&lt;$B82)*'4. Chronology'!$B$5:$B$204)))</f>
        <v/>
      </c>
    </row>
    <row r="83" spans="1:11" ht="15.75" customHeight="1">
      <c r="A83" s="14"/>
      <c r="B83" s="14"/>
      <c r="C83" s="14"/>
      <c r="D83" s="14"/>
      <c r="E83" s="14"/>
      <c r="F83" s="16" t="str">
        <f>IF(OR($A83="",NOT(ISNUMBER($B83))),"",SUMIFS(community_cores_FS!$P$5:$P$597,community_cores_FS!$B$5:$B$597,$A83,community_cores_FS!$F$5:$F$597,"&lt;="&amp;$B83)+SUMPRODUCT((community_cores_FS!$B$5:$B$597=$A83)*(community_cores_FS!$E$5:$E$597&lt;$B83)*(community_cores_FS!$F$5:$F$597&gt;$B83)*community_cores_FS!$R$5:$R$597*($B83-community_cores_FS!$E$5:$E$597)))</f>
        <v/>
      </c>
      <c r="G83" s="16" t="str">
        <f>IF(OR($A83="",NOT(ISNUMBER($B83)),NOT(ISNUMBER($C83))),"",IFERROR(($B83-$K83)/($C83-IF($K83=0,0,SUMIFS('4. Chronology'!$C$5:$C$204,'4. Chronology'!$A$5:$A$204,$A83,'4. Chronology'!$B$5:$B$204,$K83))),""))</f>
        <v/>
      </c>
      <c r="H83" s="16" t="str">
        <f>IF(OR($A83="",NOT(ISNUMBER($F83)),NOT(ISNUMBER($C83))),"",IFERROR((($F83-IF($K83=0,0,SUMIFS('4. Chronology'!$F$5:$F$204,'4. Chronology'!$A$5:$A$204,$A83,'4. Chronology'!$B$5:$B$204,$K83)))*1000)/($C83-IF($K83=0,0,SUMIFS('4. Chronology'!$C$5:$C$204,'4. Chronology'!$A$5:$A$204,$A83,'4. Chronology'!$B$5:$B$204,$K83))),""))</f>
        <v/>
      </c>
      <c r="I83" s="16" t="str">
        <f>IF($A83="","",IF(COUNTIF('2. Core Log'!$A$5:$A$124,$A83)=0,"Core ID not in Core Log. ","")&amp;IF($E83="","No date source given — RERCA and LORCA need to know which method produced this age. ","")&amp;IF(AND(ISNUMBER($C83),$C83&lt;0),"Negative age: this horizon post-dates the coring year. Check the conversion. ","")&amp;IF(AND(ISNUMBER($G83),$G83&lt;0),"Age reversal — this horizon is younger than one above it. A mixed or disturbed profile may not be datable at all. ","")&amp;IF(AND(ISNUMBER($D83),ISNUMBER($C83),$C83&gt;0,$D83/$C83&gt;0.5),"Age uncertainty exceeds 50% of the age. Usable as an indication only. ","")&amp;IF(AND($D83="",$C83&lt;&gt;""),"No uncertainty given. Every radiometric age has one; a rate without it cannot be defended. ",""))</f>
        <v/>
      </c>
      <c r="J83" s="16">
        <f t="shared" si="0"/>
        <v>0</v>
      </c>
      <c r="K83" s="16" t="str">
        <f>IF(OR($A83="",NOT(ISNUMBER($B83))),"",SUMPRODUCT(MAX(('4. Chronology'!$A$5:$A$204=$A83)*('4. Chronology'!$B$5:$B$204&lt;$B83)*'4. Chronology'!$B$5:$B$204)))</f>
        <v/>
      </c>
    </row>
    <row r="84" spans="1:11" ht="15.75" customHeight="1">
      <c r="A84" s="14"/>
      <c r="B84" s="14"/>
      <c r="C84" s="14"/>
      <c r="D84" s="14"/>
      <c r="E84" s="14"/>
      <c r="F84" s="16" t="str">
        <f>IF(OR($A84="",NOT(ISNUMBER($B84))),"",SUMIFS(community_cores_FS!$P$5:$P$597,community_cores_FS!$B$5:$B$597,$A84,community_cores_FS!$F$5:$F$597,"&lt;="&amp;$B84)+SUMPRODUCT((community_cores_FS!$B$5:$B$597=$A84)*(community_cores_FS!$E$5:$E$597&lt;$B84)*(community_cores_FS!$F$5:$F$597&gt;$B84)*community_cores_FS!$R$5:$R$597*($B84-community_cores_FS!$E$5:$E$597)))</f>
        <v/>
      </c>
      <c r="G84" s="16" t="str">
        <f>IF(OR($A84="",NOT(ISNUMBER($B84)),NOT(ISNUMBER($C84))),"",IFERROR(($B84-$K84)/($C84-IF($K84=0,0,SUMIFS('4. Chronology'!$C$5:$C$204,'4. Chronology'!$A$5:$A$204,$A84,'4. Chronology'!$B$5:$B$204,$K84))),""))</f>
        <v/>
      </c>
      <c r="H84" s="16" t="str">
        <f>IF(OR($A84="",NOT(ISNUMBER($F84)),NOT(ISNUMBER($C84))),"",IFERROR((($F84-IF($K84=0,0,SUMIFS('4. Chronology'!$F$5:$F$204,'4. Chronology'!$A$5:$A$204,$A84,'4. Chronology'!$B$5:$B$204,$K84)))*1000)/($C84-IF($K84=0,0,SUMIFS('4. Chronology'!$C$5:$C$204,'4. Chronology'!$A$5:$A$204,$A84,'4. Chronology'!$B$5:$B$204,$K84))),""))</f>
        <v/>
      </c>
      <c r="I84" s="16" t="str">
        <f>IF($A84="","",IF(COUNTIF('2. Core Log'!$A$5:$A$124,$A84)=0,"Core ID not in Core Log. ","")&amp;IF($E84="","No date source given — RERCA and LORCA need to know which method produced this age. ","")&amp;IF(AND(ISNUMBER($C84),$C84&lt;0),"Negative age: this horizon post-dates the coring year. Check the conversion. ","")&amp;IF(AND(ISNUMBER($G84),$G84&lt;0),"Age reversal — this horizon is younger than one above it. A mixed or disturbed profile may not be datable at all. ","")&amp;IF(AND(ISNUMBER($D84),ISNUMBER($C84),$C84&gt;0,$D84/$C84&gt;0.5),"Age uncertainty exceeds 50% of the age. Usable as an indication only. ","")&amp;IF(AND($D84="",$C84&lt;&gt;""),"No uncertainty given. Every radiometric age has one; a rate without it cannot be defended. ",""))</f>
        <v/>
      </c>
      <c r="J84" s="16">
        <f t="shared" si="0"/>
        <v>0</v>
      </c>
      <c r="K84" s="16" t="str">
        <f>IF(OR($A84="",NOT(ISNUMBER($B84))),"",SUMPRODUCT(MAX(('4. Chronology'!$A$5:$A$204=$A84)*('4. Chronology'!$B$5:$B$204&lt;$B84)*'4. Chronology'!$B$5:$B$204)))</f>
        <v/>
      </c>
    </row>
    <row r="85" spans="1:11" ht="15.75" customHeight="1">
      <c r="A85" s="14"/>
      <c r="B85" s="14"/>
      <c r="C85" s="14"/>
      <c r="D85" s="14"/>
      <c r="E85" s="14"/>
      <c r="F85" s="16" t="str">
        <f>IF(OR($A85="",NOT(ISNUMBER($B85))),"",SUMIFS(community_cores_FS!$P$5:$P$597,community_cores_FS!$B$5:$B$597,$A85,community_cores_FS!$F$5:$F$597,"&lt;="&amp;$B85)+SUMPRODUCT((community_cores_FS!$B$5:$B$597=$A85)*(community_cores_FS!$E$5:$E$597&lt;$B85)*(community_cores_FS!$F$5:$F$597&gt;$B85)*community_cores_FS!$R$5:$R$597*($B85-community_cores_FS!$E$5:$E$597)))</f>
        <v/>
      </c>
      <c r="G85" s="16" t="str">
        <f>IF(OR($A85="",NOT(ISNUMBER($B85)),NOT(ISNUMBER($C85))),"",IFERROR(($B85-$K85)/($C85-IF($K85=0,0,SUMIFS('4. Chronology'!$C$5:$C$204,'4. Chronology'!$A$5:$A$204,$A85,'4. Chronology'!$B$5:$B$204,$K85))),""))</f>
        <v/>
      </c>
      <c r="H85" s="16" t="str">
        <f>IF(OR($A85="",NOT(ISNUMBER($F85)),NOT(ISNUMBER($C85))),"",IFERROR((($F85-IF($K85=0,0,SUMIFS('4. Chronology'!$F$5:$F$204,'4. Chronology'!$A$5:$A$204,$A85,'4. Chronology'!$B$5:$B$204,$K85)))*1000)/($C85-IF($K85=0,0,SUMIFS('4. Chronology'!$C$5:$C$204,'4. Chronology'!$A$5:$A$204,$A85,'4. Chronology'!$B$5:$B$204,$K85))),""))</f>
        <v/>
      </c>
      <c r="I85" s="16" t="str">
        <f>IF($A85="","",IF(COUNTIF('2. Core Log'!$A$5:$A$124,$A85)=0,"Core ID not in Core Log. ","")&amp;IF($E85="","No date source given — RERCA and LORCA need to know which method produced this age. ","")&amp;IF(AND(ISNUMBER($C85),$C85&lt;0),"Negative age: this horizon post-dates the coring year. Check the conversion. ","")&amp;IF(AND(ISNUMBER($G85),$G85&lt;0),"Age reversal — this horizon is younger than one above it. A mixed or disturbed profile may not be datable at all. ","")&amp;IF(AND(ISNUMBER($D85),ISNUMBER($C85),$C85&gt;0,$D85/$C85&gt;0.5),"Age uncertainty exceeds 50% of the age. Usable as an indication only. ","")&amp;IF(AND($D85="",$C85&lt;&gt;""),"No uncertainty given. Every radiometric age has one; a rate without it cannot be defended. ",""))</f>
        <v/>
      </c>
      <c r="J85" s="16">
        <f t="shared" si="0"/>
        <v>0</v>
      </c>
      <c r="K85" s="16" t="str">
        <f>IF(OR($A85="",NOT(ISNUMBER($B85))),"",SUMPRODUCT(MAX(('4. Chronology'!$A$5:$A$204=$A85)*('4. Chronology'!$B$5:$B$204&lt;$B85)*'4. Chronology'!$B$5:$B$204)))</f>
        <v/>
      </c>
    </row>
    <row r="86" spans="1:11" ht="15.75" customHeight="1">
      <c r="A86" s="14"/>
      <c r="B86" s="14"/>
      <c r="C86" s="14"/>
      <c r="D86" s="14"/>
      <c r="E86" s="14"/>
      <c r="F86" s="16" t="str">
        <f>IF(OR($A86="",NOT(ISNUMBER($B86))),"",SUMIFS(community_cores_FS!$P$5:$P$597,community_cores_FS!$B$5:$B$597,$A86,community_cores_FS!$F$5:$F$597,"&lt;="&amp;$B86)+SUMPRODUCT((community_cores_FS!$B$5:$B$597=$A86)*(community_cores_FS!$E$5:$E$597&lt;$B86)*(community_cores_FS!$F$5:$F$597&gt;$B86)*community_cores_FS!$R$5:$R$597*($B86-community_cores_FS!$E$5:$E$597)))</f>
        <v/>
      </c>
      <c r="G86" s="16" t="str">
        <f>IF(OR($A86="",NOT(ISNUMBER($B86)),NOT(ISNUMBER($C86))),"",IFERROR(($B86-$K86)/($C86-IF($K86=0,0,SUMIFS('4. Chronology'!$C$5:$C$204,'4. Chronology'!$A$5:$A$204,$A86,'4. Chronology'!$B$5:$B$204,$K86))),""))</f>
        <v/>
      </c>
      <c r="H86" s="16" t="str">
        <f>IF(OR($A86="",NOT(ISNUMBER($F86)),NOT(ISNUMBER($C86))),"",IFERROR((($F86-IF($K86=0,0,SUMIFS('4. Chronology'!$F$5:$F$204,'4. Chronology'!$A$5:$A$204,$A86,'4. Chronology'!$B$5:$B$204,$K86)))*1000)/($C86-IF($K86=0,0,SUMIFS('4. Chronology'!$C$5:$C$204,'4. Chronology'!$A$5:$A$204,$A86,'4. Chronology'!$B$5:$B$204,$K86))),""))</f>
        <v/>
      </c>
      <c r="I86" s="16" t="str">
        <f>IF($A86="","",IF(COUNTIF('2. Core Log'!$A$5:$A$124,$A86)=0,"Core ID not in Core Log. ","")&amp;IF($E86="","No date source given — RERCA and LORCA need to know which method produced this age. ","")&amp;IF(AND(ISNUMBER($C86),$C86&lt;0),"Negative age: this horizon post-dates the coring year. Check the conversion. ","")&amp;IF(AND(ISNUMBER($G86),$G86&lt;0),"Age reversal — this horizon is younger than one above it. A mixed or disturbed profile may not be datable at all. ","")&amp;IF(AND(ISNUMBER($D86),ISNUMBER($C86),$C86&gt;0,$D86/$C86&gt;0.5),"Age uncertainty exceeds 50% of the age. Usable as an indication only. ","")&amp;IF(AND($D86="",$C86&lt;&gt;""),"No uncertainty given. Every radiometric age has one; a rate without it cannot be defended. ",""))</f>
        <v/>
      </c>
      <c r="J86" s="16">
        <f t="shared" si="0"/>
        <v>0</v>
      </c>
      <c r="K86" s="16" t="str">
        <f>IF(OR($A86="",NOT(ISNUMBER($B86))),"",SUMPRODUCT(MAX(('4. Chronology'!$A$5:$A$204=$A86)*('4. Chronology'!$B$5:$B$204&lt;$B86)*'4. Chronology'!$B$5:$B$204)))</f>
        <v/>
      </c>
    </row>
    <row r="87" spans="1:11" ht="15.75" customHeight="1">
      <c r="A87" s="14"/>
      <c r="B87" s="14"/>
      <c r="C87" s="14"/>
      <c r="D87" s="14"/>
      <c r="E87" s="14"/>
      <c r="F87" s="16" t="str">
        <f>IF(OR($A87="",NOT(ISNUMBER($B87))),"",SUMIFS(community_cores_FS!$P$5:$P$597,community_cores_FS!$B$5:$B$597,$A87,community_cores_FS!$F$5:$F$597,"&lt;="&amp;$B87)+SUMPRODUCT((community_cores_FS!$B$5:$B$597=$A87)*(community_cores_FS!$E$5:$E$597&lt;$B87)*(community_cores_FS!$F$5:$F$597&gt;$B87)*community_cores_FS!$R$5:$R$597*($B87-community_cores_FS!$E$5:$E$597)))</f>
        <v/>
      </c>
      <c r="G87" s="16" t="str">
        <f>IF(OR($A87="",NOT(ISNUMBER($B87)),NOT(ISNUMBER($C87))),"",IFERROR(($B87-$K87)/($C87-IF($K87=0,0,SUMIFS('4. Chronology'!$C$5:$C$204,'4. Chronology'!$A$5:$A$204,$A87,'4. Chronology'!$B$5:$B$204,$K87))),""))</f>
        <v/>
      </c>
      <c r="H87" s="16" t="str">
        <f>IF(OR($A87="",NOT(ISNUMBER($F87)),NOT(ISNUMBER($C87))),"",IFERROR((($F87-IF($K87=0,0,SUMIFS('4. Chronology'!$F$5:$F$204,'4. Chronology'!$A$5:$A$204,$A87,'4. Chronology'!$B$5:$B$204,$K87)))*1000)/($C87-IF($K87=0,0,SUMIFS('4. Chronology'!$C$5:$C$204,'4. Chronology'!$A$5:$A$204,$A87,'4. Chronology'!$B$5:$B$204,$K87))),""))</f>
        <v/>
      </c>
      <c r="I87" s="16" t="str">
        <f>IF($A87="","",IF(COUNTIF('2. Core Log'!$A$5:$A$124,$A87)=0,"Core ID not in Core Log. ","")&amp;IF($E87="","No date source given — RERCA and LORCA need to know which method produced this age. ","")&amp;IF(AND(ISNUMBER($C87),$C87&lt;0),"Negative age: this horizon post-dates the coring year. Check the conversion. ","")&amp;IF(AND(ISNUMBER($G87),$G87&lt;0),"Age reversal — this horizon is younger than one above it. A mixed or disturbed profile may not be datable at all. ","")&amp;IF(AND(ISNUMBER($D87),ISNUMBER($C87),$C87&gt;0,$D87/$C87&gt;0.5),"Age uncertainty exceeds 50% of the age. Usable as an indication only. ","")&amp;IF(AND($D87="",$C87&lt;&gt;""),"No uncertainty given. Every radiometric age has one; a rate without it cannot be defended. ",""))</f>
        <v/>
      </c>
      <c r="J87" s="16">
        <f t="shared" si="0"/>
        <v>0</v>
      </c>
      <c r="K87" s="16" t="str">
        <f>IF(OR($A87="",NOT(ISNUMBER($B87))),"",SUMPRODUCT(MAX(('4. Chronology'!$A$5:$A$204=$A87)*('4. Chronology'!$B$5:$B$204&lt;$B87)*'4. Chronology'!$B$5:$B$204)))</f>
        <v/>
      </c>
    </row>
    <row r="88" spans="1:11" ht="15.75" customHeight="1">
      <c r="A88" s="14"/>
      <c r="B88" s="14"/>
      <c r="C88" s="14"/>
      <c r="D88" s="14"/>
      <c r="E88" s="14"/>
      <c r="F88" s="16" t="str">
        <f>IF(OR($A88="",NOT(ISNUMBER($B88))),"",SUMIFS(community_cores_FS!$P$5:$P$597,community_cores_FS!$B$5:$B$597,$A88,community_cores_FS!$F$5:$F$597,"&lt;="&amp;$B88)+SUMPRODUCT((community_cores_FS!$B$5:$B$597=$A88)*(community_cores_FS!$E$5:$E$597&lt;$B88)*(community_cores_FS!$F$5:$F$597&gt;$B88)*community_cores_FS!$R$5:$R$597*($B88-community_cores_FS!$E$5:$E$597)))</f>
        <v/>
      </c>
      <c r="G88" s="16" t="str">
        <f>IF(OR($A88="",NOT(ISNUMBER($B88)),NOT(ISNUMBER($C88))),"",IFERROR(($B88-$K88)/($C88-IF($K88=0,0,SUMIFS('4. Chronology'!$C$5:$C$204,'4. Chronology'!$A$5:$A$204,$A88,'4. Chronology'!$B$5:$B$204,$K88))),""))</f>
        <v/>
      </c>
      <c r="H88" s="16" t="str">
        <f>IF(OR($A88="",NOT(ISNUMBER($F88)),NOT(ISNUMBER($C88))),"",IFERROR((($F88-IF($K88=0,0,SUMIFS('4. Chronology'!$F$5:$F$204,'4. Chronology'!$A$5:$A$204,$A88,'4. Chronology'!$B$5:$B$204,$K88)))*1000)/($C88-IF($K88=0,0,SUMIFS('4. Chronology'!$C$5:$C$204,'4. Chronology'!$A$5:$A$204,$A88,'4. Chronology'!$B$5:$B$204,$K88))),""))</f>
        <v/>
      </c>
      <c r="I88" s="16" t="str">
        <f>IF($A88="","",IF(COUNTIF('2. Core Log'!$A$5:$A$124,$A88)=0,"Core ID not in Core Log. ","")&amp;IF($E88="","No date source given — RERCA and LORCA need to know which method produced this age. ","")&amp;IF(AND(ISNUMBER($C88),$C88&lt;0),"Negative age: this horizon post-dates the coring year. Check the conversion. ","")&amp;IF(AND(ISNUMBER($G88),$G88&lt;0),"Age reversal — this horizon is younger than one above it. A mixed or disturbed profile may not be datable at all. ","")&amp;IF(AND(ISNUMBER($D88),ISNUMBER($C88),$C88&gt;0,$D88/$C88&gt;0.5),"Age uncertainty exceeds 50% of the age. Usable as an indication only. ","")&amp;IF(AND($D88="",$C88&lt;&gt;""),"No uncertainty given. Every radiometric age has one; a rate without it cannot be defended. ",""))</f>
        <v/>
      </c>
      <c r="J88" s="16">
        <f t="shared" si="0"/>
        <v>0</v>
      </c>
      <c r="K88" s="16" t="str">
        <f>IF(OR($A88="",NOT(ISNUMBER($B88))),"",SUMPRODUCT(MAX(('4. Chronology'!$A$5:$A$204=$A88)*('4. Chronology'!$B$5:$B$204&lt;$B88)*'4. Chronology'!$B$5:$B$204)))</f>
        <v/>
      </c>
    </row>
    <row r="89" spans="1:11" ht="15.75" customHeight="1">
      <c r="A89" s="14"/>
      <c r="B89" s="14"/>
      <c r="C89" s="14"/>
      <c r="D89" s="14"/>
      <c r="E89" s="14"/>
      <c r="F89" s="16" t="str">
        <f>IF(OR($A89="",NOT(ISNUMBER($B89))),"",SUMIFS(community_cores_FS!$P$5:$P$597,community_cores_FS!$B$5:$B$597,$A89,community_cores_FS!$F$5:$F$597,"&lt;="&amp;$B89)+SUMPRODUCT((community_cores_FS!$B$5:$B$597=$A89)*(community_cores_FS!$E$5:$E$597&lt;$B89)*(community_cores_FS!$F$5:$F$597&gt;$B89)*community_cores_FS!$R$5:$R$597*($B89-community_cores_FS!$E$5:$E$597)))</f>
        <v/>
      </c>
      <c r="G89" s="16" t="str">
        <f>IF(OR($A89="",NOT(ISNUMBER($B89)),NOT(ISNUMBER($C89))),"",IFERROR(($B89-$K89)/($C89-IF($K89=0,0,SUMIFS('4. Chronology'!$C$5:$C$204,'4. Chronology'!$A$5:$A$204,$A89,'4. Chronology'!$B$5:$B$204,$K89))),""))</f>
        <v/>
      </c>
      <c r="H89" s="16" t="str">
        <f>IF(OR($A89="",NOT(ISNUMBER($F89)),NOT(ISNUMBER($C89))),"",IFERROR((($F89-IF($K89=0,0,SUMIFS('4. Chronology'!$F$5:$F$204,'4. Chronology'!$A$5:$A$204,$A89,'4. Chronology'!$B$5:$B$204,$K89)))*1000)/($C89-IF($K89=0,0,SUMIFS('4. Chronology'!$C$5:$C$204,'4. Chronology'!$A$5:$A$204,$A89,'4. Chronology'!$B$5:$B$204,$K89))),""))</f>
        <v/>
      </c>
      <c r="I89" s="16" t="str">
        <f>IF($A89="","",IF(COUNTIF('2. Core Log'!$A$5:$A$124,$A89)=0,"Core ID not in Core Log. ","")&amp;IF($E89="","No date source given — RERCA and LORCA need to know which method produced this age. ","")&amp;IF(AND(ISNUMBER($C89),$C89&lt;0),"Negative age: this horizon post-dates the coring year. Check the conversion. ","")&amp;IF(AND(ISNUMBER($G89),$G89&lt;0),"Age reversal — this horizon is younger than one above it. A mixed or disturbed profile may not be datable at all. ","")&amp;IF(AND(ISNUMBER($D89),ISNUMBER($C89),$C89&gt;0,$D89/$C89&gt;0.5),"Age uncertainty exceeds 50% of the age. Usable as an indication only. ","")&amp;IF(AND($D89="",$C89&lt;&gt;""),"No uncertainty given. Every radiometric age has one; a rate without it cannot be defended. ",""))</f>
        <v/>
      </c>
      <c r="J89" s="16">
        <f t="shared" si="0"/>
        <v>0</v>
      </c>
      <c r="K89" s="16" t="str">
        <f>IF(OR($A89="",NOT(ISNUMBER($B89))),"",SUMPRODUCT(MAX(('4. Chronology'!$A$5:$A$204=$A89)*('4. Chronology'!$B$5:$B$204&lt;$B89)*'4. Chronology'!$B$5:$B$204)))</f>
        <v/>
      </c>
    </row>
    <row r="90" spans="1:11" ht="15.75" customHeight="1">
      <c r="A90" s="14"/>
      <c r="B90" s="14"/>
      <c r="C90" s="14"/>
      <c r="D90" s="14"/>
      <c r="E90" s="14"/>
      <c r="F90" s="16" t="str">
        <f>IF(OR($A90="",NOT(ISNUMBER($B90))),"",SUMIFS(community_cores_FS!$P$5:$P$597,community_cores_FS!$B$5:$B$597,$A90,community_cores_FS!$F$5:$F$597,"&lt;="&amp;$B90)+SUMPRODUCT((community_cores_FS!$B$5:$B$597=$A90)*(community_cores_FS!$E$5:$E$597&lt;$B90)*(community_cores_FS!$F$5:$F$597&gt;$B90)*community_cores_FS!$R$5:$R$597*($B90-community_cores_FS!$E$5:$E$597)))</f>
        <v/>
      </c>
      <c r="G90" s="16" t="str">
        <f>IF(OR($A90="",NOT(ISNUMBER($B90)),NOT(ISNUMBER($C90))),"",IFERROR(($B90-$K90)/($C90-IF($K90=0,0,SUMIFS('4. Chronology'!$C$5:$C$204,'4. Chronology'!$A$5:$A$204,$A90,'4. Chronology'!$B$5:$B$204,$K90))),""))</f>
        <v/>
      </c>
      <c r="H90" s="16" t="str">
        <f>IF(OR($A90="",NOT(ISNUMBER($F90)),NOT(ISNUMBER($C90))),"",IFERROR((($F90-IF($K90=0,0,SUMIFS('4. Chronology'!$F$5:$F$204,'4. Chronology'!$A$5:$A$204,$A90,'4. Chronology'!$B$5:$B$204,$K90)))*1000)/($C90-IF($K90=0,0,SUMIFS('4. Chronology'!$C$5:$C$204,'4. Chronology'!$A$5:$A$204,$A90,'4. Chronology'!$B$5:$B$204,$K90))),""))</f>
        <v/>
      </c>
      <c r="I90" s="16" t="str">
        <f>IF($A90="","",IF(COUNTIF('2. Core Log'!$A$5:$A$124,$A90)=0,"Core ID not in Core Log. ","")&amp;IF($E90="","No date source given — RERCA and LORCA need to know which method produced this age. ","")&amp;IF(AND(ISNUMBER($C90),$C90&lt;0),"Negative age: this horizon post-dates the coring year. Check the conversion. ","")&amp;IF(AND(ISNUMBER($G90),$G90&lt;0),"Age reversal — this horizon is younger than one above it. A mixed or disturbed profile may not be datable at all. ","")&amp;IF(AND(ISNUMBER($D90),ISNUMBER($C90),$C90&gt;0,$D90/$C90&gt;0.5),"Age uncertainty exceeds 50% of the age. Usable as an indication only. ","")&amp;IF(AND($D90="",$C90&lt;&gt;""),"No uncertainty given. Every radiometric age has one; a rate without it cannot be defended. ",""))</f>
        <v/>
      </c>
      <c r="J90" s="16">
        <f t="shared" si="0"/>
        <v>0</v>
      </c>
      <c r="K90" s="16" t="str">
        <f>IF(OR($A90="",NOT(ISNUMBER($B90))),"",SUMPRODUCT(MAX(('4. Chronology'!$A$5:$A$204=$A90)*('4. Chronology'!$B$5:$B$204&lt;$B90)*'4. Chronology'!$B$5:$B$204)))</f>
        <v/>
      </c>
    </row>
    <row r="91" spans="1:11" ht="15.75" customHeight="1">
      <c r="A91" s="14"/>
      <c r="B91" s="14"/>
      <c r="C91" s="14"/>
      <c r="D91" s="14"/>
      <c r="E91" s="14"/>
      <c r="F91" s="16" t="str">
        <f>IF(OR($A91="",NOT(ISNUMBER($B91))),"",SUMIFS(community_cores_FS!$P$5:$P$597,community_cores_FS!$B$5:$B$597,$A91,community_cores_FS!$F$5:$F$597,"&lt;="&amp;$B91)+SUMPRODUCT((community_cores_FS!$B$5:$B$597=$A91)*(community_cores_FS!$E$5:$E$597&lt;$B91)*(community_cores_FS!$F$5:$F$597&gt;$B91)*community_cores_FS!$R$5:$R$597*($B91-community_cores_FS!$E$5:$E$597)))</f>
        <v/>
      </c>
      <c r="G91" s="16" t="str">
        <f>IF(OR($A91="",NOT(ISNUMBER($B91)),NOT(ISNUMBER($C91))),"",IFERROR(($B91-$K91)/($C91-IF($K91=0,0,SUMIFS('4. Chronology'!$C$5:$C$204,'4. Chronology'!$A$5:$A$204,$A91,'4. Chronology'!$B$5:$B$204,$K91))),""))</f>
        <v/>
      </c>
      <c r="H91" s="16" t="str">
        <f>IF(OR($A91="",NOT(ISNUMBER($F91)),NOT(ISNUMBER($C91))),"",IFERROR((($F91-IF($K91=0,0,SUMIFS('4. Chronology'!$F$5:$F$204,'4. Chronology'!$A$5:$A$204,$A91,'4. Chronology'!$B$5:$B$204,$K91)))*1000)/($C91-IF($K91=0,0,SUMIFS('4. Chronology'!$C$5:$C$204,'4. Chronology'!$A$5:$A$204,$A91,'4. Chronology'!$B$5:$B$204,$K91))),""))</f>
        <v/>
      </c>
      <c r="I91" s="16" t="str">
        <f>IF($A91="","",IF(COUNTIF('2. Core Log'!$A$5:$A$124,$A91)=0,"Core ID not in Core Log. ","")&amp;IF($E91="","No date source given — RERCA and LORCA need to know which method produced this age. ","")&amp;IF(AND(ISNUMBER($C91),$C91&lt;0),"Negative age: this horizon post-dates the coring year. Check the conversion. ","")&amp;IF(AND(ISNUMBER($G91),$G91&lt;0),"Age reversal — this horizon is younger than one above it. A mixed or disturbed profile may not be datable at all. ","")&amp;IF(AND(ISNUMBER($D91),ISNUMBER($C91),$C91&gt;0,$D91/$C91&gt;0.5),"Age uncertainty exceeds 50% of the age. Usable as an indication only. ","")&amp;IF(AND($D91="",$C91&lt;&gt;""),"No uncertainty given. Every radiometric age has one; a rate without it cannot be defended. ",""))</f>
        <v/>
      </c>
      <c r="J91" s="16">
        <f t="shared" si="0"/>
        <v>0</v>
      </c>
      <c r="K91" s="16" t="str">
        <f>IF(OR($A91="",NOT(ISNUMBER($B91))),"",SUMPRODUCT(MAX(('4. Chronology'!$A$5:$A$204=$A91)*('4. Chronology'!$B$5:$B$204&lt;$B91)*'4. Chronology'!$B$5:$B$204)))</f>
        <v/>
      </c>
    </row>
    <row r="92" spans="1:11" ht="15.75" customHeight="1">
      <c r="A92" s="14"/>
      <c r="B92" s="14"/>
      <c r="C92" s="14"/>
      <c r="D92" s="14"/>
      <c r="E92" s="14"/>
      <c r="F92" s="16" t="str">
        <f>IF(OR($A92="",NOT(ISNUMBER($B92))),"",SUMIFS(community_cores_FS!$P$5:$P$597,community_cores_FS!$B$5:$B$597,$A92,community_cores_FS!$F$5:$F$597,"&lt;="&amp;$B92)+SUMPRODUCT((community_cores_FS!$B$5:$B$597=$A92)*(community_cores_FS!$E$5:$E$597&lt;$B92)*(community_cores_FS!$F$5:$F$597&gt;$B92)*community_cores_FS!$R$5:$R$597*($B92-community_cores_FS!$E$5:$E$597)))</f>
        <v/>
      </c>
      <c r="G92" s="16" t="str">
        <f>IF(OR($A92="",NOT(ISNUMBER($B92)),NOT(ISNUMBER($C92))),"",IFERROR(($B92-$K92)/($C92-IF($K92=0,0,SUMIFS('4. Chronology'!$C$5:$C$204,'4. Chronology'!$A$5:$A$204,$A92,'4. Chronology'!$B$5:$B$204,$K92))),""))</f>
        <v/>
      </c>
      <c r="H92" s="16" t="str">
        <f>IF(OR($A92="",NOT(ISNUMBER($F92)),NOT(ISNUMBER($C92))),"",IFERROR((($F92-IF($K92=0,0,SUMIFS('4. Chronology'!$F$5:$F$204,'4. Chronology'!$A$5:$A$204,$A92,'4. Chronology'!$B$5:$B$204,$K92)))*1000)/($C92-IF($K92=0,0,SUMIFS('4. Chronology'!$C$5:$C$204,'4. Chronology'!$A$5:$A$204,$A92,'4. Chronology'!$B$5:$B$204,$K92))),""))</f>
        <v/>
      </c>
      <c r="I92" s="16" t="str">
        <f>IF($A92="","",IF(COUNTIF('2. Core Log'!$A$5:$A$124,$A92)=0,"Core ID not in Core Log. ","")&amp;IF($E92="","No date source given — RERCA and LORCA need to know which method produced this age. ","")&amp;IF(AND(ISNUMBER($C92),$C92&lt;0),"Negative age: this horizon post-dates the coring year. Check the conversion. ","")&amp;IF(AND(ISNUMBER($G92),$G92&lt;0),"Age reversal — this horizon is younger than one above it. A mixed or disturbed profile may not be datable at all. ","")&amp;IF(AND(ISNUMBER($D92),ISNUMBER($C92),$C92&gt;0,$D92/$C92&gt;0.5),"Age uncertainty exceeds 50% of the age. Usable as an indication only. ","")&amp;IF(AND($D92="",$C92&lt;&gt;""),"No uncertainty given. Every radiometric age has one; a rate without it cannot be defended. ",""))</f>
        <v/>
      </c>
      <c r="J92" s="16">
        <f t="shared" si="0"/>
        <v>0</v>
      </c>
      <c r="K92" s="16" t="str">
        <f>IF(OR($A92="",NOT(ISNUMBER($B92))),"",SUMPRODUCT(MAX(('4. Chronology'!$A$5:$A$204=$A92)*('4. Chronology'!$B$5:$B$204&lt;$B92)*'4. Chronology'!$B$5:$B$204)))</f>
        <v/>
      </c>
    </row>
    <row r="93" spans="1:11" ht="15.75" customHeight="1">
      <c r="A93" s="14"/>
      <c r="B93" s="14"/>
      <c r="C93" s="14"/>
      <c r="D93" s="14"/>
      <c r="E93" s="14"/>
      <c r="F93" s="16" t="str">
        <f>IF(OR($A93="",NOT(ISNUMBER($B93))),"",SUMIFS(community_cores_FS!$P$5:$P$597,community_cores_FS!$B$5:$B$597,$A93,community_cores_FS!$F$5:$F$597,"&lt;="&amp;$B93)+SUMPRODUCT((community_cores_FS!$B$5:$B$597=$A93)*(community_cores_FS!$E$5:$E$597&lt;$B93)*(community_cores_FS!$F$5:$F$597&gt;$B93)*community_cores_FS!$R$5:$R$597*($B93-community_cores_FS!$E$5:$E$597)))</f>
        <v/>
      </c>
      <c r="G93" s="16" t="str">
        <f>IF(OR($A93="",NOT(ISNUMBER($B93)),NOT(ISNUMBER($C93))),"",IFERROR(($B93-$K93)/($C93-IF($K93=0,0,SUMIFS('4. Chronology'!$C$5:$C$204,'4. Chronology'!$A$5:$A$204,$A93,'4. Chronology'!$B$5:$B$204,$K93))),""))</f>
        <v/>
      </c>
      <c r="H93" s="16" t="str">
        <f>IF(OR($A93="",NOT(ISNUMBER($F93)),NOT(ISNUMBER($C93))),"",IFERROR((($F93-IF($K93=0,0,SUMIFS('4. Chronology'!$F$5:$F$204,'4. Chronology'!$A$5:$A$204,$A93,'4. Chronology'!$B$5:$B$204,$K93)))*1000)/($C93-IF($K93=0,0,SUMIFS('4. Chronology'!$C$5:$C$204,'4. Chronology'!$A$5:$A$204,$A93,'4. Chronology'!$B$5:$B$204,$K93))),""))</f>
        <v/>
      </c>
      <c r="I93" s="16" t="str">
        <f>IF($A93="","",IF(COUNTIF('2. Core Log'!$A$5:$A$124,$A93)=0,"Core ID not in Core Log. ","")&amp;IF($E93="","No date source given — RERCA and LORCA need to know which method produced this age. ","")&amp;IF(AND(ISNUMBER($C93),$C93&lt;0),"Negative age: this horizon post-dates the coring year. Check the conversion. ","")&amp;IF(AND(ISNUMBER($G93),$G93&lt;0),"Age reversal — this horizon is younger than one above it. A mixed or disturbed profile may not be datable at all. ","")&amp;IF(AND(ISNUMBER($D93),ISNUMBER($C93),$C93&gt;0,$D93/$C93&gt;0.5),"Age uncertainty exceeds 50% of the age. Usable as an indication only. ","")&amp;IF(AND($D93="",$C93&lt;&gt;""),"No uncertainty given. Every radiometric age has one; a rate without it cannot be defended. ",""))</f>
        <v/>
      </c>
      <c r="J93" s="16">
        <f t="shared" si="0"/>
        <v>0</v>
      </c>
      <c r="K93" s="16" t="str">
        <f>IF(OR($A93="",NOT(ISNUMBER($B93))),"",SUMPRODUCT(MAX(('4. Chronology'!$A$5:$A$204=$A93)*('4. Chronology'!$B$5:$B$204&lt;$B93)*'4. Chronology'!$B$5:$B$204)))</f>
        <v/>
      </c>
    </row>
    <row r="94" spans="1:11" ht="15.75" customHeight="1">
      <c r="A94" s="14"/>
      <c r="B94" s="14"/>
      <c r="C94" s="14"/>
      <c r="D94" s="14"/>
      <c r="E94" s="14"/>
      <c r="F94" s="16" t="str">
        <f>IF(OR($A94="",NOT(ISNUMBER($B94))),"",SUMIFS(community_cores_FS!$P$5:$P$597,community_cores_FS!$B$5:$B$597,$A94,community_cores_FS!$F$5:$F$597,"&lt;="&amp;$B94)+SUMPRODUCT((community_cores_FS!$B$5:$B$597=$A94)*(community_cores_FS!$E$5:$E$597&lt;$B94)*(community_cores_FS!$F$5:$F$597&gt;$B94)*community_cores_FS!$R$5:$R$597*($B94-community_cores_FS!$E$5:$E$597)))</f>
        <v/>
      </c>
      <c r="G94" s="16" t="str">
        <f>IF(OR($A94="",NOT(ISNUMBER($B94)),NOT(ISNUMBER($C94))),"",IFERROR(($B94-$K94)/($C94-IF($K94=0,0,SUMIFS('4. Chronology'!$C$5:$C$204,'4. Chronology'!$A$5:$A$204,$A94,'4. Chronology'!$B$5:$B$204,$K94))),""))</f>
        <v/>
      </c>
      <c r="H94" s="16" t="str">
        <f>IF(OR($A94="",NOT(ISNUMBER($F94)),NOT(ISNUMBER($C94))),"",IFERROR((($F94-IF($K94=0,0,SUMIFS('4. Chronology'!$F$5:$F$204,'4. Chronology'!$A$5:$A$204,$A94,'4. Chronology'!$B$5:$B$204,$K94)))*1000)/($C94-IF($K94=0,0,SUMIFS('4. Chronology'!$C$5:$C$204,'4. Chronology'!$A$5:$A$204,$A94,'4. Chronology'!$B$5:$B$204,$K94))),""))</f>
        <v/>
      </c>
      <c r="I94" s="16" t="str">
        <f>IF($A94="","",IF(COUNTIF('2. Core Log'!$A$5:$A$124,$A94)=0,"Core ID not in Core Log. ","")&amp;IF($E94="","No date source given — RERCA and LORCA need to know which method produced this age. ","")&amp;IF(AND(ISNUMBER($C94),$C94&lt;0),"Negative age: this horizon post-dates the coring year. Check the conversion. ","")&amp;IF(AND(ISNUMBER($G94),$G94&lt;0),"Age reversal — this horizon is younger than one above it. A mixed or disturbed profile may not be datable at all. ","")&amp;IF(AND(ISNUMBER($D94),ISNUMBER($C94),$C94&gt;0,$D94/$C94&gt;0.5),"Age uncertainty exceeds 50% of the age. Usable as an indication only. ","")&amp;IF(AND($D94="",$C94&lt;&gt;""),"No uncertainty given. Every radiometric age has one; a rate without it cannot be defended. ",""))</f>
        <v/>
      </c>
      <c r="J94" s="16">
        <f t="shared" si="0"/>
        <v>0</v>
      </c>
      <c r="K94" s="16" t="str">
        <f>IF(OR($A94="",NOT(ISNUMBER($B94))),"",SUMPRODUCT(MAX(('4. Chronology'!$A$5:$A$204=$A94)*('4. Chronology'!$B$5:$B$204&lt;$B94)*'4. Chronology'!$B$5:$B$204)))</f>
        <v/>
      </c>
    </row>
    <row r="95" spans="1:11" ht="15.75" customHeight="1">
      <c r="A95" s="14"/>
      <c r="B95" s="14"/>
      <c r="C95" s="14"/>
      <c r="D95" s="14"/>
      <c r="E95" s="14"/>
      <c r="F95" s="16" t="str">
        <f>IF(OR($A95="",NOT(ISNUMBER($B95))),"",SUMIFS(community_cores_FS!$P$5:$P$597,community_cores_FS!$B$5:$B$597,$A95,community_cores_FS!$F$5:$F$597,"&lt;="&amp;$B95)+SUMPRODUCT((community_cores_FS!$B$5:$B$597=$A95)*(community_cores_FS!$E$5:$E$597&lt;$B95)*(community_cores_FS!$F$5:$F$597&gt;$B95)*community_cores_FS!$R$5:$R$597*($B95-community_cores_FS!$E$5:$E$597)))</f>
        <v/>
      </c>
      <c r="G95" s="16" t="str">
        <f>IF(OR($A95="",NOT(ISNUMBER($B95)),NOT(ISNUMBER($C95))),"",IFERROR(($B95-$K95)/($C95-IF($K95=0,0,SUMIFS('4. Chronology'!$C$5:$C$204,'4. Chronology'!$A$5:$A$204,$A95,'4. Chronology'!$B$5:$B$204,$K95))),""))</f>
        <v/>
      </c>
      <c r="H95" s="16" t="str">
        <f>IF(OR($A95="",NOT(ISNUMBER($F95)),NOT(ISNUMBER($C95))),"",IFERROR((($F95-IF($K95=0,0,SUMIFS('4. Chronology'!$F$5:$F$204,'4. Chronology'!$A$5:$A$204,$A95,'4. Chronology'!$B$5:$B$204,$K95)))*1000)/($C95-IF($K95=0,0,SUMIFS('4. Chronology'!$C$5:$C$204,'4. Chronology'!$A$5:$A$204,$A95,'4. Chronology'!$B$5:$B$204,$K95))),""))</f>
        <v/>
      </c>
      <c r="I95" s="16" t="str">
        <f>IF($A95="","",IF(COUNTIF('2. Core Log'!$A$5:$A$124,$A95)=0,"Core ID not in Core Log. ","")&amp;IF($E95="","No date source given — RERCA and LORCA need to know which method produced this age. ","")&amp;IF(AND(ISNUMBER($C95),$C95&lt;0),"Negative age: this horizon post-dates the coring year. Check the conversion. ","")&amp;IF(AND(ISNUMBER($G95),$G95&lt;0),"Age reversal — this horizon is younger than one above it. A mixed or disturbed profile may not be datable at all. ","")&amp;IF(AND(ISNUMBER($D95),ISNUMBER($C95),$C95&gt;0,$D95/$C95&gt;0.5),"Age uncertainty exceeds 50% of the age. Usable as an indication only. ","")&amp;IF(AND($D95="",$C95&lt;&gt;""),"No uncertainty given. Every radiometric age has one; a rate without it cannot be defended. ",""))</f>
        <v/>
      </c>
      <c r="J95" s="16">
        <f t="shared" si="0"/>
        <v>0</v>
      </c>
      <c r="K95" s="16" t="str">
        <f>IF(OR($A95="",NOT(ISNUMBER($B95))),"",SUMPRODUCT(MAX(('4. Chronology'!$A$5:$A$204=$A95)*('4. Chronology'!$B$5:$B$204&lt;$B95)*'4. Chronology'!$B$5:$B$204)))</f>
        <v/>
      </c>
    </row>
    <row r="96" spans="1:11" ht="15.75" customHeight="1">
      <c r="A96" s="14"/>
      <c r="B96" s="14"/>
      <c r="C96" s="14"/>
      <c r="D96" s="14"/>
      <c r="E96" s="14"/>
      <c r="F96" s="16" t="str">
        <f>IF(OR($A96="",NOT(ISNUMBER($B96))),"",SUMIFS(community_cores_FS!$P$5:$P$597,community_cores_FS!$B$5:$B$597,$A96,community_cores_FS!$F$5:$F$597,"&lt;="&amp;$B96)+SUMPRODUCT((community_cores_FS!$B$5:$B$597=$A96)*(community_cores_FS!$E$5:$E$597&lt;$B96)*(community_cores_FS!$F$5:$F$597&gt;$B96)*community_cores_FS!$R$5:$R$597*($B96-community_cores_FS!$E$5:$E$597)))</f>
        <v/>
      </c>
      <c r="G96" s="16" t="str">
        <f>IF(OR($A96="",NOT(ISNUMBER($B96)),NOT(ISNUMBER($C96))),"",IFERROR(($B96-$K96)/($C96-IF($K96=0,0,SUMIFS('4. Chronology'!$C$5:$C$204,'4. Chronology'!$A$5:$A$204,$A96,'4. Chronology'!$B$5:$B$204,$K96))),""))</f>
        <v/>
      </c>
      <c r="H96" s="16" t="str">
        <f>IF(OR($A96="",NOT(ISNUMBER($F96)),NOT(ISNUMBER($C96))),"",IFERROR((($F96-IF($K96=0,0,SUMIFS('4. Chronology'!$F$5:$F$204,'4. Chronology'!$A$5:$A$204,$A96,'4. Chronology'!$B$5:$B$204,$K96)))*1000)/($C96-IF($K96=0,0,SUMIFS('4. Chronology'!$C$5:$C$204,'4. Chronology'!$A$5:$A$204,$A96,'4. Chronology'!$B$5:$B$204,$K96))),""))</f>
        <v/>
      </c>
      <c r="I96" s="16" t="str">
        <f>IF($A96="","",IF(COUNTIF('2. Core Log'!$A$5:$A$124,$A96)=0,"Core ID not in Core Log. ","")&amp;IF($E96="","No date source given — RERCA and LORCA need to know which method produced this age. ","")&amp;IF(AND(ISNUMBER($C96),$C96&lt;0),"Negative age: this horizon post-dates the coring year. Check the conversion. ","")&amp;IF(AND(ISNUMBER($G96),$G96&lt;0),"Age reversal — this horizon is younger than one above it. A mixed or disturbed profile may not be datable at all. ","")&amp;IF(AND(ISNUMBER($D96),ISNUMBER($C96),$C96&gt;0,$D96/$C96&gt;0.5),"Age uncertainty exceeds 50% of the age. Usable as an indication only. ","")&amp;IF(AND($D96="",$C96&lt;&gt;""),"No uncertainty given. Every radiometric age has one; a rate without it cannot be defended. ",""))</f>
        <v/>
      </c>
      <c r="J96" s="16">
        <f t="shared" si="0"/>
        <v>0</v>
      </c>
      <c r="K96" s="16" t="str">
        <f>IF(OR($A96="",NOT(ISNUMBER($B96))),"",SUMPRODUCT(MAX(('4. Chronology'!$A$5:$A$204=$A96)*('4. Chronology'!$B$5:$B$204&lt;$B96)*'4. Chronology'!$B$5:$B$204)))</f>
        <v/>
      </c>
    </row>
    <row r="97" spans="1:11" ht="15.75" customHeight="1">
      <c r="A97" s="14"/>
      <c r="B97" s="14"/>
      <c r="C97" s="14"/>
      <c r="D97" s="14"/>
      <c r="E97" s="14"/>
      <c r="F97" s="16" t="str">
        <f>IF(OR($A97="",NOT(ISNUMBER($B97))),"",SUMIFS(community_cores_FS!$P$5:$P$597,community_cores_FS!$B$5:$B$597,$A97,community_cores_FS!$F$5:$F$597,"&lt;="&amp;$B97)+SUMPRODUCT((community_cores_FS!$B$5:$B$597=$A97)*(community_cores_FS!$E$5:$E$597&lt;$B97)*(community_cores_FS!$F$5:$F$597&gt;$B97)*community_cores_FS!$R$5:$R$597*($B97-community_cores_FS!$E$5:$E$597)))</f>
        <v/>
      </c>
      <c r="G97" s="16" t="str">
        <f>IF(OR($A97="",NOT(ISNUMBER($B97)),NOT(ISNUMBER($C97))),"",IFERROR(($B97-$K97)/($C97-IF($K97=0,0,SUMIFS('4. Chronology'!$C$5:$C$204,'4. Chronology'!$A$5:$A$204,$A97,'4. Chronology'!$B$5:$B$204,$K97))),""))</f>
        <v/>
      </c>
      <c r="H97" s="16" t="str">
        <f>IF(OR($A97="",NOT(ISNUMBER($F97)),NOT(ISNUMBER($C97))),"",IFERROR((($F97-IF($K97=0,0,SUMIFS('4. Chronology'!$F$5:$F$204,'4. Chronology'!$A$5:$A$204,$A97,'4. Chronology'!$B$5:$B$204,$K97)))*1000)/($C97-IF($K97=0,0,SUMIFS('4. Chronology'!$C$5:$C$204,'4. Chronology'!$A$5:$A$204,$A97,'4. Chronology'!$B$5:$B$204,$K97))),""))</f>
        <v/>
      </c>
      <c r="I97" s="16" t="str">
        <f>IF($A97="","",IF(COUNTIF('2. Core Log'!$A$5:$A$124,$A97)=0,"Core ID not in Core Log. ","")&amp;IF($E97="","No date source given — RERCA and LORCA need to know which method produced this age. ","")&amp;IF(AND(ISNUMBER($C97),$C97&lt;0),"Negative age: this horizon post-dates the coring year. Check the conversion. ","")&amp;IF(AND(ISNUMBER($G97),$G97&lt;0),"Age reversal — this horizon is younger than one above it. A mixed or disturbed profile may not be datable at all. ","")&amp;IF(AND(ISNUMBER($D97),ISNUMBER($C97),$C97&gt;0,$D97/$C97&gt;0.5),"Age uncertainty exceeds 50% of the age. Usable as an indication only. ","")&amp;IF(AND($D97="",$C97&lt;&gt;""),"No uncertainty given. Every radiometric age has one; a rate without it cannot be defended. ",""))</f>
        <v/>
      </c>
      <c r="J97" s="16">
        <f t="shared" si="0"/>
        <v>0</v>
      </c>
      <c r="K97" s="16" t="str">
        <f>IF(OR($A97="",NOT(ISNUMBER($B97))),"",SUMPRODUCT(MAX(('4. Chronology'!$A$5:$A$204=$A97)*('4. Chronology'!$B$5:$B$204&lt;$B97)*'4. Chronology'!$B$5:$B$204)))</f>
        <v/>
      </c>
    </row>
    <row r="98" spans="1:11" ht="15.75" customHeight="1">
      <c r="A98" s="14"/>
      <c r="B98" s="14"/>
      <c r="C98" s="14"/>
      <c r="D98" s="14"/>
      <c r="E98" s="14"/>
      <c r="F98" s="16" t="str">
        <f>IF(OR($A98="",NOT(ISNUMBER($B98))),"",SUMIFS(community_cores_FS!$P$5:$P$597,community_cores_FS!$B$5:$B$597,$A98,community_cores_FS!$F$5:$F$597,"&lt;="&amp;$B98)+SUMPRODUCT((community_cores_FS!$B$5:$B$597=$A98)*(community_cores_FS!$E$5:$E$597&lt;$B98)*(community_cores_FS!$F$5:$F$597&gt;$B98)*community_cores_FS!$R$5:$R$597*($B98-community_cores_FS!$E$5:$E$597)))</f>
        <v/>
      </c>
      <c r="G98" s="16" t="str">
        <f>IF(OR($A98="",NOT(ISNUMBER($B98)),NOT(ISNUMBER($C98))),"",IFERROR(($B98-$K98)/($C98-IF($K98=0,0,SUMIFS('4. Chronology'!$C$5:$C$204,'4. Chronology'!$A$5:$A$204,$A98,'4. Chronology'!$B$5:$B$204,$K98))),""))</f>
        <v/>
      </c>
      <c r="H98" s="16" t="str">
        <f>IF(OR($A98="",NOT(ISNUMBER($F98)),NOT(ISNUMBER($C98))),"",IFERROR((($F98-IF($K98=0,0,SUMIFS('4. Chronology'!$F$5:$F$204,'4. Chronology'!$A$5:$A$204,$A98,'4. Chronology'!$B$5:$B$204,$K98)))*1000)/($C98-IF($K98=0,0,SUMIFS('4. Chronology'!$C$5:$C$204,'4. Chronology'!$A$5:$A$204,$A98,'4. Chronology'!$B$5:$B$204,$K98))),""))</f>
        <v/>
      </c>
      <c r="I98" s="16" t="str">
        <f>IF($A98="","",IF(COUNTIF('2. Core Log'!$A$5:$A$124,$A98)=0,"Core ID not in Core Log. ","")&amp;IF($E98="","No date source given — RERCA and LORCA need to know which method produced this age. ","")&amp;IF(AND(ISNUMBER($C98),$C98&lt;0),"Negative age: this horizon post-dates the coring year. Check the conversion. ","")&amp;IF(AND(ISNUMBER($G98),$G98&lt;0),"Age reversal — this horizon is younger than one above it. A mixed or disturbed profile may not be datable at all. ","")&amp;IF(AND(ISNUMBER($D98),ISNUMBER($C98),$C98&gt;0,$D98/$C98&gt;0.5),"Age uncertainty exceeds 50% of the age. Usable as an indication only. ","")&amp;IF(AND($D98="",$C98&lt;&gt;""),"No uncertainty given. Every radiometric age has one; a rate without it cannot be defended. ",""))</f>
        <v/>
      </c>
      <c r="J98" s="16">
        <f t="shared" si="0"/>
        <v>0</v>
      </c>
      <c r="K98" s="16" t="str">
        <f>IF(OR($A98="",NOT(ISNUMBER($B98))),"",SUMPRODUCT(MAX(('4. Chronology'!$A$5:$A$204=$A98)*('4. Chronology'!$B$5:$B$204&lt;$B98)*'4. Chronology'!$B$5:$B$204)))</f>
        <v/>
      </c>
    </row>
    <row r="99" spans="1:11" ht="15.75" customHeight="1">
      <c r="A99" s="14"/>
      <c r="B99" s="14"/>
      <c r="C99" s="14"/>
      <c r="D99" s="14"/>
      <c r="E99" s="14"/>
      <c r="F99" s="16" t="str">
        <f>IF(OR($A99="",NOT(ISNUMBER($B99))),"",SUMIFS(community_cores_FS!$P$5:$P$597,community_cores_FS!$B$5:$B$597,$A99,community_cores_FS!$F$5:$F$597,"&lt;="&amp;$B99)+SUMPRODUCT((community_cores_FS!$B$5:$B$597=$A99)*(community_cores_FS!$E$5:$E$597&lt;$B99)*(community_cores_FS!$F$5:$F$597&gt;$B99)*community_cores_FS!$R$5:$R$597*($B99-community_cores_FS!$E$5:$E$597)))</f>
        <v/>
      </c>
      <c r="G99" s="16" t="str">
        <f>IF(OR($A99="",NOT(ISNUMBER($B99)),NOT(ISNUMBER($C99))),"",IFERROR(($B99-$K99)/($C99-IF($K99=0,0,SUMIFS('4. Chronology'!$C$5:$C$204,'4. Chronology'!$A$5:$A$204,$A99,'4. Chronology'!$B$5:$B$204,$K99))),""))</f>
        <v/>
      </c>
      <c r="H99" s="16" t="str">
        <f>IF(OR($A99="",NOT(ISNUMBER($F99)),NOT(ISNUMBER($C99))),"",IFERROR((($F99-IF($K99=0,0,SUMIFS('4. Chronology'!$F$5:$F$204,'4. Chronology'!$A$5:$A$204,$A99,'4. Chronology'!$B$5:$B$204,$K99)))*1000)/($C99-IF($K99=0,0,SUMIFS('4. Chronology'!$C$5:$C$204,'4. Chronology'!$A$5:$A$204,$A99,'4. Chronology'!$B$5:$B$204,$K99))),""))</f>
        <v/>
      </c>
      <c r="I99" s="16" t="str">
        <f>IF($A99="","",IF(COUNTIF('2. Core Log'!$A$5:$A$124,$A99)=0,"Core ID not in Core Log. ","")&amp;IF($E99="","No date source given — RERCA and LORCA need to know which method produced this age. ","")&amp;IF(AND(ISNUMBER($C99),$C99&lt;0),"Negative age: this horizon post-dates the coring year. Check the conversion. ","")&amp;IF(AND(ISNUMBER($G99),$G99&lt;0),"Age reversal — this horizon is younger than one above it. A mixed or disturbed profile may not be datable at all. ","")&amp;IF(AND(ISNUMBER($D99),ISNUMBER($C99),$C99&gt;0,$D99/$C99&gt;0.5),"Age uncertainty exceeds 50% of the age. Usable as an indication only. ","")&amp;IF(AND($D99="",$C99&lt;&gt;""),"No uncertainty given. Every radiometric age has one; a rate without it cannot be defended. ",""))</f>
        <v/>
      </c>
      <c r="J99" s="16">
        <f t="shared" si="0"/>
        <v>0</v>
      </c>
      <c r="K99" s="16" t="str">
        <f>IF(OR($A99="",NOT(ISNUMBER($B99))),"",SUMPRODUCT(MAX(('4. Chronology'!$A$5:$A$204=$A99)*('4. Chronology'!$B$5:$B$204&lt;$B99)*'4. Chronology'!$B$5:$B$204)))</f>
        <v/>
      </c>
    </row>
    <row r="100" spans="1:11" ht="15.75" customHeight="1">
      <c r="A100" s="14"/>
      <c r="B100" s="14"/>
      <c r="C100" s="14"/>
      <c r="D100" s="14"/>
      <c r="E100" s="14"/>
      <c r="F100" s="16" t="str">
        <f>IF(OR($A100="",NOT(ISNUMBER($B100))),"",SUMIFS(community_cores_FS!$P$5:$P$597,community_cores_FS!$B$5:$B$597,$A100,community_cores_FS!$F$5:$F$597,"&lt;="&amp;$B100)+SUMPRODUCT((community_cores_FS!$B$5:$B$597=$A100)*(community_cores_FS!$E$5:$E$597&lt;$B100)*(community_cores_FS!$F$5:$F$597&gt;$B100)*community_cores_FS!$R$5:$R$597*($B100-community_cores_FS!$E$5:$E$597)))</f>
        <v/>
      </c>
      <c r="G100" s="16" t="str">
        <f>IF(OR($A100="",NOT(ISNUMBER($B100)),NOT(ISNUMBER($C100))),"",IFERROR(($B100-$K100)/($C100-IF($K100=0,0,SUMIFS('4. Chronology'!$C$5:$C$204,'4. Chronology'!$A$5:$A$204,$A100,'4. Chronology'!$B$5:$B$204,$K100))),""))</f>
        <v/>
      </c>
      <c r="H100" s="16" t="str">
        <f>IF(OR($A100="",NOT(ISNUMBER($F100)),NOT(ISNUMBER($C100))),"",IFERROR((($F100-IF($K100=0,0,SUMIFS('4. Chronology'!$F$5:$F$204,'4. Chronology'!$A$5:$A$204,$A100,'4. Chronology'!$B$5:$B$204,$K100)))*1000)/($C100-IF($K100=0,0,SUMIFS('4. Chronology'!$C$5:$C$204,'4. Chronology'!$A$5:$A$204,$A100,'4. Chronology'!$B$5:$B$204,$K100))),""))</f>
        <v/>
      </c>
      <c r="I100" s="16" t="str">
        <f>IF($A100="","",IF(COUNTIF('2. Core Log'!$A$5:$A$124,$A100)=0,"Core ID not in Core Log. ","")&amp;IF($E100="","No date source given — RERCA and LORCA need to know which method produced this age. ","")&amp;IF(AND(ISNUMBER($C100),$C100&lt;0),"Negative age: this horizon post-dates the coring year. Check the conversion. ","")&amp;IF(AND(ISNUMBER($G100),$G100&lt;0),"Age reversal — this horizon is younger than one above it. A mixed or disturbed profile may not be datable at all. ","")&amp;IF(AND(ISNUMBER($D100),ISNUMBER($C100),$C100&gt;0,$D100/$C100&gt;0.5),"Age uncertainty exceeds 50% of the age. Usable as an indication only. ","")&amp;IF(AND($D100="",$C100&lt;&gt;""),"No uncertainty given. Every radiometric age has one; a rate without it cannot be defended. ",""))</f>
        <v/>
      </c>
      <c r="J100" s="16">
        <f t="shared" si="0"/>
        <v>0</v>
      </c>
      <c r="K100" s="16" t="str">
        <f>IF(OR($A100="",NOT(ISNUMBER($B100))),"",SUMPRODUCT(MAX(('4. Chronology'!$A$5:$A$204=$A100)*('4. Chronology'!$B$5:$B$204&lt;$B100)*'4. Chronology'!$B$5:$B$204)))</f>
        <v/>
      </c>
    </row>
    <row r="101" spans="1:11" ht="15.75" customHeight="1">
      <c r="A101" s="14"/>
      <c r="B101" s="14"/>
      <c r="C101" s="14"/>
      <c r="D101" s="14"/>
      <c r="E101" s="14"/>
      <c r="F101" s="16" t="str">
        <f>IF(OR($A101="",NOT(ISNUMBER($B101))),"",SUMIFS(community_cores_FS!$P$5:$P$597,community_cores_FS!$B$5:$B$597,$A101,community_cores_FS!$F$5:$F$597,"&lt;="&amp;$B101)+SUMPRODUCT((community_cores_FS!$B$5:$B$597=$A101)*(community_cores_FS!$E$5:$E$597&lt;$B101)*(community_cores_FS!$F$5:$F$597&gt;$B101)*community_cores_FS!$R$5:$R$597*($B101-community_cores_FS!$E$5:$E$597)))</f>
        <v/>
      </c>
      <c r="G101" s="16" t="str">
        <f>IF(OR($A101="",NOT(ISNUMBER($B101)),NOT(ISNUMBER($C101))),"",IFERROR(($B101-$K101)/($C101-IF($K101=0,0,SUMIFS('4. Chronology'!$C$5:$C$204,'4. Chronology'!$A$5:$A$204,$A101,'4. Chronology'!$B$5:$B$204,$K101))),""))</f>
        <v/>
      </c>
      <c r="H101" s="16" t="str">
        <f>IF(OR($A101="",NOT(ISNUMBER($F101)),NOT(ISNUMBER($C101))),"",IFERROR((($F101-IF($K101=0,0,SUMIFS('4. Chronology'!$F$5:$F$204,'4. Chronology'!$A$5:$A$204,$A101,'4. Chronology'!$B$5:$B$204,$K101)))*1000)/($C101-IF($K101=0,0,SUMIFS('4. Chronology'!$C$5:$C$204,'4. Chronology'!$A$5:$A$204,$A101,'4. Chronology'!$B$5:$B$204,$K101))),""))</f>
        <v/>
      </c>
      <c r="I101" s="16" t="str">
        <f>IF($A101="","",IF(COUNTIF('2. Core Log'!$A$5:$A$124,$A101)=0,"Core ID not in Core Log. ","")&amp;IF($E101="","No date source given — RERCA and LORCA need to know which method produced this age. ","")&amp;IF(AND(ISNUMBER($C101),$C101&lt;0),"Negative age: this horizon post-dates the coring year. Check the conversion. ","")&amp;IF(AND(ISNUMBER($G101),$G101&lt;0),"Age reversal — this horizon is younger than one above it. A mixed or disturbed profile may not be datable at all. ","")&amp;IF(AND(ISNUMBER($D101),ISNUMBER($C101),$C101&gt;0,$D101/$C101&gt;0.5),"Age uncertainty exceeds 50% of the age. Usable as an indication only. ","")&amp;IF(AND($D101="",$C101&lt;&gt;""),"No uncertainty given. Every radiometric age has one; a rate without it cannot be defended. ",""))</f>
        <v/>
      </c>
      <c r="J101" s="16">
        <f t="shared" si="0"/>
        <v>0</v>
      </c>
      <c r="K101" s="16" t="str">
        <f>IF(OR($A101="",NOT(ISNUMBER($B101))),"",SUMPRODUCT(MAX(('4. Chronology'!$A$5:$A$204=$A101)*('4. Chronology'!$B$5:$B$204&lt;$B101)*'4. Chronology'!$B$5:$B$204)))</f>
        <v/>
      </c>
    </row>
    <row r="102" spans="1:11" ht="15.75" customHeight="1">
      <c r="A102" s="14"/>
      <c r="B102" s="14"/>
      <c r="C102" s="14"/>
      <c r="D102" s="14"/>
      <c r="E102" s="14"/>
      <c r="F102" s="16" t="str">
        <f>IF(OR($A102="",NOT(ISNUMBER($B102))),"",SUMIFS(community_cores_FS!$P$5:$P$597,community_cores_FS!$B$5:$B$597,$A102,community_cores_FS!$F$5:$F$597,"&lt;="&amp;$B102)+SUMPRODUCT((community_cores_FS!$B$5:$B$597=$A102)*(community_cores_FS!$E$5:$E$597&lt;$B102)*(community_cores_FS!$F$5:$F$597&gt;$B102)*community_cores_FS!$R$5:$R$597*($B102-community_cores_FS!$E$5:$E$597)))</f>
        <v/>
      </c>
      <c r="G102" s="16" t="str">
        <f>IF(OR($A102="",NOT(ISNUMBER($B102)),NOT(ISNUMBER($C102))),"",IFERROR(($B102-$K102)/($C102-IF($K102=0,0,SUMIFS('4. Chronology'!$C$5:$C$204,'4. Chronology'!$A$5:$A$204,$A102,'4. Chronology'!$B$5:$B$204,$K102))),""))</f>
        <v/>
      </c>
      <c r="H102" s="16" t="str">
        <f>IF(OR($A102="",NOT(ISNUMBER($F102)),NOT(ISNUMBER($C102))),"",IFERROR((($F102-IF($K102=0,0,SUMIFS('4. Chronology'!$F$5:$F$204,'4. Chronology'!$A$5:$A$204,$A102,'4. Chronology'!$B$5:$B$204,$K102)))*1000)/($C102-IF($K102=0,0,SUMIFS('4. Chronology'!$C$5:$C$204,'4. Chronology'!$A$5:$A$204,$A102,'4. Chronology'!$B$5:$B$204,$K102))),""))</f>
        <v/>
      </c>
      <c r="I102" s="16" t="str">
        <f>IF($A102="","",IF(COUNTIF('2. Core Log'!$A$5:$A$124,$A102)=0,"Core ID not in Core Log. ","")&amp;IF($E102="","No date source given — RERCA and LORCA need to know which method produced this age. ","")&amp;IF(AND(ISNUMBER($C102),$C102&lt;0),"Negative age: this horizon post-dates the coring year. Check the conversion. ","")&amp;IF(AND(ISNUMBER($G102),$G102&lt;0),"Age reversal — this horizon is younger than one above it. A mixed or disturbed profile may not be datable at all. ","")&amp;IF(AND(ISNUMBER($D102),ISNUMBER($C102),$C102&gt;0,$D102/$C102&gt;0.5),"Age uncertainty exceeds 50% of the age. Usable as an indication only. ","")&amp;IF(AND($D102="",$C102&lt;&gt;""),"No uncertainty given. Every radiometric age has one; a rate without it cannot be defended. ",""))</f>
        <v/>
      </c>
      <c r="J102" s="16">
        <f t="shared" si="0"/>
        <v>0</v>
      </c>
      <c r="K102" s="16" t="str">
        <f>IF(OR($A102="",NOT(ISNUMBER($B102))),"",SUMPRODUCT(MAX(('4. Chronology'!$A$5:$A$204=$A102)*('4. Chronology'!$B$5:$B$204&lt;$B102)*'4. Chronology'!$B$5:$B$204)))</f>
        <v/>
      </c>
    </row>
    <row r="103" spans="1:11" ht="15.75" customHeight="1">
      <c r="A103" s="14"/>
      <c r="B103" s="14"/>
      <c r="C103" s="14"/>
      <c r="D103" s="14"/>
      <c r="E103" s="14"/>
      <c r="F103" s="16" t="str">
        <f>IF(OR($A103="",NOT(ISNUMBER($B103))),"",SUMIFS(community_cores_FS!$P$5:$P$597,community_cores_FS!$B$5:$B$597,$A103,community_cores_FS!$F$5:$F$597,"&lt;="&amp;$B103)+SUMPRODUCT((community_cores_FS!$B$5:$B$597=$A103)*(community_cores_FS!$E$5:$E$597&lt;$B103)*(community_cores_FS!$F$5:$F$597&gt;$B103)*community_cores_FS!$R$5:$R$597*($B103-community_cores_FS!$E$5:$E$597)))</f>
        <v/>
      </c>
      <c r="G103" s="16" t="str">
        <f>IF(OR($A103="",NOT(ISNUMBER($B103)),NOT(ISNUMBER($C103))),"",IFERROR(($B103-$K103)/($C103-IF($K103=0,0,SUMIFS('4. Chronology'!$C$5:$C$204,'4. Chronology'!$A$5:$A$204,$A103,'4. Chronology'!$B$5:$B$204,$K103))),""))</f>
        <v/>
      </c>
      <c r="H103" s="16" t="str">
        <f>IF(OR($A103="",NOT(ISNUMBER($F103)),NOT(ISNUMBER($C103))),"",IFERROR((($F103-IF($K103=0,0,SUMIFS('4. Chronology'!$F$5:$F$204,'4. Chronology'!$A$5:$A$204,$A103,'4. Chronology'!$B$5:$B$204,$K103)))*1000)/($C103-IF($K103=0,0,SUMIFS('4. Chronology'!$C$5:$C$204,'4. Chronology'!$A$5:$A$204,$A103,'4. Chronology'!$B$5:$B$204,$K103))),""))</f>
        <v/>
      </c>
      <c r="I103" s="16" t="str">
        <f>IF($A103="","",IF(COUNTIF('2. Core Log'!$A$5:$A$124,$A103)=0,"Core ID not in Core Log. ","")&amp;IF($E103="","No date source given — RERCA and LORCA need to know which method produced this age. ","")&amp;IF(AND(ISNUMBER($C103),$C103&lt;0),"Negative age: this horizon post-dates the coring year. Check the conversion. ","")&amp;IF(AND(ISNUMBER($G103),$G103&lt;0),"Age reversal — this horizon is younger than one above it. A mixed or disturbed profile may not be datable at all. ","")&amp;IF(AND(ISNUMBER($D103),ISNUMBER($C103),$C103&gt;0,$D103/$C103&gt;0.5),"Age uncertainty exceeds 50% of the age. Usable as an indication only. ","")&amp;IF(AND($D103="",$C103&lt;&gt;""),"No uncertainty given. Every radiometric age has one; a rate without it cannot be defended. ",""))</f>
        <v/>
      </c>
      <c r="J103" s="16">
        <f t="shared" si="0"/>
        <v>0</v>
      </c>
      <c r="K103" s="16" t="str">
        <f>IF(OR($A103="",NOT(ISNUMBER($B103))),"",SUMPRODUCT(MAX(('4. Chronology'!$A$5:$A$204=$A103)*('4. Chronology'!$B$5:$B$204&lt;$B103)*'4. Chronology'!$B$5:$B$204)))</f>
        <v/>
      </c>
    </row>
    <row r="104" spans="1:11" ht="15.75" customHeight="1">
      <c r="A104" s="14"/>
      <c r="B104" s="14"/>
      <c r="C104" s="14"/>
      <c r="D104" s="14"/>
      <c r="E104" s="14"/>
      <c r="F104" s="16" t="str">
        <f>IF(OR($A104="",NOT(ISNUMBER($B104))),"",SUMIFS(community_cores_FS!$P$5:$P$597,community_cores_FS!$B$5:$B$597,$A104,community_cores_FS!$F$5:$F$597,"&lt;="&amp;$B104)+SUMPRODUCT((community_cores_FS!$B$5:$B$597=$A104)*(community_cores_FS!$E$5:$E$597&lt;$B104)*(community_cores_FS!$F$5:$F$597&gt;$B104)*community_cores_FS!$R$5:$R$597*($B104-community_cores_FS!$E$5:$E$597)))</f>
        <v/>
      </c>
      <c r="G104" s="16" t="str">
        <f>IF(OR($A104="",NOT(ISNUMBER($B104)),NOT(ISNUMBER($C104))),"",IFERROR(($B104-$K104)/($C104-IF($K104=0,0,SUMIFS('4. Chronology'!$C$5:$C$204,'4. Chronology'!$A$5:$A$204,$A104,'4. Chronology'!$B$5:$B$204,$K104))),""))</f>
        <v/>
      </c>
      <c r="H104" s="16" t="str">
        <f>IF(OR($A104="",NOT(ISNUMBER($F104)),NOT(ISNUMBER($C104))),"",IFERROR((($F104-IF($K104=0,0,SUMIFS('4. Chronology'!$F$5:$F$204,'4. Chronology'!$A$5:$A$204,$A104,'4. Chronology'!$B$5:$B$204,$K104)))*1000)/($C104-IF($K104=0,0,SUMIFS('4. Chronology'!$C$5:$C$204,'4. Chronology'!$A$5:$A$204,$A104,'4. Chronology'!$B$5:$B$204,$K104))),""))</f>
        <v/>
      </c>
      <c r="I104" s="16" t="str">
        <f>IF($A104="","",IF(COUNTIF('2. Core Log'!$A$5:$A$124,$A104)=0,"Core ID not in Core Log. ","")&amp;IF($E104="","No date source given — RERCA and LORCA need to know which method produced this age. ","")&amp;IF(AND(ISNUMBER($C104),$C104&lt;0),"Negative age: this horizon post-dates the coring year. Check the conversion. ","")&amp;IF(AND(ISNUMBER($G104),$G104&lt;0),"Age reversal — this horizon is younger than one above it. A mixed or disturbed profile may not be datable at all. ","")&amp;IF(AND(ISNUMBER($D104),ISNUMBER($C104),$C104&gt;0,$D104/$C104&gt;0.5),"Age uncertainty exceeds 50% of the age. Usable as an indication only. ","")&amp;IF(AND($D104="",$C104&lt;&gt;""),"No uncertainty given. Every radiometric age has one; a rate without it cannot be defended. ",""))</f>
        <v/>
      </c>
      <c r="J104" s="16">
        <f t="shared" si="0"/>
        <v>0</v>
      </c>
      <c r="K104" s="16" t="str">
        <f>IF(OR($A104="",NOT(ISNUMBER($B104))),"",SUMPRODUCT(MAX(('4. Chronology'!$A$5:$A$204=$A104)*('4. Chronology'!$B$5:$B$204&lt;$B104)*'4. Chronology'!$B$5:$B$204)))</f>
        <v/>
      </c>
    </row>
    <row r="105" spans="1:11" ht="15.75" customHeight="1">
      <c r="A105" s="14"/>
      <c r="B105" s="14"/>
      <c r="C105" s="14"/>
      <c r="D105" s="14"/>
      <c r="E105" s="14"/>
      <c r="F105" s="16" t="str">
        <f>IF(OR($A105="",NOT(ISNUMBER($B105))),"",SUMIFS(community_cores_FS!$P$5:$P$597,community_cores_FS!$B$5:$B$597,$A105,community_cores_FS!$F$5:$F$597,"&lt;="&amp;$B105)+SUMPRODUCT((community_cores_FS!$B$5:$B$597=$A105)*(community_cores_FS!$E$5:$E$597&lt;$B105)*(community_cores_FS!$F$5:$F$597&gt;$B105)*community_cores_FS!$R$5:$R$597*($B105-community_cores_FS!$E$5:$E$597)))</f>
        <v/>
      </c>
      <c r="G105" s="16" t="str">
        <f>IF(OR($A105="",NOT(ISNUMBER($B105)),NOT(ISNUMBER($C105))),"",IFERROR(($B105-$K105)/($C105-IF($K105=0,0,SUMIFS('4. Chronology'!$C$5:$C$204,'4. Chronology'!$A$5:$A$204,$A105,'4. Chronology'!$B$5:$B$204,$K105))),""))</f>
        <v/>
      </c>
      <c r="H105" s="16" t="str">
        <f>IF(OR($A105="",NOT(ISNUMBER($F105)),NOT(ISNUMBER($C105))),"",IFERROR((($F105-IF($K105=0,0,SUMIFS('4. Chronology'!$F$5:$F$204,'4. Chronology'!$A$5:$A$204,$A105,'4. Chronology'!$B$5:$B$204,$K105)))*1000)/($C105-IF($K105=0,0,SUMIFS('4. Chronology'!$C$5:$C$204,'4. Chronology'!$A$5:$A$204,$A105,'4. Chronology'!$B$5:$B$204,$K105))),""))</f>
        <v/>
      </c>
      <c r="I105" s="16" t="str">
        <f>IF($A105="","",IF(COUNTIF('2. Core Log'!$A$5:$A$124,$A105)=0,"Core ID not in Core Log. ","")&amp;IF($E105="","No date source given — RERCA and LORCA need to know which method produced this age. ","")&amp;IF(AND(ISNUMBER($C105),$C105&lt;0),"Negative age: this horizon post-dates the coring year. Check the conversion. ","")&amp;IF(AND(ISNUMBER($G105),$G105&lt;0),"Age reversal — this horizon is younger than one above it. A mixed or disturbed profile may not be datable at all. ","")&amp;IF(AND(ISNUMBER($D105),ISNUMBER($C105),$C105&gt;0,$D105/$C105&gt;0.5),"Age uncertainty exceeds 50% of the age. Usable as an indication only. ","")&amp;IF(AND($D105="",$C105&lt;&gt;""),"No uncertainty given. Every radiometric age has one; a rate without it cannot be defended. ",""))</f>
        <v/>
      </c>
      <c r="J105" s="16">
        <f t="shared" si="0"/>
        <v>0</v>
      </c>
      <c r="K105" s="16" t="str">
        <f>IF(OR($A105="",NOT(ISNUMBER($B105))),"",SUMPRODUCT(MAX(('4. Chronology'!$A$5:$A$204=$A105)*('4. Chronology'!$B$5:$B$204&lt;$B105)*'4. Chronology'!$B$5:$B$204)))</f>
        <v/>
      </c>
    </row>
    <row r="106" spans="1:11" ht="15.75" customHeight="1">
      <c r="A106" s="14"/>
      <c r="B106" s="14"/>
      <c r="C106" s="14"/>
      <c r="D106" s="14"/>
      <c r="E106" s="14"/>
      <c r="F106" s="16" t="str">
        <f>IF(OR($A106="",NOT(ISNUMBER($B106))),"",SUMIFS(community_cores_FS!$P$5:$P$597,community_cores_FS!$B$5:$B$597,$A106,community_cores_FS!$F$5:$F$597,"&lt;="&amp;$B106)+SUMPRODUCT((community_cores_FS!$B$5:$B$597=$A106)*(community_cores_FS!$E$5:$E$597&lt;$B106)*(community_cores_FS!$F$5:$F$597&gt;$B106)*community_cores_FS!$R$5:$R$597*($B106-community_cores_FS!$E$5:$E$597)))</f>
        <v/>
      </c>
      <c r="G106" s="16" t="str">
        <f>IF(OR($A106="",NOT(ISNUMBER($B106)),NOT(ISNUMBER($C106))),"",IFERROR(($B106-$K106)/($C106-IF($K106=0,0,SUMIFS('4. Chronology'!$C$5:$C$204,'4. Chronology'!$A$5:$A$204,$A106,'4. Chronology'!$B$5:$B$204,$K106))),""))</f>
        <v/>
      </c>
      <c r="H106" s="16" t="str">
        <f>IF(OR($A106="",NOT(ISNUMBER($F106)),NOT(ISNUMBER($C106))),"",IFERROR((($F106-IF($K106=0,0,SUMIFS('4. Chronology'!$F$5:$F$204,'4. Chronology'!$A$5:$A$204,$A106,'4. Chronology'!$B$5:$B$204,$K106)))*1000)/($C106-IF($K106=0,0,SUMIFS('4. Chronology'!$C$5:$C$204,'4. Chronology'!$A$5:$A$204,$A106,'4. Chronology'!$B$5:$B$204,$K106))),""))</f>
        <v/>
      </c>
      <c r="I106" s="16" t="str">
        <f>IF($A106="","",IF(COUNTIF('2. Core Log'!$A$5:$A$124,$A106)=0,"Core ID not in Core Log. ","")&amp;IF($E106="","No date source given — RERCA and LORCA need to know which method produced this age. ","")&amp;IF(AND(ISNUMBER($C106),$C106&lt;0),"Negative age: this horizon post-dates the coring year. Check the conversion. ","")&amp;IF(AND(ISNUMBER($G106),$G106&lt;0),"Age reversal — this horizon is younger than one above it. A mixed or disturbed profile may not be datable at all. ","")&amp;IF(AND(ISNUMBER($D106),ISNUMBER($C106),$C106&gt;0,$D106/$C106&gt;0.5),"Age uncertainty exceeds 50% of the age. Usable as an indication only. ","")&amp;IF(AND($D106="",$C106&lt;&gt;""),"No uncertainty given. Every radiometric age has one; a rate without it cannot be defended. ",""))</f>
        <v/>
      </c>
      <c r="J106" s="16">
        <f t="shared" si="0"/>
        <v>0</v>
      </c>
      <c r="K106" s="16" t="str">
        <f>IF(OR($A106="",NOT(ISNUMBER($B106))),"",SUMPRODUCT(MAX(('4. Chronology'!$A$5:$A$204=$A106)*('4. Chronology'!$B$5:$B$204&lt;$B106)*'4. Chronology'!$B$5:$B$204)))</f>
        <v/>
      </c>
    </row>
    <row r="107" spans="1:11" ht="15.75" customHeight="1">
      <c r="A107" s="14"/>
      <c r="B107" s="14"/>
      <c r="C107" s="14"/>
      <c r="D107" s="14"/>
      <c r="E107" s="14"/>
      <c r="F107" s="16" t="str">
        <f>IF(OR($A107="",NOT(ISNUMBER($B107))),"",SUMIFS(community_cores_FS!$P$5:$P$597,community_cores_FS!$B$5:$B$597,$A107,community_cores_FS!$F$5:$F$597,"&lt;="&amp;$B107)+SUMPRODUCT((community_cores_FS!$B$5:$B$597=$A107)*(community_cores_FS!$E$5:$E$597&lt;$B107)*(community_cores_FS!$F$5:$F$597&gt;$B107)*community_cores_FS!$R$5:$R$597*($B107-community_cores_FS!$E$5:$E$597)))</f>
        <v/>
      </c>
      <c r="G107" s="16" t="str">
        <f>IF(OR($A107="",NOT(ISNUMBER($B107)),NOT(ISNUMBER($C107))),"",IFERROR(($B107-$K107)/($C107-IF($K107=0,0,SUMIFS('4. Chronology'!$C$5:$C$204,'4. Chronology'!$A$5:$A$204,$A107,'4. Chronology'!$B$5:$B$204,$K107))),""))</f>
        <v/>
      </c>
      <c r="H107" s="16" t="str">
        <f>IF(OR($A107="",NOT(ISNUMBER($F107)),NOT(ISNUMBER($C107))),"",IFERROR((($F107-IF($K107=0,0,SUMIFS('4. Chronology'!$F$5:$F$204,'4. Chronology'!$A$5:$A$204,$A107,'4. Chronology'!$B$5:$B$204,$K107)))*1000)/($C107-IF($K107=0,0,SUMIFS('4. Chronology'!$C$5:$C$204,'4. Chronology'!$A$5:$A$204,$A107,'4. Chronology'!$B$5:$B$204,$K107))),""))</f>
        <v/>
      </c>
      <c r="I107" s="16" t="str">
        <f>IF($A107="","",IF(COUNTIF('2. Core Log'!$A$5:$A$124,$A107)=0,"Core ID not in Core Log. ","")&amp;IF($E107="","No date source given — RERCA and LORCA need to know which method produced this age. ","")&amp;IF(AND(ISNUMBER($C107),$C107&lt;0),"Negative age: this horizon post-dates the coring year. Check the conversion. ","")&amp;IF(AND(ISNUMBER($G107),$G107&lt;0),"Age reversal — this horizon is younger than one above it. A mixed or disturbed profile may not be datable at all. ","")&amp;IF(AND(ISNUMBER($D107),ISNUMBER($C107),$C107&gt;0,$D107/$C107&gt;0.5),"Age uncertainty exceeds 50% of the age. Usable as an indication only. ","")&amp;IF(AND($D107="",$C107&lt;&gt;""),"No uncertainty given. Every radiometric age has one; a rate without it cannot be defended. ",""))</f>
        <v/>
      </c>
      <c r="J107" s="16">
        <f t="shared" si="0"/>
        <v>0</v>
      </c>
      <c r="K107" s="16" t="str">
        <f>IF(OR($A107="",NOT(ISNUMBER($B107))),"",SUMPRODUCT(MAX(('4. Chronology'!$A$5:$A$204=$A107)*('4. Chronology'!$B$5:$B$204&lt;$B107)*'4. Chronology'!$B$5:$B$204)))</f>
        <v/>
      </c>
    </row>
    <row r="108" spans="1:11" ht="15.75" customHeight="1">
      <c r="A108" s="14"/>
      <c r="B108" s="14"/>
      <c r="C108" s="14"/>
      <c r="D108" s="14"/>
      <c r="E108" s="14"/>
      <c r="F108" s="16" t="str">
        <f>IF(OR($A108="",NOT(ISNUMBER($B108))),"",SUMIFS(community_cores_FS!$P$5:$P$597,community_cores_FS!$B$5:$B$597,$A108,community_cores_FS!$F$5:$F$597,"&lt;="&amp;$B108)+SUMPRODUCT((community_cores_FS!$B$5:$B$597=$A108)*(community_cores_FS!$E$5:$E$597&lt;$B108)*(community_cores_FS!$F$5:$F$597&gt;$B108)*community_cores_FS!$R$5:$R$597*($B108-community_cores_FS!$E$5:$E$597)))</f>
        <v/>
      </c>
      <c r="G108" s="16" t="str">
        <f>IF(OR($A108="",NOT(ISNUMBER($B108)),NOT(ISNUMBER($C108))),"",IFERROR(($B108-$K108)/($C108-IF($K108=0,0,SUMIFS('4. Chronology'!$C$5:$C$204,'4. Chronology'!$A$5:$A$204,$A108,'4. Chronology'!$B$5:$B$204,$K108))),""))</f>
        <v/>
      </c>
      <c r="H108" s="16" t="str">
        <f>IF(OR($A108="",NOT(ISNUMBER($F108)),NOT(ISNUMBER($C108))),"",IFERROR((($F108-IF($K108=0,0,SUMIFS('4. Chronology'!$F$5:$F$204,'4. Chronology'!$A$5:$A$204,$A108,'4. Chronology'!$B$5:$B$204,$K108)))*1000)/($C108-IF($K108=0,0,SUMIFS('4. Chronology'!$C$5:$C$204,'4. Chronology'!$A$5:$A$204,$A108,'4. Chronology'!$B$5:$B$204,$K108))),""))</f>
        <v/>
      </c>
      <c r="I108" s="16" t="str">
        <f>IF($A108="","",IF(COUNTIF('2. Core Log'!$A$5:$A$124,$A108)=0,"Core ID not in Core Log. ","")&amp;IF($E108="","No date source given — RERCA and LORCA need to know which method produced this age. ","")&amp;IF(AND(ISNUMBER($C108),$C108&lt;0),"Negative age: this horizon post-dates the coring year. Check the conversion. ","")&amp;IF(AND(ISNUMBER($G108),$G108&lt;0),"Age reversal — this horizon is younger than one above it. A mixed or disturbed profile may not be datable at all. ","")&amp;IF(AND(ISNUMBER($D108),ISNUMBER($C108),$C108&gt;0,$D108/$C108&gt;0.5),"Age uncertainty exceeds 50% of the age. Usable as an indication only. ","")&amp;IF(AND($D108="",$C108&lt;&gt;""),"No uncertainty given. Every radiometric age has one; a rate without it cannot be defended. ",""))</f>
        <v/>
      </c>
      <c r="J108" s="16">
        <f t="shared" si="0"/>
        <v>0</v>
      </c>
      <c r="K108" s="16" t="str">
        <f>IF(OR($A108="",NOT(ISNUMBER($B108))),"",SUMPRODUCT(MAX(('4. Chronology'!$A$5:$A$204=$A108)*('4. Chronology'!$B$5:$B$204&lt;$B108)*'4. Chronology'!$B$5:$B$204)))</f>
        <v/>
      </c>
    </row>
    <row r="109" spans="1:11" ht="15.75" customHeight="1">
      <c r="A109" s="14"/>
      <c r="B109" s="14"/>
      <c r="C109" s="14"/>
      <c r="D109" s="14"/>
      <c r="E109" s="14"/>
      <c r="F109" s="16" t="str">
        <f>IF(OR($A109="",NOT(ISNUMBER($B109))),"",SUMIFS(community_cores_FS!$P$5:$P$597,community_cores_FS!$B$5:$B$597,$A109,community_cores_FS!$F$5:$F$597,"&lt;="&amp;$B109)+SUMPRODUCT((community_cores_FS!$B$5:$B$597=$A109)*(community_cores_FS!$E$5:$E$597&lt;$B109)*(community_cores_FS!$F$5:$F$597&gt;$B109)*community_cores_FS!$R$5:$R$597*($B109-community_cores_FS!$E$5:$E$597)))</f>
        <v/>
      </c>
      <c r="G109" s="16" t="str">
        <f>IF(OR($A109="",NOT(ISNUMBER($B109)),NOT(ISNUMBER($C109))),"",IFERROR(($B109-$K109)/($C109-IF($K109=0,0,SUMIFS('4. Chronology'!$C$5:$C$204,'4. Chronology'!$A$5:$A$204,$A109,'4. Chronology'!$B$5:$B$204,$K109))),""))</f>
        <v/>
      </c>
      <c r="H109" s="16" t="str">
        <f>IF(OR($A109="",NOT(ISNUMBER($F109)),NOT(ISNUMBER($C109))),"",IFERROR((($F109-IF($K109=0,0,SUMIFS('4. Chronology'!$F$5:$F$204,'4. Chronology'!$A$5:$A$204,$A109,'4. Chronology'!$B$5:$B$204,$K109)))*1000)/($C109-IF($K109=0,0,SUMIFS('4. Chronology'!$C$5:$C$204,'4. Chronology'!$A$5:$A$204,$A109,'4. Chronology'!$B$5:$B$204,$K109))),""))</f>
        <v/>
      </c>
      <c r="I109" s="16" t="str">
        <f>IF($A109="","",IF(COUNTIF('2. Core Log'!$A$5:$A$124,$A109)=0,"Core ID not in Core Log. ","")&amp;IF($E109="","No date source given — RERCA and LORCA need to know which method produced this age. ","")&amp;IF(AND(ISNUMBER($C109),$C109&lt;0),"Negative age: this horizon post-dates the coring year. Check the conversion. ","")&amp;IF(AND(ISNUMBER($G109),$G109&lt;0),"Age reversal — this horizon is younger than one above it. A mixed or disturbed profile may not be datable at all. ","")&amp;IF(AND(ISNUMBER($D109),ISNUMBER($C109),$C109&gt;0,$D109/$C109&gt;0.5),"Age uncertainty exceeds 50% of the age. Usable as an indication only. ","")&amp;IF(AND($D109="",$C109&lt;&gt;""),"No uncertainty given. Every radiometric age has one; a rate without it cannot be defended. ",""))</f>
        <v/>
      </c>
      <c r="J109" s="16">
        <f t="shared" si="0"/>
        <v>0</v>
      </c>
      <c r="K109" s="16" t="str">
        <f>IF(OR($A109="",NOT(ISNUMBER($B109))),"",SUMPRODUCT(MAX(('4. Chronology'!$A$5:$A$204=$A109)*('4. Chronology'!$B$5:$B$204&lt;$B109)*'4. Chronology'!$B$5:$B$204)))</f>
        <v/>
      </c>
    </row>
    <row r="110" spans="1:11" ht="15.75" customHeight="1">
      <c r="A110" s="14"/>
      <c r="B110" s="14"/>
      <c r="C110" s="14"/>
      <c r="D110" s="14"/>
      <c r="E110" s="14"/>
      <c r="F110" s="16" t="str">
        <f>IF(OR($A110="",NOT(ISNUMBER($B110))),"",SUMIFS(community_cores_FS!$P$5:$P$597,community_cores_FS!$B$5:$B$597,$A110,community_cores_FS!$F$5:$F$597,"&lt;="&amp;$B110)+SUMPRODUCT((community_cores_FS!$B$5:$B$597=$A110)*(community_cores_FS!$E$5:$E$597&lt;$B110)*(community_cores_FS!$F$5:$F$597&gt;$B110)*community_cores_FS!$R$5:$R$597*($B110-community_cores_FS!$E$5:$E$597)))</f>
        <v/>
      </c>
      <c r="G110" s="16" t="str">
        <f>IF(OR($A110="",NOT(ISNUMBER($B110)),NOT(ISNUMBER($C110))),"",IFERROR(($B110-$K110)/($C110-IF($K110=0,0,SUMIFS('4. Chronology'!$C$5:$C$204,'4. Chronology'!$A$5:$A$204,$A110,'4. Chronology'!$B$5:$B$204,$K110))),""))</f>
        <v/>
      </c>
      <c r="H110" s="16" t="str">
        <f>IF(OR($A110="",NOT(ISNUMBER($F110)),NOT(ISNUMBER($C110))),"",IFERROR((($F110-IF($K110=0,0,SUMIFS('4. Chronology'!$F$5:$F$204,'4. Chronology'!$A$5:$A$204,$A110,'4. Chronology'!$B$5:$B$204,$K110)))*1000)/($C110-IF($K110=0,0,SUMIFS('4. Chronology'!$C$5:$C$204,'4. Chronology'!$A$5:$A$204,$A110,'4. Chronology'!$B$5:$B$204,$K110))),""))</f>
        <v/>
      </c>
      <c r="I110" s="16" t="str">
        <f>IF($A110="","",IF(COUNTIF('2. Core Log'!$A$5:$A$124,$A110)=0,"Core ID not in Core Log. ","")&amp;IF($E110="","No date source given — RERCA and LORCA need to know which method produced this age. ","")&amp;IF(AND(ISNUMBER($C110),$C110&lt;0),"Negative age: this horizon post-dates the coring year. Check the conversion. ","")&amp;IF(AND(ISNUMBER($G110),$G110&lt;0),"Age reversal — this horizon is younger than one above it. A mixed or disturbed profile may not be datable at all. ","")&amp;IF(AND(ISNUMBER($D110),ISNUMBER($C110),$C110&gt;0,$D110/$C110&gt;0.5),"Age uncertainty exceeds 50% of the age. Usable as an indication only. ","")&amp;IF(AND($D110="",$C110&lt;&gt;""),"No uncertainty given. Every radiometric age has one; a rate without it cannot be defended. ",""))</f>
        <v/>
      </c>
      <c r="J110" s="16">
        <f t="shared" si="0"/>
        <v>0</v>
      </c>
      <c r="K110" s="16" t="str">
        <f>IF(OR($A110="",NOT(ISNUMBER($B110))),"",SUMPRODUCT(MAX(('4. Chronology'!$A$5:$A$204=$A110)*('4. Chronology'!$B$5:$B$204&lt;$B110)*'4. Chronology'!$B$5:$B$204)))</f>
        <v/>
      </c>
    </row>
    <row r="111" spans="1:11" ht="15.75" customHeight="1">
      <c r="A111" s="14"/>
      <c r="B111" s="14"/>
      <c r="C111" s="14"/>
      <c r="D111" s="14"/>
      <c r="E111" s="14"/>
      <c r="F111" s="16" t="str">
        <f>IF(OR($A111="",NOT(ISNUMBER($B111))),"",SUMIFS(community_cores_FS!$P$5:$P$597,community_cores_FS!$B$5:$B$597,$A111,community_cores_FS!$F$5:$F$597,"&lt;="&amp;$B111)+SUMPRODUCT((community_cores_FS!$B$5:$B$597=$A111)*(community_cores_FS!$E$5:$E$597&lt;$B111)*(community_cores_FS!$F$5:$F$597&gt;$B111)*community_cores_FS!$R$5:$R$597*($B111-community_cores_FS!$E$5:$E$597)))</f>
        <v/>
      </c>
      <c r="G111" s="16" t="str">
        <f>IF(OR($A111="",NOT(ISNUMBER($B111)),NOT(ISNUMBER($C111))),"",IFERROR(($B111-$K111)/($C111-IF($K111=0,0,SUMIFS('4. Chronology'!$C$5:$C$204,'4. Chronology'!$A$5:$A$204,$A111,'4. Chronology'!$B$5:$B$204,$K111))),""))</f>
        <v/>
      </c>
      <c r="H111" s="16" t="str">
        <f>IF(OR($A111="",NOT(ISNUMBER($F111)),NOT(ISNUMBER($C111))),"",IFERROR((($F111-IF($K111=0,0,SUMIFS('4. Chronology'!$F$5:$F$204,'4. Chronology'!$A$5:$A$204,$A111,'4. Chronology'!$B$5:$B$204,$K111)))*1000)/($C111-IF($K111=0,0,SUMIFS('4. Chronology'!$C$5:$C$204,'4. Chronology'!$A$5:$A$204,$A111,'4. Chronology'!$B$5:$B$204,$K111))),""))</f>
        <v/>
      </c>
      <c r="I111" s="16" t="str">
        <f>IF($A111="","",IF(COUNTIF('2. Core Log'!$A$5:$A$124,$A111)=0,"Core ID not in Core Log. ","")&amp;IF($E111="","No date source given — RERCA and LORCA need to know which method produced this age. ","")&amp;IF(AND(ISNUMBER($C111),$C111&lt;0),"Negative age: this horizon post-dates the coring year. Check the conversion. ","")&amp;IF(AND(ISNUMBER($G111),$G111&lt;0),"Age reversal — this horizon is younger than one above it. A mixed or disturbed profile may not be datable at all. ","")&amp;IF(AND(ISNUMBER($D111),ISNUMBER($C111),$C111&gt;0,$D111/$C111&gt;0.5),"Age uncertainty exceeds 50% of the age. Usable as an indication only. ","")&amp;IF(AND($D111="",$C111&lt;&gt;""),"No uncertainty given. Every radiometric age has one; a rate without it cannot be defended. ",""))</f>
        <v/>
      </c>
      <c r="J111" s="16">
        <f t="shared" si="0"/>
        <v>0</v>
      </c>
      <c r="K111" s="16" t="str">
        <f>IF(OR($A111="",NOT(ISNUMBER($B111))),"",SUMPRODUCT(MAX(('4. Chronology'!$A$5:$A$204=$A111)*('4. Chronology'!$B$5:$B$204&lt;$B111)*'4. Chronology'!$B$5:$B$204)))</f>
        <v/>
      </c>
    </row>
    <row r="112" spans="1:11" ht="15.75" customHeight="1">
      <c r="A112" s="14"/>
      <c r="B112" s="14"/>
      <c r="C112" s="14"/>
      <c r="D112" s="14"/>
      <c r="E112" s="14"/>
      <c r="F112" s="16" t="str">
        <f>IF(OR($A112="",NOT(ISNUMBER($B112))),"",SUMIFS(community_cores_FS!$P$5:$P$597,community_cores_FS!$B$5:$B$597,$A112,community_cores_FS!$F$5:$F$597,"&lt;="&amp;$B112)+SUMPRODUCT((community_cores_FS!$B$5:$B$597=$A112)*(community_cores_FS!$E$5:$E$597&lt;$B112)*(community_cores_FS!$F$5:$F$597&gt;$B112)*community_cores_FS!$R$5:$R$597*($B112-community_cores_FS!$E$5:$E$597)))</f>
        <v/>
      </c>
      <c r="G112" s="16" t="str">
        <f>IF(OR($A112="",NOT(ISNUMBER($B112)),NOT(ISNUMBER($C112))),"",IFERROR(($B112-$K112)/($C112-IF($K112=0,0,SUMIFS('4. Chronology'!$C$5:$C$204,'4. Chronology'!$A$5:$A$204,$A112,'4. Chronology'!$B$5:$B$204,$K112))),""))</f>
        <v/>
      </c>
      <c r="H112" s="16" t="str">
        <f>IF(OR($A112="",NOT(ISNUMBER($F112)),NOT(ISNUMBER($C112))),"",IFERROR((($F112-IF($K112=0,0,SUMIFS('4. Chronology'!$F$5:$F$204,'4. Chronology'!$A$5:$A$204,$A112,'4. Chronology'!$B$5:$B$204,$K112)))*1000)/($C112-IF($K112=0,0,SUMIFS('4. Chronology'!$C$5:$C$204,'4. Chronology'!$A$5:$A$204,$A112,'4. Chronology'!$B$5:$B$204,$K112))),""))</f>
        <v/>
      </c>
      <c r="I112" s="16" t="str">
        <f>IF($A112="","",IF(COUNTIF('2. Core Log'!$A$5:$A$124,$A112)=0,"Core ID not in Core Log. ","")&amp;IF($E112="","No date source given — RERCA and LORCA need to know which method produced this age. ","")&amp;IF(AND(ISNUMBER($C112),$C112&lt;0),"Negative age: this horizon post-dates the coring year. Check the conversion. ","")&amp;IF(AND(ISNUMBER($G112),$G112&lt;0),"Age reversal — this horizon is younger than one above it. A mixed or disturbed profile may not be datable at all. ","")&amp;IF(AND(ISNUMBER($D112),ISNUMBER($C112),$C112&gt;0,$D112/$C112&gt;0.5),"Age uncertainty exceeds 50% of the age. Usable as an indication only. ","")&amp;IF(AND($D112="",$C112&lt;&gt;""),"No uncertainty given. Every radiometric age has one; a rate without it cannot be defended. ",""))</f>
        <v/>
      </c>
      <c r="J112" s="16">
        <f t="shared" si="0"/>
        <v>0</v>
      </c>
      <c r="K112" s="16" t="str">
        <f>IF(OR($A112="",NOT(ISNUMBER($B112))),"",SUMPRODUCT(MAX(('4. Chronology'!$A$5:$A$204=$A112)*('4. Chronology'!$B$5:$B$204&lt;$B112)*'4. Chronology'!$B$5:$B$204)))</f>
        <v/>
      </c>
    </row>
    <row r="113" spans="1:11" ht="15.75" customHeight="1">
      <c r="A113" s="14"/>
      <c r="B113" s="14"/>
      <c r="C113" s="14"/>
      <c r="D113" s="14"/>
      <c r="E113" s="14"/>
      <c r="F113" s="16" t="str">
        <f>IF(OR($A113="",NOT(ISNUMBER($B113))),"",SUMIFS(community_cores_FS!$P$5:$P$597,community_cores_FS!$B$5:$B$597,$A113,community_cores_FS!$F$5:$F$597,"&lt;="&amp;$B113)+SUMPRODUCT((community_cores_FS!$B$5:$B$597=$A113)*(community_cores_FS!$E$5:$E$597&lt;$B113)*(community_cores_FS!$F$5:$F$597&gt;$B113)*community_cores_FS!$R$5:$R$597*($B113-community_cores_FS!$E$5:$E$597)))</f>
        <v/>
      </c>
      <c r="G113" s="16" t="str">
        <f>IF(OR($A113="",NOT(ISNUMBER($B113)),NOT(ISNUMBER($C113))),"",IFERROR(($B113-$K113)/($C113-IF($K113=0,0,SUMIFS('4. Chronology'!$C$5:$C$204,'4. Chronology'!$A$5:$A$204,$A113,'4. Chronology'!$B$5:$B$204,$K113))),""))</f>
        <v/>
      </c>
      <c r="H113" s="16" t="str">
        <f>IF(OR($A113="",NOT(ISNUMBER($F113)),NOT(ISNUMBER($C113))),"",IFERROR((($F113-IF($K113=0,0,SUMIFS('4. Chronology'!$F$5:$F$204,'4. Chronology'!$A$5:$A$204,$A113,'4. Chronology'!$B$5:$B$204,$K113)))*1000)/($C113-IF($K113=0,0,SUMIFS('4. Chronology'!$C$5:$C$204,'4. Chronology'!$A$5:$A$204,$A113,'4. Chronology'!$B$5:$B$204,$K113))),""))</f>
        <v/>
      </c>
      <c r="I113" s="16" t="str">
        <f>IF($A113="","",IF(COUNTIF('2. Core Log'!$A$5:$A$124,$A113)=0,"Core ID not in Core Log. ","")&amp;IF($E113="","No date source given — RERCA and LORCA need to know which method produced this age. ","")&amp;IF(AND(ISNUMBER($C113),$C113&lt;0),"Negative age: this horizon post-dates the coring year. Check the conversion. ","")&amp;IF(AND(ISNUMBER($G113),$G113&lt;0),"Age reversal — this horizon is younger than one above it. A mixed or disturbed profile may not be datable at all. ","")&amp;IF(AND(ISNUMBER($D113),ISNUMBER($C113),$C113&gt;0,$D113/$C113&gt;0.5),"Age uncertainty exceeds 50% of the age. Usable as an indication only. ","")&amp;IF(AND($D113="",$C113&lt;&gt;""),"No uncertainty given. Every radiometric age has one; a rate without it cannot be defended. ",""))</f>
        <v/>
      </c>
      <c r="J113" s="16">
        <f t="shared" si="0"/>
        <v>0</v>
      </c>
      <c r="K113" s="16" t="str">
        <f>IF(OR($A113="",NOT(ISNUMBER($B113))),"",SUMPRODUCT(MAX(('4. Chronology'!$A$5:$A$204=$A113)*('4. Chronology'!$B$5:$B$204&lt;$B113)*'4. Chronology'!$B$5:$B$204)))</f>
        <v/>
      </c>
    </row>
    <row r="114" spans="1:11" ht="15.75" customHeight="1">
      <c r="A114" s="14"/>
      <c r="B114" s="14"/>
      <c r="C114" s="14"/>
      <c r="D114" s="14"/>
      <c r="E114" s="14"/>
      <c r="F114" s="16" t="str">
        <f>IF(OR($A114="",NOT(ISNUMBER($B114))),"",SUMIFS(community_cores_FS!$P$5:$P$597,community_cores_FS!$B$5:$B$597,$A114,community_cores_FS!$F$5:$F$597,"&lt;="&amp;$B114)+SUMPRODUCT((community_cores_FS!$B$5:$B$597=$A114)*(community_cores_FS!$E$5:$E$597&lt;$B114)*(community_cores_FS!$F$5:$F$597&gt;$B114)*community_cores_FS!$R$5:$R$597*($B114-community_cores_FS!$E$5:$E$597)))</f>
        <v/>
      </c>
      <c r="G114" s="16" t="str">
        <f>IF(OR($A114="",NOT(ISNUMBER($B114)),NOT(ISNUMBER($C114))),"",IFERROR(($B114-$K114)/($C114-IF($K114=0,0,SUMIFS('4. Chronology'!$C$5:$C$204,'4. Chronology'!$A$5:$A$204,$A114,'4. Chronology'!$B$5:$B$204,$K114))),""))</f>
        <v/>
      </c>
      <c r="H114" s="16" t="str">
        <f>IF(OR($A114="",NOT(ISNUMBER($F114)),NOT(ISNUMBER($C114))),"",IFERROR((($F114-IF($K114=0,0,SUMIFS('4. Chronology'!$F$5:$F$204,'4. Chronology'!$A$5:$A$204,$A114,'4. Chronology'!$B$5:$B$204,$K114)))*1000)/($C114-IF($K114=0,0,SUMIFS('4. Chronology'!$C$5:$C$204,'4. Chronology'!$A$5:$A$204,$A114,'4. Chronology'!$B$5:$B$204,$K114))),""))</f>
        <v/>
      </c>
      <c r="I114" s="16" t="str">
        <f>IF($A114="","",IF(COUNTIF('2. Core Log'!$A$5:$A$124,$A114)=0,"Core ID not in Core Log. ","")&amp;IF($E114="","No date source given — RERCA and LORCA need to know which method produced this age. ","")&amp;IF(AND(ISNUMBER($C114),$C114&lt;0),"Negative age: this horizon post-dates the coring year. Check the conversion. ","")&amp;IF(AND(ISNUMBER($G114),$G114&lt;0),"Age reversal — this horizon is younger than one above it. A mixed or disturbed profile may not be datable at all. ","")&amp;IF(AND(ISNUMBER($D114),ISNUMBER($C114),$C114&gt;0,$D114/$C114&gt;0.5),"Age uncertainty exceeds 50% of the age. Usable as an indication only. ","")&amp;IF(AND($D114="",$C114&lt;&gt;""),"No uncertainty given. Every radiometric age has one; a rate without it cannot be defended. ",""))</f>
        <v/>
      </c>
      <c r="J114" s="16">
        <f t="shared" si="0"/>
        <v>0</v>
      </c>
      <c r="K114" s="16" t="str">
        <f>IF(OR($A114="",NOT(ISNUMBER($B114))),"",SUMPRODUCT(MAX(('4. Chronology'!$A$5:$A$204=$A114)*('4. Chronology'!$B$5:$B$204&lt;$B114)*'4. Chronology'!$B$5:$B$204)))</f>
        <v/>
      </c>
    </row>
    <row r="115" spans="1:11" ht="15.75" customHeight="1">
      <c r="A115" s="14"/>
      <c r="B115" s="14"/>
      <c r="C115" s="14"/>
      <c r="D115" s="14"/>
      <c r="E115" s="14"/>
      <c r="F115" s="16" t="str">
        <f>IF(OR($A115="",NOT(ISNUMBER($B115))),"",SUMIFS(community_cores_FS!$P$5:$P$597,community_cores_FS!$B$5:$B$597,$A115,community_cores_FS!$F$5:$F$597,"&lt;="&amp;$B115)+SUMPRODUCT((community_cores_FS!$B$5:$B$597=$A115)*(community_cores_FS!$E$5:$E$597&lt;$B115)*(community_cores_FS!$F$5:$F$597&gt;$B115)*community_cores_FS!$R$5:$R$597*($B115-community_cores_FS!$E$5:$E$597)))</f>
        <v/>
      </c>
      <c r="G115" s="16" t="str">
        <f>IF(OR($A115="",NOT(ISNUMBER($B115)),NOT(ISNUMBER($C115))),"",IFERROR(($B115-$K115)/($C115-IF($K115=0,0,SUMIFS('4. Chronology'!$C$5:$C$204,'4. Chronology'!$A$5:$A$204,$A115,'4. Chronology'!$B$5:$B$204,$K115))),""))</f>
        <v/>
      </c>
      <c r="H115" s="16" t="str">
        <f>IF(OR($A115="",NOT(ISNUMBER($F115)),NOT(ISNUMBER($C115))),"",IFERROR((($F115-IF($K115=0,0,SUMIFS('4. Chronology'!$F$5:$F$204,'4. Chronology'!$A$5:$A$204,$A115,'4. Chronology'!$B$5:$B$204,$K115)))*1000)/($C115-IF($K115=0,0,SUMIFS('4. Chronology'!$C$5:$C$204,'4. Chronology'!$A$5:$A$204,$A115,'4. Chronology'!$B$5:$B$204,$K115))),""))</f>
        <v/>
      </c>
      <c r="I115" s="16" t="str">
        <f>IF($A115="","",IF(COUNTIF('2. Core Log'!$A$5:$A$124,$A115)=0,"Core ID not in Core Log. ","")&amp;IF($E115="","No date source given — RERCA and LORCA need to know which method produced this age. ","")&amp;IF(AND(ISNUMBER($C115),$C115&lt;0),"Negative age: this horizon post-dates the coring year. Check the conversion. ","")&amp;IF(AND(ISNUMBER($G115),$G115&lt;0),"Age reversal — this horizon is younger than one above it. A mixed or disturbed profile may not be datable at all. ","")&amp;IF(AND(ISNUMBER($D115),ISNUMBER($C115),$C115&gt;0,$D115/$C115&gt;0.5),"Age uncertainty exceeds 50% of the age. Usable as an indication only. ","")&amp;IF(AND($D115="",$C115&lt;&gt;""),"No uncertainty given. Every radiometric age has one; a rate without it cannot be defended. ",""))</f>
        <v/>
      </c>
      <c r="J115" s="16">
        <f t="shared" si="0"/>
        <v>0</v>
      </c>
      <c r="K115" s="16" t="str">
        <f>IF(OR($A115="",NOT(ISNUMBER($B115))),"",SUMPRODUCT(MAX(('4. Chronology'!$A$5:$A$204=$A115)*('4. Chronology'!$B$5:$B$204&lt;$B115)*'4. Chronology'!$B$5:$B$204)))</f>
        <v/>
      </c>
    </row>
    <row r="116" spans="1:11" ht="15.75" customHeight="1">
      <c r="A116" s="14"/>
      <c r="B116" s="14"/>
      <c r="C116" s="14"/>
      <c r="D116" s="14"/>
      <c r="E116" s="14"/>
      <c r="F116" s="16" t="str">
        <f>IF(OR($A116="",NOT(ISNUMBER($B116))),"",SUMIFS(community_cores_FS!$P$5:$P$597,community_cores_FS!$B$5:$B$597,$A116,community_cores_FS!$F$5:$F$597,"&lt;="&amp;$B116)+SUMPRODUCT((community_cores_FS!$B$5:$B$597=$A116)*(community_cores_FS!$E$5:$E$597&lt;$B116)*(community_cores_FS!$F$5:$F$597&gt;$B116)*community_cores_FS!$R$5:$R$597*($B116-community_cores_FS!$E$5:$E$597)))</f>
        <v/>
      </c>
      <c r="G116" s="16" t="str">
        <f>IF(OR($A116="",NOT(ISNUMBER($B116)),NOT(ISNUMBER($C116))),"",IFERROR(($B116-$K116)/($C116-IF($K116=0,0,SUMIFS('4. Chronology'!$C$5:$C$204,'4. Chronology'!$A$5:$A$204,$A116,'4. Chronology'!$B$5:$B$204,$K116))),""))</f>
        <v/>
      </c>
      <c r="H116" s="16" t="str">
        <f>IF(OR($A116="",NOT(ISNUMBER($F116)),NOT(ISNUMBER($C116))),"",IFERROR((($F116-IF($K116=0,0,SUMIFS('4. Chronology'!$F$5:$F$204,'4. Chronology'!$A$5:$A$204,$A116,'4. Chronology'!$B$5:$B$204,$K116)))*1000)/($C116-IF($K116=0,0,SUMIFS('4. Chronology'!$C$5:$C$204,'4. Chronology'!$A$5:$A$204,$A116,'4. Chronology'!$B$5:$B$204,$K116))),""))</f>
        <v/>
      </c>
      <c r="I116" s="16" t="str">
        <f>IF($A116="","",IF(COUNTIF('2. Core Log'!$A$5:$A$124,$A116)=0,"Core ID not in Core Log. ","")&amp;IF($E116="","No date source given — RERCA and LORCA need to know which method produced this age. ","")&amp;IF(AND(ISNUMBER($C116),$C116&lt;0),"Negative age: this horizon post-dates the coring year. Check the conversion. ","")&amp;IF(AND(ISNUMBER($G116),$G116&lt;0),"Age reversal — this horizon is younger than one above it. A mixed or disturbed profile may not be datable at all. ","")&amp;IF(AND(ISNUMBER($D116),ISNUMBER($C116),$C116&gt;0,$D116/$C116&gt;0.5),"Age uncertainty exceeds 50% of the age. Usable as an indication only. ","")&amp;IF(AND($D116="",$C116&lt;&gt;""),"No uncertainty given. Every radiometric age has one; a rate without it cannot be defended. ",""))</f>
        <v/>
      </c>
      <c r="J116" s="16">
        <f t="shared" si="0"/>
        <v>0</v>
      </c>
      <c r="K116" s="16" t="str">
        <f>IF(OR($A116="",NOT(ISNUMBER($B116))),"",SUMPRODUCT(MAX(('4. Chronology'!$A$5:$A$204=$A116)*('4. Chronology'!$B$5:$B$204&lt;$B116)*'4. Chronology'!$B$5:$B$204)))</f>
        <v/>
      </c>
    </row>
    <row r="117" spans="1:11" ht="15.75" customHeight="1">
      <c r="A117" s="14"/>
      <c r="B117" s="14"/>
      <c r="C117" s="14"/>
      <c r="D117" s="14"/>
      <c r="E117" s="14"/>
      <c r="F117" s="16" t="str">
        <f>IF(OR($A117="",NOT(ISNUMBER($B117))),"",SUMIFS(community_cores_FS!$P$5:$P$597,community_cores_FS!$B$5:$B$597,$A117,community_cores_FS!$F$5:$F$597,"&lt;="&amp;$B117)+SUMPRODUCT((community_cores_FS!$B$5:$B$597=$A117)*(community_cores_FS!$E$5:$E$597&lt;$B117)*(community_cores_FS!$F$5:$F$597&gt;$B117)*community_cores_FS!$R$5:$R$597*($B117-community_cores_FS!$E$5:$E$597)))</f>
        <v/>
      </c>
      <c r="G117" s="16" t="str">
        <f>IF(OR($A117="",NOT(ISNUMBER($B117)),NOT(ISNUMBER($C117))),"",IFERROR(($B117-$K117)/($C117-IF($K117=0,0,SUMIFS('4. Chronology'!$C$5:$C$204,'4. Chronology'!$A$5:$A$204,$A117,'4. Chronology'!$B$5:$B$204,$K117))),""))</f>
        <v/>
      </c>
      <c r="H117" s="16" t="str">
        <f>IF(OR($A117="",NOT(ISNUMBER($F117)),NOT(ISNUMBER($C117))),"",IFERROR((($F117-IF($K117=0,0,SUMIFS('4. Chronology'!$F$5:$F$204,'4. Chronology'!$A$5:$A$204,$A117,'4. Chronology'!$B$5:$B$204,$K117)))*1000)/($C117-IF($K117=0,0,SUMIFS('4. Chronology'!$C$5:$C$204,'4. Chronology'!$A$5:$A$204,$A117,'4. Chronology'!$B$5:$B$204,$K117))),""))</f>
        <v/>
      </c>
      <c r="I117" s="16" t="str">
        <f>IF($A117="","",IF(COUNTIF('2. Core Log'!$A$5:$A$124,$A117)=0,"Core ID not in Core Log. ","")&amp;IF($E117="","No date source given — RERCA and LORCA need to know which method produced this age. ","")&amp;IF(AND(ISNUMBER($C117),$C117&lt;0),"Negative age: this horizon post-dates the coring year. Check the conversion. ","")&amp;IF(AND(ISNUMBER($G117),$G117&lt;0),"Age reversal — this horizon is younger than one above it. A mixed or disturbed profile may not be datable at all. ","")&amp;IF(AND(ISNUMBER($D117),ISNUMBER($C117),$C117&gt;0,$D117/$C117&gt;0.5),"Age uncertainty exceeds 50% of the age. Usable as an indication only. ","")&amp;IF(AND($D117="",$C117&lt;&gt;""),"No uncertainty given. Every radiometric age has one; a rate without it cannot be defended. ",""))</f>
        <v/>
      </c>
      <c r="J117" s="16">
        <f t="shared" si="0"/>
        <v>0</v>
      </c>
      <c r="K117" s="16" t="str">
        <f>IF(OR($A117="",NOT(ISNUMBER($B117))),"",SUMPRODUCT(MAX(('4. Chronology'!$A$5:$A$204=$A117)*('4. Chronology'!$B$5:$B$204&lt;$B117)*'4. Chronology'!$B$5:$B$204)))</f>
        <v/>
      </c>
    </row>
    <row r="118" spans="1:11" ht="15.75" customHeight="1">
      <c r="A118" s="14"/>
      <c r="B118" s="14"/>
      <c r="C118" s="14"/>
      <c r="D118" s="14"/>
      <c r="E118" s="14"/>
      <c r="F118" s="16" t="str">
        <f>IF(OR($A118="",NOT(ISNUMBER($B118))),"",SUMIFS(community_cores_FS!$P$5:$P$597,community_cores_FS!$B$5:$B$597,$A118,community_cores_FS!$F$5:$F$597,"&lt;="&amp;$B118)+SUMPRODUCT((community_cores_FS!$B$5:$B$597=$A118)*(community_cores_FS!$E$5:$E$597&lt;$B118)*(community_cores_FS!$F$5:$F$597&gt;$B118)*community_cores_FS!$R$5:$R$597*($B118-community_cores_FS!$E$5:$E$597)))</f>
        <v/>
      </c>
      <c r="G118" s="16" t="str">
        <f>IF(OR($A118="",NOT(ISNUMBER($B118)),NOT(ISNUMBER($C118))),"",IFERROR(($B118-$K118)/($C118-IF($K118=0,0,SUMIFS('4. Chronology'!$C$5:$C$204,'4. Chronology'!$A$5:$A$204,$A118,'4. Chronology'!$B$5:$B$204,$K118))),""))</f>
        <v/>
      </c>
      <c r="H118" s="16" t="str">
        <f>IF(OR($A118="",NOT(ISNUMBER($F118)),NOT(ISNUMBER($C118))),"",IFERROR((($F118-IF($K118=0,0,SUMIFS('4. Chronology'!$F$5:$F$204,'4. Chronology'!$A$5:$A$204,$A118,'4. Chronology'!$B$5:$B$204,$K118)))*1000)/($C118-IF($K118=0,0,SUMIFS('4. Chronology'!$C$5:$C$204,'4. Chronology'!$A$5:$A$204,$A118,'4. Chronology'!$B$5:$B$204,$K118))),""))</f>
        <v/>
      </c>
      <c r="I118" s="16" t="str">
        <f>IF($A118="","",IF(COUNTIF('2. Core Log'!$A$5:$A$124,$A118)=0,"Core ID not in Core Log. ","")&amp;IF($E118="","No date source given — RERCA and LORCA need to know which method produced this age. ","")&amp;IF(AND(ISNUMBER($C118),$C118&lt;0),"Negative age: this horizon post-dates the coring year. Check the conversion. ","")&amp;IF(AND(ISNUMBER($G118),$G118&lt;0),"Age reversal — this horizon is younger than one above it. A mixed or disturbed profile may not be datable at all. ","")&amp;IF(AND(ISNUMBER($D118),ISNUMBER($C118),$C118&gt;0,$D118/$C118&gt;0.5),"Age uncertainty exceeds 50% of the age. Usable as an indication only. ","")&amp;IF(AND($D118="",$C118&lt;&gt;""),"No uncertainty given. Every radiometric age has one; a rate without it cannot be defended. ",""))</f>
        <v/>
      </c>
      <c r="J118" s="16">
        <f t="shared" si="0"/>
        <v>0</v>
      </c>
      <c r="K118" s="16" t="str">
        <f>IF(OR($A118="",NOT(ISNUMBER($B118))),"",SUMPRODUCT(MAX(('4. Chronology'!$A$5:$A$204=$A118)*('4. Chronology'!$B$5:$B$204&lt;$B118)*'4. Chronology'!$B$5:$B$204)))</f>
        <v/>
      </c>
    </row>
    <row r="119" spans="1:11" ht="15.75" customHeight="1">
      <c r="A119" s="14"/>
      <c r="B119" s="14"/>
      <c r="C119" s="14"/>
      <c r="D119" s="14"/>
      <c r="E119" s="14"/>
      <c r="F119" s="16" t="str">
        <f>IF(OR($A119="",NOT(ISNUMBER($B119))),"",SUMIFS(community_cores_FS!$P$5:$P$597,community_cores_FS!$B$5:$B$597,$A119,community_cores_FS!$F$5:$F$597,"&lt;="&amp;$B119)+SUMPRODUCT((community_cores_FS!$B$5:$B$597=$A119)*(community_cores_FS!$E$5:$E$597&lt;$B119)*(community_cores_FS!$F$5:$F$597&gt;$B119)*community_cores_FS!$R$5:$R$597*($B119-community_cores_FS!$E$5:$E$597)))</f>
        <v/>
      </c>
      <c r="G119" s="16" t="str">
        <f>IF(OR($A119="",NOT(ISNUMBER($B119)),NOT(ISNUMBER($C119))),"",IFERROR(($B119-$K119)/($C119-IF($K119=0,0,SUMIFS('4. Chronology'!$C$5:$C$204,'4. Chronology'!$A$5:$A$204,$A119,'4. Chronology'!$B$5:$B$204,$K119))),""))</f>
        <v/>
      </c>
      <c r="H119" s="16" t="str">
        <f>IF(OR($A119="",NOT(ISNUMBER($F119)),NOT(ISNUMBER($C119))),"",IFERROR((($F119-IF($K119=0,0,SUMIFS('4. Chronology'!$F$5:$F$204,'4. Chronology'!$A$5:$A$204,$A119,'4. Chronology'!$B$5:$B$204,$K119)))*1000)/($C119-IF($K119=0,0,SUMIFS('4. Chronology'!$C$5:$C$204,'4. Chronology'!$A$5:$A$204,$A119,'4. Chronology'!$B$5:$B$204,$K119))),""))</f>
        <v/>
      </c>
      <c r="I119" s="16" t="str">
        <f>IF($A119="","",IF(COUNTIF('2. Core Log'!$A$5:$A$124,$A119)=0,"Core ID not in Core Log. ","")&amp;IF($E119="","No date source given — RERCA and LORCA need to know which method produced this age. ","")&amp;IF(AND(ISNUMBER($C119),$C119&lt;0),"Negative age: this horizon post-dates the coring year. Check the conversion. ","")&amp;IF(AND(ISNUMBER($G119),$G119&lt;0),"Age reversal — this horizon is younger than one above it. A mixed or disturbed profile may not be datable at all. ","")&amp;IF(AND(ISNUMBER($D119),ISNUMBER($C119),$C119&gt;0,$D119/$C119&gt;0.5),"Age uncertainty exceeds 50% of the age. Usable as an indication only. ","")&amp;IF(AND($D119="",$C119&lt;&gt;""),"No uncertainty given. Every radiometric age has one; a rate without it cannot be defended. ",""))</f>
        <v/>
      </c>
      <c r="J119" s="16">
        <f t="shared" si="0"/>
        <v>0</v>
      </c>
      <c r="K119" s="16" t="str">
        <f>IF(OR($A119="",NOT(ISNUMBER($B119))),"",SUMPRODUCT(MAX(('4. Chronology'!$A$5:$A$204=$A119)*('4. Chronology'!$B$5:$B$204&lt;$B119)*'4. Chronology'!$B$5:$B$204)))</f>
        <v/>
      </c>
    </row>
    <row r="120" spans="1:11" ht="15.75" customHeight="1">
      <c r="A120" s="14"/>
      <c r="B120" s="14"/>
      <c r="C120" s="14"/>
      <c r="D120" s="14"/>
      <c r="E120" s="14"/>
      <c r="F120" s="16" t="str">
        <f>IF(OR($A120="",NOT(ISNUMBER($B120))),"",SUMIFS(community_cores_FS!$P$5:$P$597,community_cores_FS!$B$5:$B$597,$A120,community_cores_FS!$F$5:$F$597,"&lt;="&amp;$B120)+SUMPRODUCT((community_cores_FS!$B$5:$B$597=$A120)*(community_cores_FS!$E$5:$E$597&lt;$B120)*(community_cores_FS!$F$5:$F$597&gt;$B120)*community_cores_FS!$R$5:$R$597*($B120-community_cores_FS!$E$5:$E$597)))</f>
        <v/>
      </c>
      <c r="G120" s="16" t="str">
        <f>IF(OR($A120="",NOT(ISNUMBER($B120)),NOT(ISNUMBER($C120))),"",IFERROR(($B120-$K120)/($C120-IF($K120=0,0,SUMIFS('4. Chronology'!$C$5:$C$204,'4. Chronology'!$A$5:$A$204,$A120,'4. Chronology'!$B$5:$B$204,$K120))),""))</f>
        <v/>
      </c>
      <c r="H120" s="16" t="str">
        <f>IF(OR($A120="",NOT(ISNUMBER($F120)),NOT(ISNUMBER($C120))),"",IFERROR((($F120-IF($K120=0,0,SUMIFS('4. Chronology'!$F$5:$F$204,'4. Chronology'!$A$5:$A$204,$A120,'4. Chronology'!$B$5:$B$204,$K120)))*1000)/($C120-IF($K120=0,0,SUMIFS('4. Chronology'!$C$5:$C$204,'4. Chronology'!$A$5:$A$204,$A120,'4. Chronology'!$B$5:$B$204,$K120))),""))</f>
        <v/>
      </c>
      <c r="I120" s="16" t="str">
        <f>IF($A120="","",IF(COUNTIF('2. Core Log'!$A$5:$A$124,$A120)=0,"Core ID not in Core Log. ","")&amp;IF($E120="","No date source given — RERCA and LORCA need to know which method produced this age. ","")&amp;IF(AND(ISNUMBER($C120),$C120&lt;0),"Negative age: this horizon post-dates the coring year. Check the conversion. ","")&amp;IF(AND(ISNUMBER($G120),$G120&lt;0),"Age reversal — this horizon is younger than one above it. A mixed or disturbed profile may not be datable at all. ","")&amp;IF(AND(ISNUMBER($D120),ISNUMBER($C120),$C120&gt;0,$D120/$C120&gt;0.5),"Age uncertainty exceeds 50% of the age. Usable as an indication only. ","")&amp;IF(AND($D120="",$C120&lt;&gt;""),"No uncertainty given. Every radiometric age has one; a rate without it cannot be defended. ",""))</f>
        <v/>
      </c>
      <c r="J120" s="16">
        <f t="shared" si="0"/>
        <v>0</v>
      </c>
      <c r="K120" s="16" t="str">
        <f>IF(OR($A120="",NOT(ISNUMBER($B120))),"",SUMPRODUCT(MAX(('4. Chronology'!$A$5:$A$204=$A120)*('4. Chronology'!$B$5:$B$204&lt;$B120)*'4. Chronology'!$B$5:$B$204)))</f>
        <v/>
      </c>
    </row>
    <row r="121" spans="1:11" ht="15.75" customHeight="1">
      <c r="A121" s="14"/>
      <c r="B121" s="14"/>
      <c r="C121" s="14"/>
      <c r="D121" s="14"/>
      <c r="E121" s="14"/>
      <c r="F121" s="16" t="str">
        <f>IF(OR($A121="",NOT(ISNUMBER($B121))),"",SUMIFS(community_cores_FS!$P$5:$P$597,community_cores_FS!$B$5:$B$597,$A121,community_cores_FS!$F$5:$F$597,"&lt;="&amp;$B121)+SUMPRODUCT((community_cores_FS!$B$5:$B$597=$A121)*(community_cores_FS!$E$5:$E$597&lt;$B121)*(community_cores_FS!$F$5:$F$597&gt;$B121)*community_cores_FS!$R$5:$R$597*($B121-community_cores_FS!$E$5:$E$597)))</f>
        <v/>
      </c>
      <c r="G121" s="16" t="str">
        <f>IF(OR($A121="",NOT(ISNUMBER($B121)),NOT(ISNUMBER($C121))),"",IFERROR(($B121-$K121)/($C121-IF($K121=0,0,SUMIFS('4. Chronology'!$C$5:$C$204,'4. Chronology'!$A$5:$A$204,$A121,'4. Chronology'!$B$5:$B$204,$K121))),""))</f>
        <v/>
      </c>
      <c r="H121" s="16" t="str">
        <f>IF(OR($A121="",NOT(ISNUMBER($F121)),NOT(ISNUMBER($C121))),"",IFERROR((($F121-IF($K121=0,0,SUMIFS('4. Chronology'!$F$5:$F$204,'4. Chronology'!$A$5:$A$204,$A121,'4. Chronology'!$B$5:$B$204,$K121)))*1000)/($C121-IF($K121=0,0,SUMIFS('4. Chronology'!$C$5:$C$204,'4. Chronology'!$A$5:$A$204,$A121,'4. Chronology'!$B$5:$B$204,$K121))),""))</f>
        <v/>
      </c>
      <c r="I121" s="16" t="str">
        <f>IF($A121="","",IF(COUNTIF('2. Core Log'!$A$5:$A$124,$A121)=0,"Core ID not in Core Log. ","")&amp;IF($E121="","No date source given — RERCA and LORCA need to know which method produced this age. ","")&amp;IF(AND(ISNUMBER($C121),$C121&lt;0),"Negative age: this horizon post-dates the coring year. Check the conversion. ","")&amp;IF(AND(ISNUMBER($G121),$G121&lt;0),"Age reversal — this horizon is younger than one above it. A mixed or disturbed profile may not be datable at all. ","")&amp;IF(AND(ISNUMBER($D121),ISNUMBER($C121),$C121&gt;0,$D121/$C121&gt;0.5),"Age uncertainty exceeds 50% of the age. Usable as an indication only. ","")&amp;IF(AND($D121="",$C121&lt;&gt;""),"No uncertainty given. Every radiometric age has one; a rate without it cannot be defended. ",""))</f>
        <v/>
      </c>
      <c r="J121" s="16">
        <f t="shared" si="0"/>
        <v>0</v>
      </c>
      <c r="K121" s="16" t="str">
        <f>IF(OR($A121="",NOT(ISNUMBER($B121))),"",SUMPRODUCT(MAX(('4. Chronology'!$A$5:$A$204=$A121)*('4. Chronology'!$B$5:$B$204&lt;$B121)*'4. Chronology'!$B$5:$B$204)))</f>
        <v/>
      </c>
    </row>
    <row r="122" spans="1:11" ht="15.75" customHeight="1">
      <c r="A122" s="14"/>
      <c r="B122" s="14"/>
      <c r="C122" s="14"/>
      <c r="D122" s="14"/>
      <c r="E122" s="14"/>
      <c r="F122" s="16" t="str">
        <f>IF(OR($A122="",NOT(ISNUMBER($B122))),"",SUMIFS(community_cores_FS!$P$5:$P$597,community_cores_FS!$B$5:$B$597,$A122,community_cores_FS!$F$5:$F$597,"&lt;="&amp;$B122)+SUMPRODUCT((community_cores_FS!$B$5:$B$597=$A122)*(community_cores_FS!$E$5:$E$597&lt;$B122)*(community_cores_FS!$F$5:$F$597&gt;$B122)*community_cores_FS!$R$5:$R$597*($B122-community_cores_FS!$E$5:$E$597)))</f>
        <v/>
      </c>
      <c r="G122" s="16" t="str">
        <f>IF(OR($A122="",NOT(ISNUMBER($B122)),NOT(ISNUMBER($C122))),"",IFERROR(($B122-$K122)/($C122-IF($K122=0,0,SUMIFS('4. Chronology'!$C$5:$C$204,'4. Chronology'!$A$5:$A$204,$A122,'4. Chronology'!$B$5:$B$204,$K122))),""))</f>
        <v/>
      </c>
      <c r="H122" s="16" t="str">
        <f>IF(OR($A122="",NOT(ISNUMBER($F122)),NOT(ISNUMBER($C122))),"",IFERROR((($F122-IF($K122=0,0,SUMIFS('4. Chronology'!$F$5:$F$204,'4. Chronology'!$A$5:$A$204,$A122,'4. Chronology'!$B$5:$B$204,$K122)))*1000)/($C122-IF($K122=0,0,SUMIFS('4. Chronology'!$C$5:$C$204,'4. Chronology'!$A$5:$A$204,$A122,'4. Chronology'!$B$5:$B$204,$K122))),""))</f>
        <v/>
      </c>
      <c r="I122" s="16" t="str">
        <f>IF($A122="","",IF(COUNTIF('2. Core Log'!$A$5:$A$124,$A122)=0,"Core ID not in Core Log. ","")&amp;IF($E122="","No date source given — RERCA and LORCA need to know which method produced this age. ","")&amp;IF(AND(ISNUMBER($C122),$C122&lt;0),"Negative age: this horizon post-dates the coring year. Check the conversion. ","")&amp;IF(AND(ISNUMBER($G122),$G122&lt;0),"Age reversal — this horizon is younger than one above it. A mixed or disturbed profile may not be datable at all. ","")&amp;IF(AND(ISNUMBER($D122),ISNUMBER($C122),$C122&gt;0,$D122/$C122&gt;0.5),"Age uncertainty exceeds 50% of the age. Usable as an indication only. ","")&amp;IF(AND($D122="",$C122&lt;&gt;""),"No uncertainty given. Every radiometric age has one; a rate without it cannot be defended. ",""))</f>
        <v/>
      </c>
      <c r="J122" s="16">
        <f t="shared" si="0"/>
        <v>0</v>
      </c>
      <c r="K122" s="16" t="str">
        <f>IF(OR($A122="",NOT(ISNUMBER($B122))),"",SUMPRODUCT(MAX(('4. Chronology'!$A$5:$A$204=$A122)*('4. Chronology'!$B$5:$B$204&lt;$B122)*'4. Chronology'!$B$5:$B$204)))</f>
        <v/>
      </c>
    </row>
    <row r="123" spans="1:11" ht="15.75" customHeight="1">
      <c r="A123" s="14"/>
      <c r="B123" s="14"/>
      <c r="C123" s="14"/>
      <c r="D123" s="14"/>
      <c r="E123" s="14"/>
      <c r="F123" s="16" t="str">
        <f>IF(OR($A123="",NOT(ISNUMBER($B123))),"",SUMIFS(community_cores_FS!$P$5:$P$597,community_cores_FS!$B$5:$B$597,$A123,community_cores_FS!$F$5:$F$597,"&lt;="&amp;$B123)+SUMPRODUCT((community_cores_FS!$B$5:$B$597=$A123)*(community_cores_FS!$E$5:$E$597&lt;$B123)*(community_cores_FS!$F$5:$F$597&gt;$B123)*community_cores_FS!$R$5:$R$597*($B123-community_cores_FS!$E$5:$E$597)))</f>
        <v/>
      </c>
      <c r="G123" s="16" t="str">
        <f>IF(OR($A123="",NOT(ISNUMBER($B123)),NOT(ISNUMBER($C123))),"",IFERROR(($B123-$K123)/($C123-IF($K123=0,0,SUMIFS('4. Chronology'!$C$5:$C$204,'4. Chronology'!$A$5:$A$204,$A123,'4. Chronology'!$B$5:$B$204,$K123))),""))</f>
        <v/>
      </c>
      <c r="H123" s="16" t="str">
        <f>IF(OR($A123="",NOT(ISNUMBER($F123)),NOT(ISNUMBER($C123))),"",IFERROR((($F123-IF($K123=0,0,SUMIFS('4. Chronology'!$F$5:$F$204,'4. Chronology'!$A$5:$A$204,$A123,'4. Chronology'!$B$5:$B$204,$K123)))*1000)/($C123-IF($K123=0,0,SUMIFS('4. Chronology'!$C$5:$C$204,'4. Chronology'!$A$5:$A$204,$A123,'4. Chronology'!$B$5:$B$204,$K123))),""))</f>
        <v/>
      </c>
      <c r="I123" s="16" t="str">
        <f>IF($A123="","",IF(COUNTIF('2. Core Log'!$A$5:$A$124,$A123)=0,"Core ID not in Core Log. ","")&amp;IF($E123="","No date source given — RERCA and LORCA need to know which method produced this age. ","")&amp;IF(AND(ISNUMBER($C123),$C123&lt;0),"Negative age: this horizon post-dates the coring year. Check the conversion. ","")&amp;IF(AND(ISNUMBER($G123),$G123&lt;0),"Age reversal — this horizon is younger than one above it. A mixed or disturbed profile may not be datable at all. ","")&amp;IF(AND(ISNUMBER($D123),ISNUMBER($C123),$C123&gt;0,$D123/$C123&gt;0.5),"Age uncertainty exceeds 50% of the age. Usable as an indication only. ","")&amp;IF(AND($D123="",$C123&lt;&gt;""),"No uncertainty given. Every radiometric age has one; a rate without it cannot be defended. ",""))</f>
        <v/>
      </c>
      <c r="J123" s="16">
        <f t="shared" si="0"/>
        <v>0</v>
      </c>
      <c r="K123" s="16" t="str">
        <f>IF(OR($A123="",NOT(ISNUMBER($B123))),"",SUMPRODUCT(MAX(('4. Chronology'!$A$5:$A$204=$A123)*('4. Chronology'!$B$5:$B$204&lt;$B123)*'4. Chronology'!$B$5:$B$204)))</f>
        <v/>
      </c>
    </row>
    <row r="124" spans="1:11" ht="15.75" customHeight="1">
      <c r="A124" s="14"/>
      <c r="B124" s="14"/>
      <c r="C124" s="14"/>
      <c r="D124" s="14"/>
      <c r="E124" s="14"/>
      <c r="F124" s="16" t="str">
        <f>IF(OR($A124="",NOT(ISNUMBER($B124))),"",SUMIFS(community_cores_FS!$P$5:$P$597,community_cores_FS!$B$5:$B$597,$A124,community_cores_FS!$F$5:$F$597,"&lt;="&amp;$B124)+SUMPRODUCT((community_cores_FS!$B$5:$B$597=$A124)*(community_cores_FS!$E$5:$E$597&lt;$B124)*(community_cores_FS!$F$5:$F$597&gt;$B124)*community_cores_FS!$R$5:$R$597*($B124-community_cores_FS!$E$5:$E$597)))</f>
        <v/>
      </c>
      <c r="G124" s="16" t="str">
        <f>IF(OR($A124="",NOT(ISNUMBER($B124)),NOT(ISNUMBER($C124))),"",IFERROR(($B124-$K124)/($C124-IF($K124=0,0,SUMIFS('4. Chronology'!$C$5:$C$204,'4. Chronology'!$A$5:$A$204,$A124,'4. Chronology'!$B$5:$B$204,$K124))),""))</f>
        <v/>
      </c>
      <c r="H124" s="16" t="str">
        <f>IF(OR($A124="",NOT(ISNUMBER($F124)),NOT(ISNUMBER($C124))),"",IFERROR((($F124-IF($K124=0,0,SUMIFS('4. Chronology'!$F$5:$F$204,'4. Chronology'!$A$5:$A$204,$A124,'4. Chronology'!$B$5:$B$204,$K124)))*1000)/($C124-IF($K124=0,0,SUMIFS('4. Chronology'!$C$5:$C$204,'4. Chronology'!$A$5:$A$204,$A124,'4. Chronology'!$B$5:$B$204,$K124))),""))</f>
        <v/>
      </c>
      <c r="I124" s="16" t="str">
        <f>IF($A124="","",IF(COUNTIF('2. Core Log'!$A$5:$A$124,$A124)=0,"Core ID not in Core Log. ","")&amp;IF($E124="","No date source given — RERCA and LORCA need to know which method produced this age. ","")&amp;IF(AND(ISNUMBER($C124),$C124&lt;0),"Negative age: this horizon post-dates the coring year. Check the conversion. ","")&amp;IF(AND(ISNUMBER($G124),$G124&lt;0),"Age reversal — this horizon is younger than one above it. A mixed or disturbed profile may not be datable at all. ","")&amp;IF(AND(ISNUMBER($D124),ISNUMBER($C124),$C124&gt;0,$D124/$C124&gt;0.5),"Age uncertainty exceeds 50% of the age. Usable as an indication only. ","")&amp;IF(AND($D124="",$C124&lt;&gt;""),"No uncertainty given. Every radiometric age has one; a rate without it cannot be defended. ",""))</f>
        <v/>
      </c>
      <c r="J124" s="16">
        <f t="shared" si="0"/>
        <v>0</v>
      </c>
      <c r="K124" s="16" t="str">
        <f>IF(OR($A124="",NOT(ISNUMBER($B124))),"",SUMPRODUCT(MAX(('4. Chronology'!$A$5:$A$204=$A124)*('4. Chronology'!$B$5:$B$204&lt;$B124)*'4. Chronology'!$B$5:$B$204)))</f>
        <v/>
      </c>
    </row>
    <row r="125" spans="1:11" ht="15.75" customHeight="1">
      <c r="A125" s="14"/>
      <c r="B125" s="14"/>
      <c r="C125" s="14"/>
      <c r="D125" s="14"/>
      <c r="E125" s="14"/>
      <c r="F125" s="16" t="str">
        <f>IF(OR($A125="",NOT(ISNUMBER($B125))),"",SUMIFS(community_cores_FS!$P$5:$P$597,community_cores_FS!$B$5:$B$597,$A125,community_cores_FS!$F$5:$F$597,"&lt;="&amp;$B125)+SUMPRODUCT((community_cores_FS!$B$5:$B$597=$A125)*(community_cores_FS!$E$5:$E$597&lt;$B125)*(community_cores_FS!$F$5:$F$597&gt;$B125)*community_cores_FS!$R$5:$R$597*($B125-community_cores_FS!$E$5:$E$597)))</f>
        <v/>
      </c>
      <c r="G125" s="16" t="str">
        <f>IF(OR($A125="",NOT(ISNUMBER($B125)),NOT(ISNUMBER($C125))),"",IFERROR(($B125-$K125)/($C125-IF($K125=0,0,SUMIFS('4. Chronology'!$C$5:$C$204,'4. Chronology'!$A$5:$A$204,$A125,'4. Chronology'!$B$5:$B$204,$K125))),""))</f>
        <v/>
      </c>
      <c r="H125" s="16" t="str">
        <f>IF(OR($A125="",NOT(ISNUMBER($F125)),NOT(ISNUMBER($C125))),"",IFERROR((($F125-IF($K125=0,0,SUMIFS('4. Chronology'!$F$5:$F$204,'4. Chronology'!$A$5:$A$204,$A125,'4. Chronology'!$B$5:$B$204,$K125)))*1000)/($C125-IF($K125=0,0,SUMIFS('4. Chronology'!$C$5:$C$204,'4. Chronology'!$A$5:$A$204,$A125,'4. Chronology'!$B$5:$B$204,$K125))),""))</f>
        <v/>
      </c>
      <c r="I125" s="16" t="str">
        <f>IF($A125="","",IF(COUNTIF('2. Core Log'!$A$5:$A$124,$A125)=0,"Core ID not in Core Log. ","")&amp;IF($E125="","No date source given — RERCA and LORCA need to know which method produced this age. ","")&amp;IF(AND(ISNUMBER($C125),$C125&lt;0),"Negative age: this horizon post-dates the coring year. Check the conversion. ","")&amp;IF(AND(ISNUMBER($G125),$G125&lt;0),"Age reversal — this horizon is younger than one above it. A mixed or disturbed profile may not be datable at all. ","")&amp;IF(AND(ISNUMBER($D125),ISNUMBER($C125),$C125&gt;0,$D125/$C125&gt;0.5),"Age uncertainty exceeds 50% of the age. Usable as an indication only. ","")&amp;IF(AND($D125="",$C125&lt;&gt;""),"No uncertainty given. Every radiometric age has one; a rate without it cannot be defended. ",""))</f>
        <v/>
      </c>
      <c r="J125" s="16">
        <f t="shared" si="0"/>
        <v>0</v>
      </c>
      <c r="K125" s="16" t="str">
        <f>IF(OR($A125="",NOT(ISNUMBER($B125))),"",SUMPRODUCT(MAX(('4. Chronology'!$A$5:$A$204=$A125)*('4. Chronology'!$B$5:$B$204&lt;$B125)*'4. Chronology'!$B$5:$B$204)))</f>
        <v/>
      </c>
    </row>
    <row r="126" spans="1:11" ht="15.75" customHeight="1">
      <c r="A126" s="14"/>
      <c r="B126" s="14"/>
      <c r="C126" s="14"/>
      <c r="D126" s="14"/>
      <c r="E126" s="14"/>
      <c r="F126" s="16" t="str">
        <f>IF(OR($A126="",NOT(ISNUMBER($B126))),"",SUMIFS(community_cores_FS!$P$5:$P$597,community_cores_FS!$B$5:$B$597,$A126,community_cores_FS!$F$5:$F$597,"&lt;="&amp;$B126)+SUMPRODUCT((community_cores_FS!$B$5:$B$597=$A126)*(community_cores_FS!$E$5:$E$597&lt;$B126)*(community_cores_FS!$F$5:$F$597&gt;$B126)*community_cores_FS!$R$5:$R$597*($B126-community_cores_FS!$E$5:$E$597)))</f>
        <v/>
      </c>
      <c r="G126" s="16" t="str">
        <f>IF(OR($A126="",NOT(ISNUMBER($B126)),NOT(ISNUMBER($C126))),"",IFERROR(($B126-$K126)/($C126-IF($K126=0,0,SUMIFS('4. Chronology'!$C$5:$C$204,'4. Chronology'!$A$5:$A$204,$A126,'4. Chronology'!$B$5:$B$204,$K126))),""))</f>
        <v/>
      </c>
      <c r="H126" s="16" t="str">
        <f>IF(OR($A126="",NOT(ISNUMBER($F126)),NOT(ISNUMBER($C126))),"",IFERROR((($F126-IF($K126=0,0,SUMIFS('4. Chronology'!$F$5:$F$204,'4. Chronology'!$A$5:$A$204,$A126,'4. Chronology'!$B$5:$B$204,$K126)))*1000)/($C126-IF($K126=0,0,SUMIFS('4. Chronology'!$C$5:$C$204,'4. Chronology'!$A$5:$A$204,$A126,'4. Chronology'!$B$5:$B$204,$K126))),""))</f>
        <v/>
      </c>
      <c r="I126" s="16" t="str">
        <f>IF($A126="","",IF(COUNTIF('2. Core Log'!$A$5:$A$124,$A126)=0,"Core ID not in Core Log. ","")&amp;IF($E126="","No date source given — RERCA and LORCA need to know which method produced this age. ","")&amp;IF(AND(ISNUMBER($C126),$C126&lt;0),"Negative age: this horizon post-dates the coring year. Check the conversion. ","")&amp;IF(AND(ISNUMBER($G126),$G126&lt;0),"Age reversal — this horizon is younger than one above it. A mixed or disturbed profile may not be datable at all. ","")&amp;IF(AND(ISNUMBER($D126),ISNUMBER($C126),$C126&gt;0,$D126/$C126&gt;0.5),"Age uncertainty exceeds 50% of the age. Usable as an indication only. ","")&amp;IF(AND($D126="",$C126&lt;&gt;""),"No uncertainty given. Every radiometric age has one; a rate without it cannot be defended. ",""))</f>
        <v/>
      </c>
      <c r="J126" s="16">
        <f t="shared" si="0"/>
        <v>0</v>
      </c>
      <c r="K126" s="16" t="str">
        <f>IF(OR($A126="",NOT(ISNUMBER($B126))),"",SUMPRODUCT(MAX(('4. Chronology'!$A$5:$A$204=$A126)*('4. Chronology'!$B$5:$B$204&lt;$B126)*'4. Chronology'!$B$5:$B$204)))</f>
        <v/>
      </c>
    </row>
    <row r="127" spans="1:11" ht="15.75" customHeight="1">
      <c r="A127" s="14"/>
      <c r="B127" s="14"/>
      <c r="C127" s="14"/>
      <c r="D127" s="14"/>
      <c r="E127" s="14"/>
      <c r="F127" s="16" t="str">
        <f>IF(OR($A127="",NOT(ISNUMBER($B127))),"",SUMIFS(community_cores_FS!$P$5:$P$597,community_cores_FS!$B$5:$B$597,$A127,community_cores_FS!$F$5:$F$597,"&lt;="&amp;$B127)+SUMPRODUCT((community_cores_FS!$B$5:$B$597=$A127)*(community_cores_FS!$E$5:$E$597&lt;$B127)*(community_cores_FS!$F$5:$F$597&gt;$B127)*community_cores_FS!$R$5:$R$597*($B127-community_cores_FS!$E$5:$E$597)))</f>
        <v/>
      </c>
      <c r="G127" s="16" t="str">
        <f>IF(OR($A127="",NOT(ISNUMBER($B127)),NOT(ISNUMBER($C127))),"",IFERROR(($B127-$K127)/($C127-IF($K127=0,0,SUMIFS('4. Chronology'!$C$5:$C$204,'4. Chronology'!$A$5:$A$204,$A127,'4. Chronology'!$B$5:$B$204,$K127))),""))</f>
        <v/>
      </c>
      <c r="H127" s="16" t="str">
        <f>IF(OR($A127="",NOT(ISNUMBER($F127)),NOT(ISNUMBER($C127))),"",IFERROR((($F127-IF($K127=0,0,SUMIFS('4. Chronology'!$F$5:$F$204,'4. Chronology'!$A$5:$A$204,$A127,'4. Chronology'!$B$5:$B$204,$K127)))*1000)/($C127-IF($K127=0,0,SUMIFS('4. Chronology'!$C$5:$C$204,'4. Chronology'!$A$5:$A$204,$A127,'4. Chronology'!$B$5:$B$204,$K127))),""))</f>
        <v/>
      </c>
      <c r="I127" s="16" t="str">
        <f>IF($A127="","",IF(COUNTIF('2. Core Log'!$A$5:$A$124,$A127)=0,"Core ID not in Core Log. ","")&amp;IF($E127="","No date source given — RERCA and LORCA need to know which method produced this age. ","")&amp;IF(AND(ISNUMBER($C127),$C127&lt;0),"Negative age: this horizon post-dates the coring year. Check the conversion. ","")&amp;IF(AND(ISNUMBER($G127),$G127&lt;0),"Age reversal — this horizon is younger than one above it. A mixed or disturbed profile may not be datable at all. ","")&amp;IF(AND(ISNUMBER($D127),ISNUMBER($C127),$C127&gt;0,$D127/$C127&gt;0.5),"Age uncertainty exceeds 50% of the age. Usable as an indication only. ","")&amp;IF(AND($D127="",$C127&lt;&gt;""),"No uncertainty given. Every radiometric age has one; a rate without it cannot be defended. ",""))</f>
        <v/>
      </c>
      <c r="J127" s="16">
        <f t="shared" si="0"/>
        <v>0</v>
      </c>
      <c r="K127" s="16" t="str">
        <f>IF(OR($A127="",NOT(ISNUMBER($B127))),"",SUMPRODUCT(MAX(('4. Chronology'!$A$5:$A$204=$A127)*('4. Chronology'!$B$5:$B$204&lt;$B127)*'4. Chronology'!$B$5:$B$204)))</f>
        <v/>
      </c>
    </row>
    <row r="128" spans="1:11" ht="15.75" customHeight="1">
      <c r="A128" s="14"/>
      <c r="B128" s="14"/>
      <c r="C128" s="14"/>
      <c r="D128" s="14"/>
      <c r="E128" s="14"/>
      <c r="F128" s="16" t="str">
        <f>IF(OR($A128="",NOT(ISNUMBER($B128))),"",SUMIFS(community_cores_FS!$P$5:$P$597,community_cores_FS!$B$5:$B$597,$A128,community_cores_FS!$F$5:$F$597,"&lt;="&amp;$B128)+SUMPRODUCT((community_cores_FS!$B$5:$B$597=$A128)*(community_cores_FS!$E$5:$E$597&lt;$B128)*(community_cores_FS!$F$5:$F$597&gt;$B128)*community_cores_FS!$R$5:$R$597*($B128-community_cores_FS!$E$5:$E$597)))</f>
        <v/>
      </c>
      <c r="G128" s="16" t="str">
        <f>IF(OR($A128="",NOT(ISNUMBER($B128)),NOT(ISNUMBER($C128))),"",IFERROR(($B128-$K128)/($C128-IF($K128=0,0,SUMIFS('4. Chronology'!$C$5:$C$204,'4. Chronology'!$A$5:$A$204,$A128,'4. Chronology'!$B$5:$B$204,$K128))),""))</f>
        <v/>
      </c>
      <c r="H128" s="16" t="str">
        <f>IF(OR($A128="",NOT(ISNUMBER($F128)),NOT(ISNUMBER($C128))),"",IFERROR((($F128-IF($K128=0,0,SUMIFS('4. Chronology'!$F$5:$F$204,'4. Chronology'!$A$5:$A$204,$A128,'4. Chronology'!$B$5:$B$204,$K128)))*1000)/($C128-IF($K128=0,0,SUMIFS('4. Chronology'!$C$5:$C$204,'4. Chronology'!$A$5:$A$204,$A128,'4. Chronology'!$B$5:$B$204,$K128))),""))</f>
        <v/>
      </c>
      <c r="I128" s="16" t="str">
        <f>IF($A128="","",IF(COUNTIF('2. Core Log'!$A$5:$A$124,$A128)=0,"Core ID not in Core Log. ","")&amp;IF($E128="","No date source given — RERCA and LORCA need to know which method produced this age. ","")&amp;IF(AND(ISNUMBER($C128),$C128&lt;0),"Negative age: this horizon post-dates the coring year. Check the conversion. ","")&amp;IF(AND(ISNUMBER($G128),$G128&lt;0),"Age reversal — this horizon is younger than one above it. A mixed or disturbed profile may not be datable at all. ","")&amp;IF(AND(ISNUMBER($D128),ISNUMBER($C128),$C128&gt;0,$D128/$C128&gt;0.5),"Age uncertainty exceeds 50% of the age. Usable as an indication only. ","")&amp;IF(AND($D128="",$C128&lt;&gt;""),"No uncertainty given. Every radiometric age has one; a rate without it cannot be defended. ",""))</f>
        <v/>
      </c>
      <c r="J128" s="16">
        <f t="shared" si="0"/>
        <v>0</v>
      </c>
      <c r="K128" s="16" t="str">
        <f>IF(OR($A128="",NOT(ISNUMBER($B128))),"",SUMPRODUCT(MAX(('4. Chronology'!$A$5:$A$204=$A128)*('4. Chronology'!$B$5:$B$204&lt;$B128)*'4. Chronology'!$B$5:$B$204)))</f>
        <v/>
      </c>
    </row>
    <row r="129" spans="1:11" ht="15.75" customHeight="1">
      <c r="A129" s="14"/>
      <c r="B129" s="14"/>
      <c r="C129" s="14"/>
      <c r="D129" s="14"/>
      <c r="E129" s="14"/>
      <c r="F129" s="16" t="str">
        <f>IF(OR($A129="",NOT(ISNUMBER($B129))),"",SUMIFS(community_cores_FS!$P$5:$P$597,community_cores_FS!$B$5:$B$597,$A129,community_cores_FS!$F$5:$F$597,"&lt;="&amp;$B129)+SUMPRODUCT((community_cores_FS!$B$5:$B$597=$A129)*(community_cores_FS!$E$5:$E$597&lt;$B129)*(community_cores_FS!$F$5:$F$597&gt;$B129)*community_cores_FS!$R$5:$R$597*($B129-community_cores_FS!$E$5:$E$597)))</f>
        <v/>
      </c>
      <c r="G129" s="16" t="str">
        <f>IF(OR($A129="",NOT(ISNUMBER($B129)),NOT(ISNUMBER($C129))),"",IFERROR(($B129-$K129)/($C129-IF($K129=0,0,SUMIFS('4. Chronology'!$C$5:$C$204,'4. Chronology'!$A$5:$A$204,$A129,'4. Chronology'!$B$5:$B$204,$K129))),""))</f>
        <v/>
      </c>
      <c r="H129" s="16" t="str">
        <f>IF(OR($A129="",NOT(ISNUMBER($F129)),NOT(ISNUMBER($C129))),"",IFERROR((($F129-IF($K129=0,0,SUMIFS('4. Chronology'!$F$5:$F$204,'4. Chronology'!$A$5:$A$204,$A129,'4. Chronology'!$B$5:$B$204,$K129)))*1000)/($C129-IF($K129=0,0,SUMIFS('4. Chronology'!$C$5:$C$204,'4. Chronology'!$A$5:$A$204,$A129,'4. Chronology'!$B$5:$B$204,$K129))),""))</f>
        <v/>
      </c>
      <c r="I129" s="16" t="str">
        <f>IF($A129="","",IF(COUNTIF('2. Core Log'!$A$5:$A$124,$A129)=0,"Core ID not in Core Log. ","")&amp;IF($E129="","No date source given — RERCA and LORCA need to know which method produced this age. ","")&amp;IF(AND(ISNUMBER($C129),$C129&lt;0),"Negative age: this horizon post-dates the coring year. Check the conversion. ","")&amp;IF(AND(ISNUMBER($G129),$G129&lt;0),"Age reversal — this horizon is younger than one above it. A mixed or disturbed profile may not be datable at all. ","")&amp;IF(AND(ISNUMBER($D129),ISNUMBER($C129),$C129&gt;0,$D129/$C129&gt;0.5),"Age uncertainty exceeds 50% of the age. Usable as an indication only. ","")&amp;IF(AND($D129="",$C129&lt;&gt;""),"No uncertainty given. Every radiometric age has one; a rate without it cannot be defended. ",""))</f>
        <v/>
      </c>
      <c r="J129" s="16">
        <f t="shared" si="0"/>
        <v>0</v>
      </c>
      <c r="K129" s="16" t="str">
        <f>IF(OR($A129="",NOT(ISNUMBER($B129))),"",SUMPRODUCT(MAX(('4. Chronology'!$A$5:$A$204=$A129)*('4. Chronology'!$B$5:$B$204&lt;$B129)*'4. Chronology'!$B$5:$B$204)))</f>
        <v/>
      </c>
    </row>
    <row r="130" spans="1:11" ht="15.75" customHeight="1">
      <c r="A130" s="14"/>
      <c r="B130" s="14"/>
      <c r="C130" s="14"/>
      <c r="D130" s="14"/>
      <c r="E130" s="14"/>
      <c r="F130" s="16" t="str">
        <f>IF(OR($A130="",NOT(ISNUMBER($B130))),"",SUMIFS(community_cores_FS!$P$5:$P$597,community_cores_FS!$B$5:$B$597,$A130,community_cores_FS!$F$5:$F$597,"&lt;="&amp;$B130)+SUMPRODUCT((community_cores_FS!$B$5:$B$597=$A130)*(community_cores_FS!$E$5:$E$597&lt;$B130)*(community_cores_FS!$F$5:$F$597&gt;$B130)*community_cores_FS!$R$5:$R$597*($B130-community_cores_FS!$E$5:$E$597)))</f>
        <v/>
      </c>
      <c r="G130" s="16" t="str">
        <f>IF(OR($A130="",NOT(ISNUMBER($B130)),NOT(ISNUMBER($C130))),"",IFERROR(($B130-$K130)/($C130-IF($K130=0,0,SUMIFS('4. Chronology'!$C$5:$C$204,'4. Chronology'!$A$5:$A$204,$A130,'4. Chronology'!$B$5:$B$204,$K130))),""))</f>
        <v/>
      </c>
      <c r="H130" s="16" t="str">
        <f>IF(OR($A130="",NOT(ISNUMBER($F130)),NOT(ISNUMBER($C130))),"",IFERROR((($F130-IF($K130=0,0,SUMIFS('4. Chronology'!$F$5:$F$204,'4. Chronology'!$A$5:$A$204,$A130,'4. Chronology'!$B$5:$B$204,$K130)))*1000)/($C130-IF($K130=0,0,SUMIFS('4. Chronology'!$C$5:$C$204,'4. Chronology'!$A$5:$A$204,$A130,'4. Chronology'!$B$5:$B$204,$K130))),""))</f>
        <v/>
      </c>
      <c r="I130" s="16" t="str">
        <f>IF($A130="","",IF(COUNTIF('2. Core Log'!$A$5:$A$124,$A130)=0,"Core ID not in Core Log. ","")&amp;IF($E130="","No date source given — RERCA and LORCA need to know which method produced this age. ","")&amp;IF(AND(ISNUMBER($C130),$C130&lt;0),"Negative age: this horizon post-dates the coring year. Check the conversion. ","")&amp;IF(AND(ISNUMBER($G130),$G130&lt;0),"Age reversal — this horizon is younger than one above it. A mixed or disturbed profile may not be datable at all. ","")&amp;IF(AND(ISNUMBER($D130),ISNUMBER($C130),$C130&gt;0,$D130/$C130&gt;0.5),"Age uncertainty exceeds 50% of the age. Usable as an indication only. ","")&amp;IF(AND($D130="",$C130&lt;&gt;""),"No uncertainty given. Every radiometric age has one; a rate without it cannot be defended. ",""))</f>
        <v/>
      </c>
      <c r="J130" s="16">
        <f t="shared" si="0"/>
        <v>0</v>
      </c>
      <c r="K130" s="16" t="str">
        <f>IF(OR($A130="",NOT(ISNUMBER($B130))),"",SUMPRODUCT(MAX(('4. Chronology'!$A$5:$A$204=$A130)*('4. Chronology'!$B$5:$B$204&lt;$B130)*'4. Chronology'!$B$5:$B$204)))</f>
        <v/>
      </c>
    </row>
    <row r="131" spans="1:11" ht="15.75" customHeight="1">
      <c r="A131" s="14"/>
      <c r="B131" s="14"/>
      <c r="C131" s="14"/>
      <c r="D131" s="14"/>
      <c r="E131" s="14"/>
      <c r="F131" s="16" t="str">
        <f>IF(OR($A131="",NOT(ISNUMBER($B131))),"",SUMIFS(community_cores_FS!$P$5:$P$597,community_cores_FS!$B$5:$B$597,$A131,community_cores_FS!$F$5:$F$597,"&lt;="&amp;$B131)+SUMPRODUCT((community_cores_FS!$B$5:$B$597=$A131)*(community_cores_FS!$E$5:$E$597&lt;$B131)*(community_cores_FS!$F$5:$F$597&gt;$B131)*community_cores_FS!$R$5:$R$597*($B131-community_cores_FS!$E$5:$E$597)))</f>
        <v/>
      </c>
      <c r="G131" s="16" t="str">
        <f>IF(OR($A131="",NOT(ISNUMBER($B131)),NOT(ISNUMBER($C131))),"",IFERROR(($B131-$K131)/($C131-IF($K131=0,0,SUMIFS('4. Chronology'!$C$5:$C$204,'4. Chronology'!$A$5:$A$204,$A131,'4. Chronology'!$B$5:$B$204,$K131))),""))</f>
        <v/>
      </c>
      <c r="H131" s="16" t="str">
        <f>IF(OR($A131="",NOT(ISNUMBER($F131)),NOT(ISNUMBER($C131))),"",IFERROR((($F131-IF($K131=0,0,SUMIFS('4. Chronology'!$F$5:$F$204,'4. Chronology'!$A$5:$A$204,$A131,'4. Chronology'!$B$5:$B$204,$K131)))*1000)/($C131-IF($K131=0,0,SUMIFS('4. Chronology'!$C$5:$C$204,'4. Chronology'!$A$5:$A$204,$A131,'4. Chronology'!$B$5:$B$204,$K131))),""))</f>
        <v/>
      </c>
      <c r="I131" s="16" t="str">
        <f>IF($A131="","",IF(COUNTIF('2. Core Log'!$A$5:$A$124,$A131)=0,"Core ID not in Core Log. ","")&amp;IF($E131="","No date source given — RERCA and LORCA need to know which method produced this age. ","")&amp;IF(AND(ISNUMBER($C131),$C131&lt;0),"Negative age: this horizon post-dates the coring year. Check the conversion. ","")&amp;IF(AND(ISNUMBER($G131),$G131&lt;0),"Age reversal — this horizon is younger than one above it. A mixed or disturbed profile may not be datable at all. ","")&amp;IF(AND(ISNUMBER($D131),ISNUMBER($C131),$C131&gt;0,$D131/$C131&gt;0.5),"Age uncertainty exceeds 50% of the age. Usable as an indication only. ","")&amp;IF(AND($D131="",$C131&lt;&gt;""),"No uncertainty given. Every radiometric age has one; a rate without it cannot be defended. ",""))</f>
        <v/>
      </c>
      <c r="J131" s="16">
        <f t="shared" si="0"/>
        <v>0</v>
      </c>
      <c r="K131" s="16" t="str">
        <f>IF(OR($A131="",NOT(ISNUMBER($B131))),"",SUMPRODUCT(MAX(('4. Chronology'!$A$5:$A$204=$A131)*('4. Chronology'!$B$5:$B$204&lt;$B131)*'4. Chronology'!$B$5:$B$204)))</f>
        <v/>
      </c>
    </row>
    <row r="132" spans="1:11" ht="15.75" customHeight="1">
      <c r="A132" s="14"/>
      <c r="B132" s="14"/>
      <c r="C132" s="14"/>
      <c r="D132" s="14"/>
      <c r="E132" s="14"/>
      <c r="F132" s="16" t="str">
        <f>IF(OR($A132="",NOT(ISNUMBER($B132))),"",SUMIFS(community_cores_FS!$P$5:$P$597,community_cores_FS!$B$5:$B$597,$A132,community_cores_FS!$F$5:$F$597,"&lt;="&amp;$B132)+SUMPRODUCT((community_cores_FS!$B$5:$B$597=$A132)*(community_cores_FS!$E$5:$E$597&lt;$B132)*(community_cores_FS!$F$5:$F$597&gt;$B132)*community_cores_FS!$R$5:$R$597*($B132-community_cores_FS!$E$5:$E$597)))</f>
        <v/>
      </c>
      <c r="G132" s="16" t="str">
        <f>IF(OR($A132="",NOT(ISNUMBER($B132)),NOT(ISNUMBER($C132))),"",IFERROR(($B132-$K132)/($C132-IF($K132=0,0,SUMIFS('4. Chronology'!$C$5:$C$204,'4. Chronology'!$A$5:$A$204,$A132,'4. Chronology'!$B$5:$B$204,$K132))),""))</f>
        <v/>
      </c>
      <c r="H132" s="16" t="str">
        <f>IF(OR($A132="",NOT(ISNUMBER($F132)),NOT(ISNUMBER($C132))),"",IFERROR((($F132-IF($K132=0,0,SUMIFS('4. Chronology'!$F$5:$F$204,'4. Chronology'!$A$5:$A$204,$A132,'4. Chronology'!$B$5:$B$204,$K132)))*1000)/($C132-IF($K132=0,0,SUMIFS('4. Chronology'!$C$5:$C$204,'4. Chronology'!$A$5:$A$204,$A132,'4. Chronology'!$B$5:$B$204,$K132))),""))</f>
        <v/>
      </c>
      <c r="I132" s="16" t="str">
        <f>IF($A132="","",IF(COUNTIF('2. Core Log'!$A$5:$A$124,$A132)=0,"Core ID not in Core Log. ","")&amp;IF($E132="","No date source given — RERCA and LORCA need to know which method produced this age. ","")&amp;IF(AND(ISNUMBER($C132),$C132&lt;0),"Negative age: this horizon post-dates the coring year. Check the conversion. ","")&amp;IF(AND(ISNUMBER($G132),$G132&lt;0),"Age reversal — this horizon is younger than one above it. A mixed or disturbed profile may not be datable at all. ","")&amp;IF(AND(ISNUMBER($D132),ISNUMBER($C132),$C132&gt;0,$D132/$C132&gt;0.5),"Age uncertainty exceeds 50% of the age. Usable as an indication only. ","")&amp;IF(AND($D132="",$C132&lt;&gt;""),"No uncertainty given. Every radiometric age has one; a rate without it cannot be defended. ",""))</f>
        <v/>
      </c>
      <c r="J132" s="16">
        <f t="shared" si="0"/>
        <v>0</v>
      </c>
      <c r="K132" s="16" t="str">
        <f>IF(OR($A132="",NOT(ISNUMBER($B132))),"",SUMPRODUCT(MAX(('4. Chronology'!$A$5:$A$204=$A132)*('4. Chronology'!$B$5:$B$204&lt;$B132)*'4. Chronology'!$B$5:$B$204)))</f>
        <v/>
      </c>
    </row>
    <row r="133" spans="1:11" ht="15.75" customHeight="1">
      <c r="A133" s="14"/>
      <c r="B133" s="14"/>
      <c r="C133" s="14"/>
      <c r="D133" s="14"/>
      <c r="E133" s="14"/>
      <c r="F133" s="16" t="str">
        <f>IF(OR($A133="",NOT(ISNUMBER($B133))),"",SUMIFS(community_cores_FS!$P$5:$P$597,community_cores_FS!$B$5:$B$597,$A133,community_cores_FS!$F$5:$F$597,"&lt;="&amp;$B133)+SUMPRODUCT((community_cores_FS!$B$5:$B$597=$A133)*(community_cores_FS!$E$5:$E$597&lt;$B133)*(community_cores_FS!$F$5:$F$597&gt;$B133)*community_cores_FS!$R$5:$R$597*($B133-community_cores_FS!$E$5:$E$597)))</f>
        <v/>
      </c>
      <c r="G133" s="16" t="str">
        <f>IF(OR($A133="",NOT(ISNUMBER($B133)),NOT(ISNUMBER($C133))),"",IFERROR(($B133-$K133)/($C133-IF($K133=0,0,SUMIFS('4. Chronology'!$C$5:$C$204,'4. Chronology'!$A$5:$A$204,$A133,'4. Chronology'!$B$5:$B$204,$K133))),""))</f>
        <v/>
      </c>
      <c r="H133" s="16" t="str">
        <f>IF(OR($A133="",NOT(ISNUMBER($F133)),NOT(ISNUMBER($C133))),"",IFERROR((($F133-IF($K133=0,0,SUMIFS('4. Chronology'!$F$5:$F$204,'4. Chronology'!$A$5:$A$204,$A133,'4. Chronology'!$B$5:$B$204,$K133)))*1000)/($C133-IF($K133=0,0,SUMIFS('4. Chronology'!$C$5:$C$204,'4. Chronology'!$A$5:$A$204,$A133,'4. Chronology'!$B$5:$B$204,$K133))),""))</f>
        <v/>
      </c>
      <c r="I133" s="16" t="str">
        <f>IF($A133="","",IF(COUNTIF('2. Core Log'!$A$5:$A$124,$A133)=0,"Core ID not in Core Log. ","")&amp;IF($E133="","No date source given — RERCA and LORCA need to know which method produced this age. ","")&amp;IF(AND(ISNUMBER($C133),$C133&lt;0),"Negative age: this horizon post-dates the coring year. Check the conversion. ","")&amp;IF(AND(ISNUMBER($G133),$G133&lt;0),"Age reversal — this horizon is younger than one above it. A mixed or disturbed profile may not be datable at all. ","")&amp;IF(AND(ISNUMBER($D133),ISNUMBER($C133),$C133&gt;0,$D133/$C133&gt;0.5),"Age uncertainty exceeds 50% of the age. Usable as an indication only. ","")&amp;IF(AND($D133="",$C133&lt;&gt;""),"No uncertainty given. Every radiometric age has one; a rate without it cannot be defended. ",""))</f>
        <v/>
      </c>
      <c r="J133" s="16">
        <f t="shared" si="0"/>
        <v>0</v>
      </c>
      <c r="K133" s="16" t="str">
        <f>IF(OR($A133="",NOT(ISNUMBER($B133))),"",SUMPRODUCT(MAX(('4. Chronology'!$A$5:$A$204=$A133)*('4. Chronology'!$B$5:$B$204&lt;$B133)*'4. Chronology'!$B$5:$B$204)))</f>
        <v/>
      </c>
    </row>
    <row r="134" spans="1:11" ht="15.75" customHeight="1">
      <c r="A134" s="14"/>
      <c r="B134" s="14"/>
      <c r="C134" s="14"/>
      <c r="D134" s="14"/>
      <c r="E134" s="14"/>
      <c r="F134" s="16" t="str">
        <f>IF(OR($A134="",NOT(ISNUMBER($B134))),"",SUMIFS(community_cores_FS!$P$5:$P$597,community_cores_FS!$B$5:$B$597,$A134,community_cores_FS!$F$5:$F$597,"&lt;="&amp;$B134)+SUMPRODUCT((community_cores_FS!$B$5:$B$597=$A134)*(community_cores_FS!$E$5:$E$597&lt;$B134)*(community_cores_FS!$F$5:$F$597&gt;$B134)*community_cores_FS!$R$5:$R$597*($B134-community_cores_FS!$E$5:$E$597)))</f>
        <v/>
      </c>
      <c r="G134" s="16" t="str">
        <f>IF(OR($A134="",NOT(ISNUMBER($B134)),NOT(ISNUMBER($C134))),"",IFERROR(($B134-$K134)/($C134-IF($K134=0,0,SUMIFS('4. Chronology'!$C$5:$C$204,'4. Chronology'!$A$5:$A$204,$A134,'4. Chronology'!$B$5:$B$204,$K134))),""))</f>
        <v/>
      </c>
      <c r="H134" s="16" t="str">
        <f>IF(OR($A134="",NOT(ISNUMBER($F134)),NOT(ISNUMBER($C134))),"",IFERROR((($F134-IF($K134=0,0,SUMIFS('4. Chronology'!$F$5:$F$204,'4. Chronology'!$A$5:$A$204,$A134,'4. Chronology'!$B$5:$B$204,$K134)))*1000)/($C134-IF($K134=0,0,SUMIFS('4. Chronology'!$C$5:$C$204,'4. Chronology'!$A$5:$A$204,$A134,'4. Chronology'!$B$5:$B$204,$K134))),""))</f>
        <v/>
      </c>
      <c r="I134" s="16" t="str">
        <f>IF($A134="","",IF(COUNTIF('2. Core Log'!$A$5:$A$124,$A134)=0,"Core ID not in Core Log. ","")&amp;IF($E134="","No date source given — RERCA and LORCA need to know which method produced this age. ","")&amp;IF(AND(ISNUMBER($C134),$C134&lt;0),"Negative age: this horizon post-dates the coring year. Check the conversion. ","")&amp;IF(AND(ISNUMBER($G134),$G134&lt;0),"Age reversal — this horizon is younger than one above it. A mixed or disturbed profile may not be datable at all. ","")&amp;IF(AND(ISNUMBER($D134),ISNUMBER($C134),$C134&gt;0,$D134/$C134&gt;0.5),"Age uncertainty exceeds 50% of the age. Usable as an indication only. ","")&amp;IF(AND($D134="",$C134&lt;&gt;""),"No uncertainty given. Every radiometric age has one; a rate without it cannot be defended. ",""))</f>
        <v/>
      </c>
      <c r="J134" s="16">
        <f t="shared" si="0"/>
        <v>0</v>
      </c>
      <c r="K134" s="16" t="str">
        <f>IF(OR($A134="",NOT(ISNUMBER($B134))),"",SUMPRODUCT(MAX(('4. Chronology'!$A$5:$A$204=$A134)*('4. Chronology'!$B$5:$B$204&lt;$B134)*'4. Chronology'!$B$5:$B$204)))</f>
        <v/>
      </c>
    </row>
    <row r="135" spans="1:11" ht="15.75" customHeight="1">
      <c r="A135" s="14"/>
      <c r="B135" s="14"/>
      <c r="C135" s="14"/>
      <c r="D135" s="14"/>
      <c r="E135" s="14"/>
      <c r="F135" s="16" t="str">
        <f>IF(OR($A135="",NOT(ISNUMBER($B135))),"",SUMIFS(community_cores_FS!$P$5:$P$597,community_cores_FS!$B$5:$B$597,$A135,community_cores_FS!$F$5:$F$597,"&lt;="&amp;$B135)+SUMPRODUCT((community_cores_FS!$B$5:$B$597=$A135)*(community_cores_FS!$E$5:$E$597&lt;$B135)*(community_cores_FS!$F$5:$F$597&gt;$B135)*community_cores_FS!$R$5:$R$597*($B135-community_cores_FS!$E$5:$E$597)))</f>
        <v/>
      </c>
      <c r="G135" s="16" t="str">
        <f>IF(OR($A135="",NOT(ISNUMBER($B135)),NOT(ISNUMBER($C135))),"",IFERROR(($B135-$K135)/($C135-IF($K135=0,0,SUMIFS('4. Chronology'!$C$5:$C$204,'4. Chronology'!$A$5:$A$204,$A135,'4. Chronology'!$B$5:$B$204,$K135))),""))</f>
        <v/>
      </c>
      <c r="H135" s="16" t="str">
        <f>IF(OR($A135="",NOT(ISNUMBER($F135)),NOT(ISNUMBER($C135))),"",IFERROR((($F135-IF($K135=0,0,SUMIFS('4. Chronology'!$F$5:$F$204,'4. Chronology'!$A$5:$A$204,$A135,'4. Chronology'!$B$5:$B$204,$K135)))*1000)/($C135-IF($K135=0,0,SUMIFS('4. Chronology'!$C$5:$C$204,'4. Chronology'!$A$5:$A$204,$A135,'4. Chronology'!$B$5:$B$204,$K135))),""))</f>
        <v/>
      </c>
      <c r="I135" s="16" t="str">
        <f>IF($A135="","",IF(COUNTIF('2. Core Log'!$A$5:$A$124,$A135)=0,"Core ID not in Core Log. ","")&amp;IF($E135="","No date source given — RERCA and LORCA need to know which method produced this age. ","")&amp;IF(AND(ISNUMBER($C135),$C135&lt;0),"Negative age: this horizon post-dates the coring year. Check the conversion. ","")&amp;IF(AND(ISNUMBER($G135),$G135&lt;0),"Age reversal — this horizon is younger than one above it. A mixed or disturbed profile may not be datable at all. ","")&amp;IF(AND(ISNUMBER($D135),ISNUMBER($C135),$C135&gt;0,$D135/$C135&gt;0.5),"Age uncertainty exceeds 50% of the age. Usable as an indication only. ","")&amp;IF(AND($D135="",$C135&lt;&gt;""),"No uncertainty given. Every radiometric age has one; a rate without it cannot be defended. ",""))</f>
        <v/>
      </c>
      <c r="J135" s="16">
        <f t="shared" si="0"/>
        <v>0</v>
      </c>
      <c r="K135" s="16" t="str">
        <f>IF(OR($A135="",NOT(ISNUMBER($B135))),"",SUMPRODUCT(MAX(('4. Chronology'!$A$5:$A$204=$A135)*('4. Chronology'!$B$5:$B$204&lt;$B135)*'4. Chronology'!$B$5:$B$204)))</f>
        <v/>
      </c>
    </row>
    <row r="136" spans="1:11" ht="15.75" customHeight="1">
      <c r="A136" s="14"/>
      <c r="B136" s="14"/>
      <c r="C136" s="14"/>
      <c r="D136" s="14"/>
      <c r="E136" s="14"/>
      <c r="F136" s="16" t="str">
        <f>IF(OR($A136="",NOT(ISNUMBER($B136))),"",SUMIFS(community_cores_FS!$P$5:$P$597,community_cores_FS!$B$5:$B$597,$A136,community_cores_FS!$F$5:$F$597,"&lt;="&amp;$B136)+SUMPRODUCT((community_cores_FS!$B$5:$B$597=$A136)*(community_cores_FS!$E$5:$E$597&lt;$B136)*(community_cores_FS!$F$5:$F$597&gt;$B136)*community_cores_FS!$R$5:$R$597*($B136-community_cores_FS!$E$5:$E$597)))</f>
        <v/>
      </c>
      <c r="G136" s="16" t="str">
        <f>IF(OR($A136="",NOT(ISNUMBER($B136)),NOT(ISNUMBER($C136))),"",IFERROR(($B136-$K136)/($C136-IF($K136=0,0,SUMIFS('4. Chronology'!$C$5:$C$204,'4. Chronology'!$A$5:$A$204,$A136,'4. Chronology'!$B$5:$B$204,$K136))),""))</f>
        <v/>
      </c>
      <c r="H136" s="16" t="str">
        <f>IF(OR($A136="",NOT(ISNUMBER($F136)),NOT(ISNUMBER($C136))),"",IFERROR((($F136-IF($K136=0,0,SUMIFS('4. Chronology'!$F$5:$F$204,'4. Chronology'!$A$5:$A$204,$A136,'4. Chronology'!$B$5:$B$204,$K136)))*1000)/($C136-IF($K136=0,0,SUMIFS('4. Chronology'!$C$5:$C$204,'4. Chronology'!$A$5:$A$204,$A136,'4. Chronology'!$B$5:$B$204,$K136))),""))</f>
        <v/>
      </c>
      <c r="I136" s="16" t="str">
        <f>IF($A136="","",IF(COUNTIF('2. Core Log'!$A$5:$A$124,$A136)=0,"Core ID not in Core Log. ","")&amp;IF($E136="","No date source given — RERCA and LORCA need to know which method produced this age. ","")&amp;IF(AND(ISNUMBER($C136),$C136&lt;0),"Negative age: this horizon post-dates the coring year. Check the conversion. ","")&amp;IF(AND(ISNUMBER($G136),$G136&lt;0),"Age reversal — this horizon is younger than one above it. A mixed or disturbed profile may not be datable at all. ","")&amp;IF(AND(ISNUMBER($D136),ISNUMBER($C136),$C136&gt;0,$D136/$C136&gt;0.5),"Age uncertainty exceeds 50% of the age. Usable as an indication only. ","")&amp;IF(AND($D136="",$C136&lt;&gt;""),"No uncertainty given. Every radiometric age has one; a rate without it cannot be defended. ",""))</f>
        <v/>
      </c>
      <c r="J136" s="16">
        <f t="shared" si="0"/>
        <v>0</v>
      </c>
      <c r="K136" s="16" t="str">
        <f>IF(OR($A136="",NOT(ISNUMBER($B136))),"",SUMPRODUCT(MAX(('4. Chronology'!$A$5:$A$204=$A136)*('4. Chronology'!$B$5:$B$204&lt;$B136)*'4. Chronology'!$B$5:$B$204)))</f>
        <v/>
      </c>
    </row>
    <row r="137" spans="1:11" ht="15.75" customHeight="1">
      <c r="A137" s="14"/>
      <c r="B137" s="14"/>
      <c r="C137" s="14"/>
      <c r="D137" s="14"/>
      <c r="E137" s="14"/>
      <c r="F137" s="16" t="str">
        <f>IF(OR($A137="",NOT(ISNUMBER($B137))),"",SUMIFS(community_cores_FS!$P$5:$P$597,community_cores_FS!$B$5:$B$597,$A137,community_cores_FS!$F$5:$F$597,"&lt;="&amp;$B137)+SUMPRODUCT((community_cores_FS!$B$5:$B$597=$A137)*(community_cores_FS!$E$5:$E$597&lt;$B137)*(community_cores_FS!$F$5:$F$597&gt;$B137)*community_cores_FS!$R$5:$R$597*($B137-community_cores_FS!$E$5:$E$597)))</f>
        <v/>
      </c>
      <c r="G137" s="16" t="str">
        <f>IF(OR($A137="",NOT(ISNUMBER($B137)),NOT(ISNUMBER($C137))),"",IFERROR(($B137-$K137)/($C137-IF($K137=0,0,SUMIFS('4. Chronology'!$C$5:$C$204,'4. Chronology'!$A$5:$A$204,$A137,'4. Chronology'!$B$5:$B$204,$K137))),""))</f>
        <v/>
      </c>
      <c r="H137" s="16" t="str">
        <f>IF(OR($A137="",NOT(ISNUMBER($F137)),NOT(ISNUMBER($C137))),"",IFERROR((($F137-IF($K137=0,0,SUMIFS('4. Chronology'!$F$5:$F$204,'4. Chronology'!$A$5:$A$204,$A137,'4. Chronology'!$B$5:$B$204,$K137)))*1000)/($C137-IF($K137=0,0,SUMIFS('4. Chronology'!$C$5:$C$204,'4. Chronology'!$A$5:$A$204,$A137,'4. Chronology'!$B$5:$B$204,$K137))),""))</f>
        <v/>
      </c>
      <c r="I137" s="16" t="str">
        <f>IF($A137="","",IF(COUNTIF('2. Core Log'!$A$5:$A$124,$A137)=0,"Core ID not in Core Log. ","")&amp;IF($E137="","No date source given — RERCA and LORCA need to know which method produced this age. ","")&amp;IF(AND(ISNUMBER($C137),$C137&lt;0),"Negative age: this horizon post-dates the coring year. Check the conversion. ","")&amp;IF(AND(ISNUMBER($G137),$G137&lt;0),"Age reversal — this horizon is younger than one above it. A mixed or disturbed profile may not be datable at all. ","")&amp;IF(AND(ISNUMBER($D137),ISNUMBER($C137),$C137&gt;0,$D137/$C137&gt;0.5),"Age uncertainty exceeds 50% of the age. Usable as an indication only. ","")&amp;IF(AND($D137="",$C137&lt;&gt;""),"No uncertainty given. Every radiometric age has one; a rate without it cannot be defended. ",""))</f>
        <v/>
      </c>
      <c r="J137" s="16">
        <f t="shared" si="0"/>
        <v>0</v>
      </c>
      <c r="K137" s="16" t="str">
        <f>IF(OR($A137="",NOT(ISNUMBER($B137))),"",SUMPRODUCT(MAX(('4. Chronology'!$A$5:$A$204=$A137)*('4. Chronology'!$B$5:$B$204&lt;$B137)*'4. Chronology'!$B$5:$B$204)))</f>
        <v/>
      </c>
    </row>
    <row r="138" spans="1:11" ht="15.75" customHeight="1">
      <c r="A138" s="14"/>
      <c r="B138" s="14"/>
      <c r="C138" s="14"/>
      <c r="D138" s="14"/>
      <c r="E138" s="14"/>
      <c r="F138" s="16" t="str">
        <f>IF(OR($A138="",NOT(ISNUMBER($B138))),"",SUMIFS(community_cores_FS!$P$5:$P$597,community_cores_FS!$B$5:$B$597,$A138,community_cores_FS!$F$5:$F$597,"&lt;="&amp;$B138)+SUMPRODUCT((community_cores_FS!$B$5:$B$597=$A138)*(community_cores_FS!$E$5:$E$597&lt;$B138)*(community_cores_FS!$F$5:$F$597&gt;$B138)*community_cores_FS!$R$5:$R$597*($B138-community_cores_FS!$E$5:$E$597)))</f>
        <v/>
      </c>
      <c r="G138" s="16" t="str">
        <f>IF(OR($A138="",NOT(ISNUMBER($B138)),NOT(ISNUMBER($C138))),"",IFERROR(($B138-$K138)/($C138-IF($K138=0,0,SUMIFS('4. Chronology'!$C$5:$C$204,'4. Chronology'!$A$5:$A$204,$A138,'4. Chronology'!$B$5:$B$204,$K138))),""))</f>
        <v/>
      </c>
      <c r="H138" s="16" t="str">
        <f>IF(OR($A138="",NOT(ISNUMBER($F138)),NOT(ISNUMBER($C138))),"",IFERROR((($F138-IF($K138=0,0,SUMIFS('4. Chronology'!$F$5:$F$204,'4. Chronology'!$A$5:$A$204,$A138,'4. Chronology'!$B$5:$B$204,$K138)))*1000)/($C138-IF($K138=0,0,SUMIFS('4. Chronology'!$C$5:$C$204,'4. Chronology'!$A$5:$A$204,$A138,'4. Chronology'!$B$5:$B$204,$K138))),""))</f>
        <v/>
      </c>
      <c r="I138" s="16" t="str">
        <f>IF($A138="","",IF(COUNTIF('2. Core Log'!$A$5:$A$124,$A138)=0,"Core ID not in Core Log. ","")&amp;IF($E138="","No date source given — RERCA and LORCA need to know which method produced this age. ","")&amp;IF(AND(ISNUMBER($C138),$C138&lt;0),"Negative age: this horizon post-dates the coring year. Check the conversion. ","")&amp;IF(AND(ISNUMBER($G138),$G138&lt;0),"Age reversal — this horizon is younger than one above it. A mixed or disturbed profile may not be datable at all. ","")&amp;IF(AND(ISNUMBER($D138),ISNUMBER($C138),$C138&gt;0,$D138/$C138&gt;0.5),"Age uncertainty exceeds 50% of the age. Usable as an indication only. ","")&amp;IF(AND($D138="",$C138&lt;&gt;""),"No uncertainty given. Every radiometric age has one; a rate without it cannot be defended. ",""))</f>
        <v/>
      </c>
      <c r="J138" s="16">
        <f t="shared" si="0"/>
        <v>0</v>
      </c>
      <c r="K138" s="16" t="str">
        <f>IF(OR($A138="",NOT(ISNUMBER($B138))),"",SUMPRODUCT(MAX(('4. Chronology'!$A$5:$A$204=$A138)*('4. Chronology'!$B$5:$B$204&lt;$B138)*'4. Chronology'!$B$5:$B$204)))</f>
        <v/>
      </c>
    </row>
    <row r="139" spans="1:11" ht="15.75" customHeight="1">
      <c r="A139" s="14"/>
      <c r="B139" s="14"/>
      <c r="C139" s="14"/>
      <c r="D139" s="14"/>
      <c r="E139" s="14"/>
      <c r="F139" s="16" t="str">
        <f>IF(OR($A139="",NOT(ISNUMBER($B139))),"",SUMIFS(community_cores_FS!$P$5:$P$597,community_cores_FS!$B$5:$B$597,$A139,community_cores_FS!$F$5:$F$597,"&lt;="&amp;$B139)+SUMPRODUCT((community_cores_FS!$B$5:$B$597=$A139)*(community_cores_FS!$E$5:$E$597&lt;$B139)*(community_cores_FS!$F$5:$F$597&gt;$B139)*community_cores_FS!$R$5:$R$597*($B139-community_cores_FS!$E$5:$E$597)))</f>
        <v/>
      </c>
      <c r="G139" s="16" t="str">
        <f>IF(OR($A139="",NOT(ISNUMBER($B139)),NOT(ISNUMBER($C139))),"",IFERROR(($B139-$K139)/($C139-IF($K139=0,0,SUMIFS('4. Chronology'!$C$5:$C$204,'4. Chronology'!$A$5:$A$204,$A139,'4. Chronology'!$B$5:$B$204,$K139))),""))</f>
        <v/>
      </c>
      <c r="H139" s="16" t="str">
        <f>IF(OR($A139="",NOT(ISNUMBER($F139)),NOT(ISNUMBER($C139))),"",IFERROR((($F139-IF($K139=0,0,SUMIFS('4. Chronology'!$F$5:$F$204,'4. Chronology'!$A$5:$A$204,$A139,'4. Chronology'!$B$5:$B$204,$K139)))*1000)/($C139-IF($K139=0,0,SUMIFS('4. Chronology'!$C$5:$C$204,'4. Chronology'!$A$5:$A$204,$A139,'4. Chronology'!$B$5:$B$204,$K139))),""))</f>
        <v/>
      </c>
      <c r="I139" s="16" t="str">
        <f>IF($A139="","",IF(COUNTIF('2. Core Log'!$A$5:$A$124,$A139)=0,"Core ID not in Core Log. ","")&amp;IF($E139="","No date source given — RERCA and LORCA need to know which method produced this age. ","")&amp;IF(AND(ISNUMBER($C139),$C139&lt;0),"Negative age: this horizon post-dates the coring year. Check the conversion. ","")&amp;IF(AND(ISNUMBER($G139),$G139&lt;0),"Age reversal — this horizon is younger than one above it. A mixed or disturbed profile may not be datable at all. ","")&amp;IF(AND(ISNUMBER($D139),ISNUMBER($C139),$C139&gt;0,$D139/$C139&gt;0.5),"Age uncertainty exceeds 50% of the age. Usable as an indication only. ","")&amp;IF(AND($D139="",$C139&lt;&gt;""),"No uncertainty given. Every radiometric age has one; a rate without it cannot be defended. ",""))</f>
        <v/>
      </c>
      <c r="J139" s="16">
        <f t="shared" si="0"/>
        <v>0</v>
      </c>
      <c r="K139" s="16" t="str">
        <f>IF(OR($A139="",NOT(ISNUMBER($B139))),"",SUMPRODUCT(MAX(('4. Chronology'!$A$5:$A$204=$A139)*('4. Chronology'!$B$5:$B$204&lt;$B139)*'4. Chronology'!$B$5:$B$204)))</f>
        <v/>
      </c>
    </row>
    <row r="140" spans="1:11" ht="15.75" customHeight="1">
      <c r="A140" s="14"/>
      <c r="B140" s="14"/>
      <c r="C140" s="14"/>
      <c r="D140" s="14"/>
      <c r="E140" s="14"/>
      <c r="F140" s="16" t="str">
        <f>IF(OR($A140="",NOT(ISNUMBER($B140))),"",SUMIFS(community_cores_FS!$P$5:$P$597,community_cores_FS!$B$5:$B$597,$A140,community_cores_FS!$F$5:$F$597,"&lt;="&amp;$B140)+SUMPRODUCT((community_cores_FS!$B$5:$B$597=$A140)*(community_cores_FS!$E$5:$E$597&lt;$B140)*(community_cores_FS!$F$5:$F$597&gt;$B140)*community_cores_FS!$R$5:$R$597*($B140-community_cores_FS!$E$5:$E$597)))</f>
        <v/>
      </c>
      <c r="G140" s="16" t="str">
        <f>IF(OR($A140="",NOT(ISNUMBER($B140)),NOT(ISNUMBER($C140))),"",IFERROR(($B140-$K140)/($C140-IF($K140=0,0,SUMIFS('4. Chronology'!$C$5:$C$204,'4. Chronology'!$A$5:$A$204,$A140,'4. Chronology'!$B$5:$B$204,$K140))),""))</f>
        <v/>
      </c>
      <c r="H140" s="16" t="str">
        <f>IF(OR($A140="",NOT(ISNUMBER($F140)),NOT(ISNUMBER($C140))),"",IFERROR((($F140-IF($K140=0,0,SUMIFS('4. Chronology'!$F$5:$F$204,'4. Chronology'!$A$5:$A$204,$A140,'4. Chronology'!$B$5:$B$204,$K140)))*1000)/($C140-IF($K140=0,0,SUMIFS('4. Chronology'!$C$5:$C$204,'4. Chronology'!$A$5:$A$204,$A140,'4. Chronology'!$B$5:$B$204,$K140))),""))</f>
        <v/>
      </c>
      <c r="I140" s="16" t="str">
        <f>IF($A140="","",IF(COUNTIF('2. Core Log'!$A$5:$A$124,$A140)=0,"Core ID not in Core Log. ","")&amp;IF($E140="","No date source given — RERCA and LORCA need to know which method produced this age. ","")&amp;IF(AND(ISNUMBER($C140),$C140&lt;0),"Negative age: this horizon post-dates the coring year. Check the conversion. ","")&amp;IF(AND(ISNUMBER($G140),$G140&lt;0),"Age reversal — this horizon is younger than one above it. A mixed or disturbed profile may not be datable at all. ","")&amp;IF(AND(ISNUMBER($D140),ISNUMBER($C140),$C140&gt;0,$D140/$C140&gt;0.5),"Age uncertainty exceeds 50% of the age. Usable as an indication only. ","")&amp;IF(AND($D140="",$C140&lt;&gt;""),"No uncertainty given. Every radiometric age has one; a rate without it cannot be defended. ",""))</f>
        <v/>
      </c>
      <c r="J140" s="16">
        <f t="shared" si="0"/>
        <v>0</v>
      </c>
      <c r="K140" s="16" t="str">
        <f>IF(OR($A140="",NOT(ISNUMBER($B140))),"",SUMPRODUCT(MAX(('4. Chronology'!$A$5:$A$204=$A140)*('4. Chronology'!$B$5:$B$204&lt;$B140)*'4. Chronology'!$B$5:$B$204)))</f>
        <v/>
      </c>
    </row>
    <row r="141" spans="1:11" ht="15.75" customHeight="1">
      <c r="A141" s="14"/>
      <c r="B141" s="14"/>
      <c r="C141" s="14"/>
      <c r="D141" s="14"/>
      <c r="E141" s="14"/>
      <c r="F141" s="16" t="str">
        <f>IF(OR($A141="",NOT(ISNUMBER($B141))),"",SUMIFS(community_cores_FS!$P$5:$P$597,community_cores_FS!$B$5:$B$597,$A141,community_cores_FS!$F$5:$F$597,"&lt;="&amp;$B141)+SUMPRODUCT((community_cores_FS!$B$5:$B$597=$A141)*(community_cores_FS!$E$5:$E$597&lt;$B141)*(community_cores_FS!$F$5:$F$597&gt;$B141)*community_cores_FS!$R$5:$R$597*($B141-community_cores_FS!$E$5:$E$597)))</f>
        <v/>
      </c>
      <c r="G141" s="16" t="str">
        <f>IF(OR($A141="",NOT(ISNUMBER($B141)),NOT(ISNUMBER($C141))),"",IFERROR(($B141-$K141)/($C141-IF($K141=0,0,SUMIFS('4. Chronology'!$C$5:$C$204,'4. Chronology'!$A$5:$A$204,$A141,'4. Chronology'!$B$5:$B$204,$K141))),""))</f>
        <v/>
      </c>
      <c r="H141" s="16" t="str">
        <f>IF(OR($A141="",NOT(ISNUMBER($F141)),NOT(ISNUMBER($C141))),"",IFERROR((($F141-IF($K141=0,0,SUMIFS('4. Chronology'!$F$5:$F$204,'4. Chronology'!$A$5:$A$204,$A141,'4. Chronology'!$B$5:$B$204,$K141)))*1000)/($C141-IF($K141=0,0,SUMIFS('4. Chronology'!$C$5:$C$204,'4. Chronology'!$A$5:$A$204,$A141,'4. Chronology'!$B$5:$B$204,$K141))),""))</f>
        <v/>
      </c>
      <c r="I141" s="16" t="str">
        <f>IF($A141="","",IF(COUNTIF('2. Core Log'!$A$5:$A$124,$A141)=0,"Core ID not in Core Log. ","")&amp;IF($E141="","No date source given — RERCA and LORCA need to know which method produced this age. ","")&amp;IF(AND(ISNUMBER($C141),$C141&lt;0),"Negative age: this horizon post-dates the coring year. Check the conversion. ","")&amp;IF(AND(ISNUMBER($G141),$G141&lt;0),"Age reversal — this horizon is younger than one above it. A mixed or disturbed profile may not be datable at all. ","")&amp;IF(AND(ISNUMBER($D141),ISNUMBER($C141),$C141&gt;0,$D141/$C141&gt;0.5),"Age uncertainty exceeds 50% of the age. Usable as an indication only. ","")&amp;IF(AND($D141="",$C141&lt;&gt;""),"No uncertainty given. Every radiometric age has one; a rate without it cannot be defended. ",""))</f>
        <v/>
      </c>
      <c r="J141" s="16">
        <f t="shared" si="0"/>
        <v>0</v>
      </c>
      <c r="K141" s="16" t="str">
        <f>IF(OR($A141="",NOT(ISNUMBER($B141))),"",SUMPRODUCT(MAX(('4. Chronology'!$A$5:$A$204=$A141)*('4. Chronology'!$B$5:$B$204&lt;$B141)*'4. Chronology'!$B$5:$B$204)))</f>
        <v/>
      </c>
    </row>
    <row r="142" spans="1:11" ht="15.75" customHeight="1">
      <c r="A142" s="14"/>
      <c r="B142" s="14"/>
      <c r="C142" s="14"/>
      <c r="D142" s="14"/>
      <c r="E142" s="14"/>
      <c r="F142" s="16" t="str">
        <f>IF(OR($A142="",NOT(ISNUMBER($B142))),"",SUMIFS(community_cores_FS!$P$5:$P$597,community_cores_FS!$B$5:$B$597,$A142,community_cores_FS!$F$5:$F$597,"&lt;="&amp;$B142)+SUMPRODUCT((community_cores_FS!$B$5:$B$597=$A142)*(community_cores_FS!$E$5:$E$597&lt;$B142)*(community_cores_FS!$F$5:$F$597&gt;$B142)*community_cores_FS!$R$5:$R$597*($B142-community_cores_FS!$E$5:$E$597)))</f>
        <v/>
      </c>
      <c r="G142" s="16" t="str">
        <f>IF(OR($A142="",NOT(ISNUMBER($B142)),NOT(ISNUMBER($C142))),"",IFERROR(($B142-$K142)/($C142-IF($K142=0,0,SUMIFS('4. Chronology'!$C$5:$C$204,'4. Chronology'!$A$5:$A$204,$A142,'4. Chronology'!$B$5:$B$204,$K142))),""))</f>
        <v/>
      </c>
      <c r="H142" s="16" t="str">
        <f>IF(OR($A142="",NOT(ISNUMBER($F142)),NOT(ISNUMBER($C142))),"",IFERROR((($F142-IF($K142=0,0,SUMIFS('4. Chronology'!$F$5:$F$204,'4. Chronology'!$A$5:$A$204,$A142,'4. Chronology'!$B$5:$B$204,$K142)))*1000)/($C142-IF($K142=0,0,SUMIFS('4. Chronology'!$C$5:$C$204,'4. Chronology'!$A$5:$A$204,$A142,'4. Chronology'!$B$5:$B$204,$K142))),""))</f>
        <v/>
      </c>
      <c r="I142" s="16" t="str">
        <f>IF($A142="","",IF(COUNTIF('2. Core Log'!$A$5:$A$124,$A142)=0,"Core ID not in Core Log. ","")&amp;IF($E142="","No date source given — RERCA and LORCA need to know which method produced this age. ","")&amp;IF(AND(ISNUMBER($C142),$C142&lt;0),"Negative age: this horizon post-dates the coring year. Check the conversion. ","")&amp;IF(AND(ISNUMBER($G142),$G142&lt;0),"Age reversal — this horizon is younger than one above it. A mixed or disturbed profile may not be datable at all. ","")&amp;IF(AND(ISNUMBER($D142),ISNUMBER($C142),$C142&gt;0,$D142/$C142&gt;0.5),"Age uncertainty exceeds 50% of the age. Usable as an indication only. ","")&amp;IF(AND($D142="",$C142&lt;&gt;""),"No uncertainty given. Every radiometric age has one; a rate without it cannot be defended. ",""))</f>
        <v/>
      </c>
      <c r="J142" s="16">
        <f t="shared" si="0"/>
        <v>0</v>
      </c>
      <c r="K142" s="16" t="str">
        <f>IF(OR($A142="",NOT(ISNUMBER($B142))),"",SUMPRODUCT(MAX(('4. Chronology'!$A$5:$A$204=$A142)*('4. Chronology'!$B$5:$B$204&lt;$B142)*'4. Chronology'!$B$5:$B$204)))</f>
        <v/>
      </c>
    </row>
    <row r="143" spans="1:11" ht="15.75" customHeight="1">
      <c r="A143" s="14"/>
      <c r="B143" s="14"/>
      <c r="C143" s="14"/>
      <c r="D143" s="14"/>
      <c r="E143" s="14"/>
      <c r="F143" s="16" t="str">
        <f>IF(OR($A143="",NOT(ISNUMBER($B143))),"",SUMIFS(community_cores_FS!$P$5:$P$597,community_cores_FS!$B$5:$B$597,$A143,community_cores_FS!$F$5:$F$597,"&lt;="&amp;$B143)+SUMPRODUCT((community_cores_FS!$B$5:$B$597=$A143)*(community_cores_FS!$E$5:$E$597&lt;$B143)*(community_cores_FS!$F$5:$F$597&gt;$B143)*community_cores_FS!$R$5:$R$597*($B143-community_cores_FS!$E$5:$E$597)))</f>
        <v/>
      </c>
      <c r="G143" s="16" t="str">
        <f>IF(OR($A143="",NOT(ISNUMBER($B143)),NOT(ISNUMBER($C143))),"",IFERROR(($B143-$K143)/($C143-IF($K143=0,0,SUMIFS('4. Chronology'!$C$5:$C$204,'4. Chronology'!$A$5:$A$204,$A143,'4. Chronology'!$B$5:$B$204,$K143))),""))</f>
        <v/>
      </c>
      <c r="H143" s="16" t="str">
        <f>IF(OR($A143="",NOT(ISNUMBER($F143)),NOT(ISNUMBER($C143))),"",IFERROR((($F143-IF($K143=0,0,SUMIFS('4. Chronology'!$F$5:$F$204,'4. Chronology'!$A$5:$A$204,$A143,'4. Chronology'!$B$5:$B$204,$K143)))*1000)/($C143-IF($K143=0,0,SUMIFS('4. Chronology'!$C$5:$C$204,'4. Chronology'!$A$5:$A$204,$A143,'4. Chronology'!$B$5:$B$204,$K143))),""))</f>
        <v/>
      </c>
      <c r="I143" s="16" t="str">
        <f>IF($A143="","",IF(COUNTIF('2. Core Log'!$A$5:$A$124,$A143)=0,"Core ID not in Core Log. ","")&amp;IF($E143="","No date source given — RERCA and LORCA need to know which method produced this age. ","")&amp;IF(AND(ISNUMBER($C143),$C143&lt;0),"Negative age: this horizon post-dates the coring year. Check the conversion. ","")&amp;IF(AND(ISNUMBER($G143),$G143&lt;0),"Age reversal — this horizon is younger than one above it. A mixed or disturbed profile may not be datable at all. ","")&amp;IF(AND(ISNUMBER($D143),ISNUMBER($C143),$C143&gt;0,$D143/$C143&gt;0.5),"Age uncertainty exceeds 50% of the age. Usable as an indication only. ","")&amp;IF(AND($D143="",$C143&lt;&gt;""),"No uncertainty given. Every radiometric age has one; a rate without it cannot be defended. ",""))</f>
        <v/>
      </c>
      <c r="J143" s="16">
        <f t="shared" si="0"/>
        <v>0</v>
      </c>
      <c r="K143" s="16" t="str">
        <f>IF(OR($A143="",NOT(ISNUMBER($B143))),"",SUMPRODUCT(MAX(('4. Chronology'!$A$5:$A$204=$A143)*('4. Chronology'!$B$5:$B$204&lt;$B143)*'4. Chronology'!$B$5:$B$204)))</f>
        <v/>
      </c>
    </row>
    <row r="144" spans="1:11" ht="15.75" customHeight="1">
      <c r="A144" s="14"/>
      <c r="B144" s="14"/>
      <c r="C144" s="14"/>
      <c r="D144" s="14"/>
      <c r="E144" s="14"/>
      <c r="F144" s="16" t="str">
        <f>IF(OR($A144="",NOT(ISNUMBER($B144))),"",SUMIFS(community_cores_FS!$P$5:$P$597,community_cores_FS!$B$5:$B$597,$A144,community_cores_FS!$F$5:$F$597,"&lt;="&amp;$B144)+SUMPRODUCT((community_cores_FS!$B$5:$B$597=$A144)*(community_cores_FS!$E$5:$E$597&lt;$B144)*(community_cores_FS!$F$5:$F$597&gt;$B144)*community_cores_FS!$R$5:$R$597*($B144-community_cores_FS!$E$5:$E$597)))</f>
        <v/>
      </c>
      <c r="G144" s="16" t="str">
        <f>IF(OR($A144="",NOT(ISNUMBER($B144)),NOT(ISNUMBER($C144))),"",IFERROR(($B144-$K144)/($C144-IF($K144=0,0,SUMIFS('4. Chronology'!$C$5:$C$204,'4. Chronology'!$A$5:$A$204,$A144,'4. Chronology'!$B$5:$B$204,$K144))),""))</f>
        <v/>
      </c>
      <c r="H144" s="16" t="str">
        <f>IF(OR($A144="",NOT(ISNUMBER($F144)),NOT(ISNUMBER($C144))),"",IFERROR((($F144-IF($K144=0,0,SUMIFS('4. Chronology'!$F$5:$F$204,'4. Chronology'!$A$5:$A$204,$A144,'4. Chronology'!$B$5:$B$204,$K144)))*1000)/($C144-IF($K144=0,0,SUMIFS('4. Chronology'!$C$5:$C$204,'4. Chronology'!$A$5:$A$204,$A144,'4. Chronology'!$B$5:$B$204,$K144))),""))</f>
        <v/>
      </c>
      <c r="I144" s="16" t="str">
        <f>IF($A144="","",IF(COUNTIF('2. Core Log'!$A$5:$A$124,$A144)=0,"Core ID not in Core Log. ","")&amp;IF($E144="","No date source given — RERCA and LORCA need to know which method produced this age. ","")&amp;IF(AND(ISNUMBER($C144),$C144&lt;0),"Negative age: this horizon post-dates the coring year. Check the conversion. ","")&amp;IF(AND(ISNUMBER($G144),$G144&lt;0),"Age reversal — this horizon is younger than one above it. A mixed or disturbed profile may not be datable at all. ","")&amp;IF(AND(ISNUMBER($D144),ISNUMBER($C144),$C144&gt;0,$D144/$C144&gt;0.5),"Age uncertainty exceeds 50% of the age. Usable as an indication only. ","")&amp;IF(AND($D144="",$C144&lt;&gt;""),"No uncertainty given. Every radiometric age has one; a rate without it cannot be defended. ",""))</f>
        <v/>
      </c>
      <c r="J144" s="16">
        <f t="shared" si="0"/>
        <v>0</v>
      </c>
      <c r="K144" s="16" t="str">
        <f>IF(OR($A144="",NOT(ISNUMBER($B144))),"",SUMPRODUCT(MAX(('4. Chronology'!$A$5:$A$204=$A144)*('4. Chronology'!$B$5:$B$204&lt;$B144)*'4. Chronology'!$B$5:$B$204)))</f>
        <v/>
      </c>
    </row>
    <row r="145" spans="1:11" ht="15.75" customHeight="1">
      <c r="A145" s="14"/>
      <c r="B145" s="14"/>
      <c r="C145" s="14"/>
      <c r="D145" s="14"/>
      <c r="E145" s="14"/>
      <c r="F145" s="16" t="str">
        <f>IF(OR($A145="",NOT(ISNUMBER($B145))),"",SUMIFS(community_cores_FS!$P$5:$P$597,community_cores_FS!$B$5:$B$597,$A145,community_cores_FS!$F$5:$F$597,"&lt;="&amp;$B145)+SUMPRODUCT((community_cores_FS!$B$5:$B$597=$A145)*(community_cores_FS!$E$5:$E$597&lt;$B145)*(community_cores_FS!$F$5:$F$597&gt;$B145)*community_cores_FS!$R$5:$R$597*($B145-community_cores_FS!$E$5:$E$597)))</f>
        <v/>
      </c>
      <c r="G145" s="16" t="str">
        <f>IF(OR($A145="",NOT(ISNUMBER($B145)),NOT(ISNUMBER($C145))),"",IFERROR(($B145-$K145)/($C145-IF($K145=0,0,SUMIFS('4. Chronology'!$C$5:$C$204,'4. Chronology'!$A$5:$A$204,$A145,'4. Chronology'!$B$5:$B$204,$K145))),""))</f>
        <v/>
      </c>
      <c r="H145" s="16" t="str">
        <f>IF(OR($A145="",NOT(ISNUMBER($F145)),NOT(ISNUMBER($C145))),"",IFERROR((($F145-IF($K145=0,0,SUMIFS('4. Chronology'!$F$5:$F$204,'4. Chronology'!$A$5:$A$204,$A145,'4. Chronology'!$B$5:$B$204,$K145)))*1000)/($C145-IF($K145=0,0,SUMIFS('4. Chronology'!$C$5:$C$204,'4. Chronology'!$A$5:$A$204,$A145,'4. Chronology'!$B$5:$B$204,$K145))),""))</f>
        <v/>
      </c>
      <c r="I145" s="16" t="str">
        <f>IF($A145="","",IF(COUNTIF('2. Core Log'!$A$5:$A$124,$A145)=0,"Core ID not in Core Log. ","")&amp;IF($E145="","No date source given — RERCA and LORCA need to know which method produced this age. ","")&amp;IF(AND(ISNUMBER($C145),$C145&lt;0),"Negative age: this horizon post-dates the coring year. Check the conversion. ","")&amp;IF(AND(ISNUMBER($G145),$G145&lt;0),"Age reversal — this horizon is younger than one above it. A mixed or disturbed profile may not be datable at all. ","")&amp;IF(AND(ISNUMBER($D145),ISNUMBER($C145),$C145&gt;0,$D145/$C145&gt;0.5),"Age uncertainty exceeds 50% of the age. Usable as an indication only. ","")&amp;IF(AND($D145="",$C145&lt;&gt;""),"No uncertainty given. Every radiometric age has one; a rate without it cannot be defended. ",""))</f>
        <v/>
      </c>
      <c r="J145" s="16">
        <f t="shared" si="0"/>
        <v>0</v>
      </c>
      <c r="K145" s="16" t="str">
        <f>IF(OR($A145="",NOT(ISNUMBER($B145))),"",SUMPRODUCT(MAX(('4. Chronology'!$A$5:$A$204=$A145)*('4. Chronology'!$B$5:$B$204&lt;$B145)*'4. Chronology'!$B$5:$B$204)))</f>
        <v/>
      </c>
    </row>
    <row r="146" spans="1:11" ht="15.75" customHeight="1">
      <c r="A146" s="14"/>
      <c r="B146" s="14"/>
      <c r="C146" s="14"/>
      <c r="D146" s="14"/>
      <c r="E146" s="14"/>
      <c r="F146" s="16" t="str">
        <f>IF(OR($A146="",NOT(ISNUMBER($B146))),"",SUMIFS(community_cores_FS!$P$5:$P$597,community_cores_FS!$B$5:$B$597,$A146,community_cores_FS!$F$5:$F$597,"&lt;="&amp;$B146)+SUMPRODUCT((community_cores_FS!$B$5:$B$597=$A146)*(community_cores_FS!$E$5:$E$597&lt;$B146)*(community_cores_FS!$F$5:$F$597&gt;$B146)*community_cores_FS!$R$5:$R$597*($B146-community_cores_FS!$E$5:$E$597)))</f>
        <v/>
      </c>
      <c r="G146" s="16" t="str">
        <f>IF(OR($A146="",NOT(ISNUMBER($B146)),NOT(ISNUMBER($C146))),"",IFERROR(($B146-$K146)/($C146-IF($K146=0,0,SUMIFS('4. Chronology'!$C$5:$C$204,'4. Chronology'!$A$5:$A$204,$A146,'4. Chronology'!$B$5:$B$204,$K146))),""))</f>
        <v/>
      </c>
      <c r="H146" s="16" t="str">
        <f>IF(OR($A146="",NOT(ISNUMBER($F146)),NOT(ISNUMBER($C146))),"",IFERROR((($F146-IF($K146=0,0,SUMIFS('4. Chronology'!$F$5:$F$204,'4. Chronology'!$A$5:$A$204,$A146,'4. Chronology'!$B$5:$B$204,$K146)))*1000)/($C146-IF($K146=0,0,SUMIFS('4. Chronology'!$C$5:$C$204,'4. Chronology'!$A$5:$A$204,$A146,'4. Chronology'!$B$5:$B$204,$K146))),""))</f>
        <v/>
      </c>
      <c r="I146" s="16" t="str">
        <f>IF($A146="","",IF(COUNTIF('2. Core Log'!$A$5:$A$124,$A146)=0,"Core ID not in Core Log. ","")&amp;IF($E146="","No date source given — RERCA and LORCA need to know which method produced this age. ","")&amp;IF(AND(ISNUMBER($C146),$C146&lt;0),"Negative age: this horizon post-dates the coring year. Check the conversion. ","")&amp;IF(AND(ISNUMBER($G146),$G146&lt;0),"Age reversal — this horizon is younger than one above it. A mixed or disturbed profile may not be datable at all. ","")&amp;IF(AND(ISNUMBER($D146),ISNUMBER($C146),$C146&gt;0,$D146/$C146&gt;0.5),"Age uncertainty exceeds 50% of the age. Usable as an indication only. ","")&amp;IF(AND($D146="",$C146&lt;&gt;""),"No uncertainty given. Every radiometric age has one; a rate without it cannot be defended. ",""))</f>
        <v/>
      </c>
      <c r="J146" s="16">
        <f t="shared" si="0"/>
        <v>0</v>
      </c>
      <c r="K146" s="16" t="str">
        <f>IF(OR($A146="",NOT(ISNUMBER($B146))),"",SUMPRODUCT(MAX(('4. Chronology'!$A$5:$A$204=$A146)*('4. Chronology'!$B$5:$B$204&lt;$B146)*'4. Chronology'!$B$5:$B$204)))</f>
        <v/>
      </c>
    </row>
    <row r="147" spans="1:11" ht="15.75" customHeight="1">
      <c r="A147" s="14"/>
      <c r="B147" s="14"/>
      <c r="C147" s="14"/>
      <c r="D147" s="14"/>
      <c r="E147" s="14"/>
      <c r="F147" s="16" t="str">
        <f>IF(OR($A147="",NOT(ISNUMBER($B147))),"",SUMIFS(community_cores_FS!$P$5:$P$597,community_cores_FS!$B$5:$B$597,$A147,community_cores_FS!$F$5:$F$597,"&lt;="&amp;$B147)+SUMPRODUCT((community_cores_FS!$B$5:$B$597=$A147)*(community_cores_FS!$E$5:$E$597&lt;$B147)*(community_cores_FS!$F$5:$F$597&gt;$B147)*community_cores_FS!$R$5:$R$597*($B147-community_cores_FS!$E$5:$E$597)))</f>
        <v/>
      </c>
      <c r="G147" s="16" t="str">
        <f>IF(OR($A147="",NOT(ISNUMBER($B147)),NOT(ISNUMBER($C147))),"",IFERROR(($B147-$K147)/($C147-IF($K147=0,0,SUMIFS('4. Chronology'!$C$5:$C$204,'4. Chronology'!$A$5:$A$204,$A147,'4. Chronology'!$B$5:$B$204,$K147))),""))</f>
        <v/>
      </c>
      <c r="H147" s="16" t="str">
        <f>IF(OR($A147="",NOT(ISNUMBER($F147)),NOT(ISNUMBER($C147))),"",IFERROR((($F147-IF($K147=0,0,SUMIFS('4. Chronology'!$F$5:$F$204,'4. Chronology'!$A$5:$A$204,$A147,'4. Chronology'!$B$5:$B$204,$K147)))*1000)/($C147-IF($K147=0,0,SUMIFS('4. Chronology'!$C$5:$C$204,'4. Chronology'!$A$5:$A$204,$A147,'4. Chronology'!$B$5:$B$204,$K147))),""))</f>
        <v/>
      </c>
      <c r="I147" s="16" t="str">
        <f>IF($A147="","",IF(COUNTIF('2. Core Log'!$A$5:$A$124,$A147)=0,"Core ID not in Core Log. ","")&amp;IF($E147="","No date source given — RERCA and LORCA need to know which method produced this age. ","")&amp;IF(AND(ISNUMBER($C147),$C147&lt;0),"Negative age: this horizon post-dates the coring year. Check the conversion. ","")&amp;IF(AND(ISNUMBER($G147),$G147&lt;0),"Age reversal — this horizon is younger than one above it. A mixed or disturbed profile may not be datable at all. ","")&amp;IF(AND(ISNUMBER($D147),ISNUMBER($C147),$C147&gt;0,$D147/$C147&gt;0.5),"Age uncertainty exceeds 50% of the age. Usable as an indication only. ","")&amp;IF(AND($D147="",$C147&lt;&gt;""),"No uncertainty given. Every radiometric age has one; a rate without it cannot be defended. ",""))</f>
        <v/>
      </c>
      <c r="J147" s="16">
        <f t="shared" si="0"/>
        <v>0</v>
      </c>
      <c r="K147" s="16" t="str">
        <f>IF(OR($A147="",NOT(ISNUMBER($B147))),"",SUMPRODUCT(MAX(('4. Chronology'!$A$5:$A$204=$A147)*('4. Chronology'!$B$5:$B$204&lt;$B147)*'4. Chronology'!$B$5:$B$204)))</f>
        <v/>
      </c>
    </row>
    <row r="148" spans="1:11" ht="15.75" customHeight="1">
      <c r="A148" s="14"/>
      <c r="B148" s="14"/>
      <c r="C148" s="14"/>
      <c r="D148" s="14"/>
      <c r="E148" s="14"/>
      <c r="F148" s="16" t="str">
        <f>IF(OR($A148="",NOT(ISNUMBER($B148))),"",SUMIFS(community_cores_FS!$P$5:$P$597,community_cores_FS!$B$5:$B$597,$A148,community_cores_FS!$F$5:$F$597,"&lt;="&amp;$B148)+SUMPRODUCT((community_cores_FS!$B$5:$B$597=$A148)*(community_cores_FS!$E$5:$E$597&lt;$B148)*(community_cores_FS!$F$5:$F$597&gt;$B148)*community_cores_FS!$R$5:$R$597*($B148-community_cores_FS!$E$5:$E$597)))</f>
        <v/>
      </c>
      <c r="G148" s="16" t="str">
        <f>IF(OR($A148="",NOT(ISNUMBER($B148)),NOT(ISNUMBER($C148))),"",IFERROR(($B148-$K148)/($C148-IF($K148=0,0,SUMIFS('4. Chronology'!$C$5:$C$204,'4. Chronology'!$A$5:$A$204,$A148,'4. Chronology'!$B$5:$B$204,$K148))),""))</f>
        <v/>
      </c>
      <c r="H148" s="16" t="str">
        <f>IF(OR($A148="",NOT(ISNUMBER($F148)),NOT(ISNUMBER($C148))),"",IFERROR((($F148-IF($K148=0,0,SUMIFS('4. Chronology'!$F$5:$F$204,'4. Chronology'!$A$5:$A$204,$A148,'4. Chronology'!$B$5:$B$204,$K148)))*1000)/($C148-IF($K148=0,0,SUMIFS('4. Chronology'!$C$5:$C$204,'4. Chronology'!$A$5:$A$204,$A148,'4. Chronology'!$B$5:$B$204,$K148))),""))</f>
        <v/>
      </c>
      <c r="I148" s="16" t="str">
        <f>IF($A148="","",IF(COUNTIF('2. Core Log'!$A$5:$A$124,$A148)=0,"Core ID not in Core Log. ","")&amp;IF($E148="","No date source given — RERCA and LORCA need to know which method produced this age. ","")&amp;IF(AND(ISNUMBER($C148),$C148&lt;0),"Negative age: this horizon post-dates the coring year. Check the conversion. ","")&amp;IF(AND(ISNUMBER($G148),$G148&lt;0),"Age reversal — this horizon is younger than one above it. A mixed or disturbed profile may not be datable at all. ","")&amp;IF(AND(ISNUMBER($D148),ISNUMBER($C148),$C148&gt;0,$D148/$C148&gt;0.5),"Age uncertainty exceeds 50% of the age. Usable as an indication only. ","")&amp;IF(AND($D148="",$C148&lt;&gt;""),"No uncertainty given. Every radiometric age has one; a rate without it cannot be defended. ",""))</f>
        <v/>
      </c>
      <c r="J148" s="16">
        <f t="shared" si="0"/>
        <v>0</v>
      </c>
      <c r="K148" s="16" t="str">
        <f>IF(OR($A148="",NOT(ISNUMBER($B148))),"",SUMPRODUCT(MAX(('4. Chronology'!$A$5:$A$204=$A148)*('4. Chronology'!$B$5:$B$204&lt;$B148)*'4. Chronology'!$B$5:$B$204)))</f>
        <v/>
      </c>
    </row>
    <row r="149" spans="1:11" ht="15.75" customHeight="1">
      <c r="A149" s="14"/>
      <c r="B149" s="14"/>
      <c r="C149" s="14"/>
      <c r="D149" s="14"/>
      <c r="E149" s="14"/>
      <c r="F149" s="16" t="str">
        <f>IF(OR($A149="",NOT(ISNUMBER($B149))),"",SUMIFS(community_cores_FS!$P$5:$P$597,community_cores_FS!$B$5:$B$597,$A149,community_cores_FS!$F$5:$F$597,"&lt;="&amp;$B149)+SUMPRODUCT((community_cores_FS!$B$5:$B$597=$A149)*(community_cores_FS!$E$5:$E$597&lt;$B149)*(community_cores_FS!$F$5:$F$597&gt;$B149)*community_cores_FS!$R$5:$R$597*($B149-community_cores_FS!$E$5:$E$597)))</f>
        <v/>
      </c>
      <c r="G149" s="16" t="str">
        <f>IF(OR($A149="",NOT(ISNUMBER($B149)),NOT(ISNUMBER($C149))),"",IFERROR(($B149-$K149)/($C149-IF($K149=0,0,SUMIFS('4. Chronology'!$C$5:$C$204,'4. Chronology'!$A$5:$A$204,$A149,'4. Chronology'!$B$5:$B$204,$K149))),""))</f>
        <v/>
      </c>
      <c r="H149" s="16" t="str">
        <f>IF(OR($A149="",NOT(ISNUMBER($F149)),NOT(ISNUMBER($C149))),"",IFERROR((($F149-IF($K149=0,0,SUMIFS('4. Chronology'!$F$5:$F$204,'4. Chronology'!$A$5:$A$204,$A149,'4. Chronology'!$B$5:$B$204,$K149)))*1000)/($C149-IF($K149=0,0,SUMIFS('4. Chronology'!$C$5:$C$204,'4. Chronology'!$A$5:$A$204,$A149,'4. Chronology'!$B$5:$B$204,$K149))),""))</f>
        <v/>
      </c>
      <c r="I149" s="16" t="str">
        <f>IF($A149="","",IF(COUNTIF('2. Core Log'!$A$5:$A$124,$A149)=0,"Core ID not in Core Log. ","")&amp;IF($E149="","No date source given — RERCA and LORCA need to know which method produced this age. ","")&amp;IF(AND(ISNUMBER($C149),$C149&lt;0),"Negative age: this horizon post-dates the coring year. Check the conversion. ","")&amp;IF(AND(ISNUMBER($G149),$G149&lt;0),"Age reversal — this horizon is younger than one above it. A mixed or disturbed profile may not be datable at all. ","")&amp;IF(AND(ISNUMBER($D149),ISNUMBER($C149),$C149&gt;0,$D149/$C149&gt;0.5),"Age uncertainty exceeds 50% of the age. Usable as an indication only. ","")&amp;IF(AND($D149="",$C149&lt;&gt;""),"No uncertainty given. Every radiometric age has one; a rate without it cannot be defended. ",""))</f>
        <v/>
      </c>
      <c r="J149" s="16">
        <f t="shared" si="0"/>
        <v>0</v>
      </c>
      <c r="K149" s="16" t="str">
        <f>IF(OR($A149="",NOT(ISNUMBER($B149))),"",SUMPRODUCT(MAX(('4. Chronology'!$A$5:$A$204=$A149)*('4. Chronology'!$B$5:$B$204&lt;$B149)*'4. Chronology'!$B$5:$B$204)))</f>
        <v/>
      </c>
    </row>
    <row r="150" spans="1:11" ht="15.75" customHeight="1">
      <c r="A150" s="14"/>
      <c r="B150" s="14"/>
      <c r="C150" s="14"/>
      <c r="D150" s="14"/>
      <c r="E150" s="14"/>
      <c r="F150" s="16" t="str">
        <f>IF(OR($A150="",NOT(ISNUMBER($B150))),"",SUMIFS(community_cores_FS!$P$5:$P$597,community_cores_FS!$B$5:$B$597,$A150,community_cores_FS!$F$5:$F$597,"&lt;="&amp;$B150)+SUMPRODUCT((community_cores_FS!$B$5:$B$597=$A150)*(community_cores_FS!$E$5:$E$597&lt;$B150)*(community_cores_FS!$F$5:$F$597&gt;$B150)*community_cores_FS!$R$5:$R$597*($B150-community_cores_FS!$E$5:$E$597)))</f>
        <v/>
      </c>
      <c r="G150" s="16" t="str">
        <f>IF(OR($A150="",NOT(ISNUMBER($B150)),NOT(ISNUMBER($C150))),"",IFERROR(($B150-$K150)/($C150-IF($K150=0,0,SUMIFS('4. Chronology'!$C$5:$C$204,'4. Chronology'!$A$5:$A$204,$A150,'4. Chronology'!$B$5:$B$204,$K150))),""))</f>
        <v/>
      </c>
      <c r="H150" s="16" t="str">
        <f>IF(OR($A150="",NOT(ISNUMBER($F150)),NOT(ISNUMBER($C150))),"",IFERROR((($F150-IF($K150=0,0,SUMIFS('4. Chronology'!$F$5:$F$204,'4. Chronology'!$A$5:$A$204,$A150,'4. Chronology'!$B$5:$B$204,$K150)))*1000)/($C150-IF($K150=0,0,SUMIFS('4. Chronology'!$C$5:$C$204,'4. Chronology'!$A$5:$A$204,$A150,'4. Chronology'!$B$5:$B$204,$K150))),""))</f>
        <v/>
      </c>
      <c r="I150" s="16" t="str">
        <f>IF($A150="","",IF(COUNTIF('2. Core Log'!$A$5:$A$124,$A150)=0,"Core ID not in Core Log. ","")&amp;IF($E150="","No date source given — RERCA and LORCA need to know which method produced this age. ","")&amp;IF(AND(ISNUMBER($C150),$C150&lt;0),"Negative age: this horizon post-dates the coring year. Check the conversion. ","")&amp;IF(AND(ISNUMBER($G150),$G150&lt;0),"Age reversal — this horizon is younger than one above it. A mixed or disturbed profile may not be datable at all. ","")&amp;IF(AND(ISNUMBER($D150),ISNUMBER($C150),$C150&gt;0,$D150/$C150&gt;0.5),"Age uncertainty exceeds 50% of the age. Usable as an indication only. ","")&amp;IF(AND($D150="",$C150&lt;&gt;""),"No uncertainty given. Every radiometric age has one; a rate without it cannot be defended. ",""))</f>
        <v/>
      </c>
      <c r="J150" s="16">
        <f t="shared" si="0"/>
        <v>0</v>
      </c>
      <c r="K150" s="16" t="str">
        <f>IF(OR($A150="",NOT(ISNUMBER($B150))),"",SUMPRODUCT(MAX(('4. Chronology'!$A$5:$A$204=$A150)*('4. Chronology'!$B$5:$B$204&lt;$B150)*'4. Chronology'!$B$5:$B$204)))</f>
        <v/>
      </c>
    </row>
    <row r="151" spans="1:11" ht="15.75" customHeight="1">
      <c r="A151" s="14"/>
      <c r="B151" s="14"/>
      <c r="C151" s="14"/>
      <c r="D151" s="14"/>
      <c r="E151" s="14"/>
      <c r="F151" s="16" t="str">
        <f>IF(OR($A151="",NOT(ISNUMBER($B151))),"",SUMIFS(community_cores_FS!$P$5:$P$597,community_cores_FS!$B$5:$B$597,$A151,community_cores_FS!$F$5:$F$597,"&lt;="&amp;$B151)+SUMPRODUCT((community_cores_FS!$B$5:$B$597=$A151)*(community_cores_FS!$E$5:$E$597&lt;$B151)*(community_cores_FS!$F$5:$F$597&gt;$B151)*community_cores_FS!$R$5:$R$597*($B151-community_cores_FS!$E$5:$E$597)))</f>
        <v/>
      </c>
      <c r="G151" s="16" t="str">
        <f>IF(OR($A151="",NOT(ISNUMBER($B151)),NOT(ISNUMBER($C151))),"",IFERROR(($B151-$K151)/($C151-IF($K151=0,0,SUMIFS('4. Chronology'!$C$5:$C$204,'4. Chronology'!$A$5:$A$204,$A151,'4. Chronology'!$B$5:$B$204,$K151))),""))</f>
        <v/>
      </c>
      <c r="H151" s="16" t="str">
        <f>IF(OR($A151="",NOT(ISNUMBER($F151)),NOT(ISNUMBER($C151))),"",IFERROR((($F151-IF($K151=0,0,SUMIFS('4. Chronology'!$F$5:$F$204,'4. Chronology'!$A$5:$A$204,$A151,'4. Chronology'!$B$5:$B$204,$K151)))*1000)/($C151-IF($K151=0,0,SUMIFS('4. Chronology'!$C$5:$C$204,'4. Chronology'!$A$5:$A$204,$A151,'4. Chronology'!$B$5:$B$204,$K151))),""))</f>
        <v/>
      </c>
      <c r="I151" s="16" t="str">
        <f>IF($A151="","",IF(COUNTIF('2. Core Log'!$A$5:$A$124,$A151)=0,"Core ID not in Core Log. ","")&amp;IF($E151="","No date source given — RERCA and LORCA need to know which method produced this age. ","")&amp;IF(AND(ISNUMBER($C151),$C151&lt;0),"Negative age: this horizon post-dates the coring year. Check the conversion. ","")&amp;IF(AND(ISNUMBER($G151),$G151&lt;0),"Age reversal — this horizon is younger than one above it. A mixed or disturbed profile may not be datable at all. ","")&amp;IF(AND(ISNUMBER($D151),ISNUMBER($C151),$C151&gt;0,$D151/$C151&gt;0.5),"Age uncertainty exceeds 50% of the age. Usable as an indication only. ","")&amp;IF(AND($D151="",$C151&lt;&gt;""),"No uncertainty given. Every radiometric age has one; a rate without it cannot be defended. ",""))</f>
        <v/>
      </c>
      <c r="J151" s="16">
        <f t="shared" si="0"/>
        <v>0</v>
      </c>
      <c r="K151" s="16" t="str">
        <f>IF(OR($A151="",NOT(ISNUMBER($B151))),"",SUMPRODUCT(MAX(('4. Chronology'!$A$5:$A$204=$A151)*('4. Chronology'!$B$5:$B$204&lt;$B151)*'4. Chronology'!$B$5:$B$204)))</f>
        <v/>
      </c>
    </row>
    <row r="152" spans="1:11" ht="15.75" customHeight="1">
      <c r="A152" s="14"/>
      <c r="B152" s="14"/>
      <c r="C152" s="14"/>
      <c r="D152" s="14"/>
      <c r="E152" s="14"/>
      <c r="F152" s="16" t="str">
        <f>IF(OR($A152="",NOT(ISNUMBER($B152))),"",SUMIFS(community_cores_FS!$P$5:$P$597,community_cores_FS!$B$5:$B$597,$A152,community_cores_FS!$F$5:$F$597,"&lt;="&amp;$B152)+SUMPRODUCT((community_cores_FS!$B$5:$B$597=$A152)*(community_cores_FS!$E$5:$E$597&lt;$B152)*(community_cores_FS!$F$5:$F$597&gt;$B152)*community_cores_FS!$R$5:$R$597*($B152-community_cores_FS!$E$5:$E$597)))</f>
        <v/>
      </c>
      <c r="G152" s="16" t="str">
        <f>IF(OR($A152="",NOT(ISNUMBER($B152)),NOT(ISNUMBER($C152))),"",IFERROR(($B152-$K152)/($C152-IF($K152=0,0,SUMIFS('4. Chronology'!$C$5:$C$204,'4. Chronology'!$A$5:$A$204,$A152,'4. Chronology'!$B$5:$B$204,$K152))),""))</f>
        <v/>
      </c>
      <c r="H152" s="16" t="str">
        <f>IF(OR($A152="",NOT(ISNUMBER($F152)),NOT(ISNUMBER($C152))),"",IFERROR((($F152-IF($K152=0,0,SUMIFS('4. Chronology'!$F$5:$F$204,'4. Chronology'!$A$5:$A$204,$A152,'4. Chronology'!$B$5:$B$204,$K152)))*1000)/($C152-IF($K152=0,0,SUMIFS('4. Chronology'!$C$5:$C$204,'4. Chronology'!$A$5:$A$204,$A152,'4. Chronology'!$B$5:$B$204,$K152))),""))</f>
        <v/>
      </c>
      <c r="I152" s="16" t="str">
        <f>IF($A152="","",IF(COUNTIF('2. Core Log'!$A$5:$A$124,$A152)=0,"Core ID not in Core Log. ","")&amp;IF($E152="","No date source given — RERCA and LORCA need to know which method produced this age. ","")&amp;IF(AND(ISNUMBER($C152),$C152&lt;0),"Negative age: this horizon post-dates the coring year. Check the conversion. ","")&amp;IF(AND(ISNUMBER($G152),$G152&lt;0),"Age reversal — this horizon is younger than one above it. A mixed or disturbed profile may not be datable at all. ","")&amp;IF(AND(ISNUMBER($D152),ISNUMBER($C152),$C152&gt;0,$D152/$C152&gt;0.5),"Age uncertainty exceeds 50% of the age. Usable as an indication only. ","")&amp;IF(AND($D152="",$C152&lt;&gt;""),"No uncertainty given. Every radiometric age has one; a rate without it cannot be defended. ",""))</f>
        <v/>
      </c>
      <c r="J152" s="16">
        <f t="shared" si="0"/>
        <v>0</v>
      </c>
      <c r="K152" s="16" t="str">
        <f>IF(OR($A152="",NOT(ISNUMBER($B152))),"",SUMPRODUCT(MAX(('4. Chronology'!$A$5:$A$204=$A152)*('4. Chronology'!$B$5:$B$204&lt;$B152)*'4. Chronology'!$B$5:$B$204)))</f>
        <v/>
      </c>
    </row>
    <row r="153" spans="1:11" ht="15.75" customHeight="1">
      <c r="A153" s="14"/>
      <c r="B153" s="14"/>
      <c r="C153" s="14"/>
      <c r="D153" s="14"/>
      <c r="E153" s="14"/>
      <c r="F153" s="16" t="str">
        <f>IF(OR($A153="",NOT(ISNUMBER($B153))),"",SUMIFS(community_cores_FS!$P$5:$P$597,community_cores_FS!$B$5:$B$597,$A153,community_cores_FS!$F$5:$F$597,"&lt;="&amp;$B153)+SUMPRODUCT((community_cores_FS!$B$5:$B$597=$A153)*(community_cores_FS!$E$5:$E$597&lt;$B153)*(community_cores_FS!$F$5:$F$597&gt;$B153)*community_cores_FS!$R$5:$R$597*($B153-community_cores_FS!$E$5:$E$597)))</f>
        <v/>
      </c>
      <c r="G153" s="16" t="str">
        <f>IF(OR($A153="",NOT(ISNUMBER($B153)),NOT(ISNUMBER($C153))),"",IFERROR(($B153-$K153)/($C153-IF($K153=0,0,SUMIFS('4. Chronology'!$C$5:$C$204,'4. Chronology'!$A$5:$A$204,$A153,'4. Chronology'!$B$5:$B$204,$K153))),""))</f>
        <v/>
      </c>
      <c r="H153" s="16" t="str">
        <f>IF(OR($A153="",NOT(ISNUMBER($F153)),NOT(ISNUMBER($C153))),"",IFERROR((($F153-IF($K153=0,0,SUMIFS('4. Chronology'!$F$5:$F$204,'4. Chronology'!$A$5:$A$204,$A153,'4. Chronology'!$B$5:$B$204,$K153)))*1000)/($C153-IF($K153=0,0,SUMIFS('4. Chronology'!$C$5:$C$204,'4. Chronology'!$A$5:$A$204,$A153,'4. Chronology'!$B$5:$B$204,$K153))),""))</f>
        <v/>
      </c>
      <c r="I153" s="16" t="str">
        <f>IF($A153="","",IF(COUNTIF('2. Core Log'!$A$5:$A$124,$A153)=0,"Core ID not in Core Log. ","")&amp;IF($E153="","No date source given — RERCA and LORCA need to know which method produced this age. ","")&amp;IF(AND(ISNUMBER($C153),$C153&lt;0),"Negative age: this horizon post-dates the coring year. Check the conversion. ","")&amp;IF(AND(ISNUMBER($G153),$G153&lt;0),"Age reversal — this horizon is younger than one above it. A mixed or disturbed profile may not be datable at all. ","")&amp;IF(AND(ISNUMBER($D153),ISNUMBER($C153),$C153&gt;0,$D153/$C153&gt;0.5),"Age uncertainty exceeds 50% of the age. Usable as an indication only. ","")&amp;IF(AND($D153="",$C153&lt;&gt;""),"No uncertainty given. Every radiometric age has one; a rate without it cannot be defended. ",""))</f>
        <v/>
      </c>
      <c r="J153" s="16">
        <f t="shared" si="0"/>
        <v>0</v>
      </c>
      <c r="K153" s="16" t="str">
        <f>IF(OR($A153="",NOT(ISNUMBER($B153))),"",SUMPRODUCT(MAX(('4. Chronology'!$A$5:$A$204=$A153)*('4. Chronology'!$B$5:$B$204&lt;$B153)*'4. Chronology'!$B$5:$B$204)))</f>
        <v/>
      </c>
    </row>
    <row r="154" spans="1:11" ht="15.75" customHeight="1">
      <c r="A154" s="14"/>
      <c r="B154" s="14"/>
      <c r="C154" s="14"/>
      <c r="D154" s="14"/>
      <c r="E154" s="14"/>
      <c r="F154" s="16" t="str">
        <f>IF(OR($A154="",NOT(ISNUMBER($B154))),"",SUMIFS(community_cores_FS!$P$5:$P$597,community_cores_FS!$B$5:$B$597,$A154,community_cores_FS!$F$5:$F$597,"&lt;="&amp;$B154)+SUMPRODUCT((community_cores_FS!$B$5:$B$597=$A154)*(community_cores_FS!$E$5:$E$597&lt;$B154)*(community_cores_FS!$F$5:$F$597&gt;$B154)*community_cores_FS!$R$5:$R$597*($B154-community_cores_FS!$E$5:$E$597)))</f>
        <v/>
      </c>
      <c r="G154" s="16" t="str">
        <f>IF(OR($A154="",NOT(ISNUMBER($B154)),NOT(ISNUMBER($C154))),"",IFERROR(($B154-$K154)/($C154-IF($K154=0,0,SUMIFS('4. Chronology'!$C$5:$C$204,'4. Chronology'!$A$5:$A$204,$A154,'4. Chronology'!$B$5:$B$204,$K154))),""))</f>
        <v/>
      </c>
      <c r="H154" s="16" t="str">
        <f>IF(OR($A154="",NOT(ISNUMBER($F154)),NOT(ISNUMBER($C154))),"",IFERROR((($F154-IF($K154=0,0,SUMIFS('4. Chronology'!$F$5:$F$204,'4. Chronology'!$A$5:$A$204,$A154,'4. Chronology'!$B$5:$B$204,$K154)))*1000)/($C154-IF($K154=0,0,SUMIFS('4. Chronology'!$C$5:$C$204,'4. Chronology'!$A$5:$A$204,$A154,'4. Chronology'!$B$5:$B$204,$K154))),""))</f>
        <v/>
      </c>
      <c r="I154" s="16" t="str">
        <f>IF($A154="","",IF(COUNTIF('2. Core Log'!$A$5:$A$124,$A154)=0,"Core ID not in Core Log. ","")&amp;IF($E154="","No date source given — RERCA and LORCA need to know which method produced this age. ","")&amp;IF(AND(ISNUMBER($C154),$C154&lt;0),"Negative age: this horizon post-dates the coring year. Check the conversion. ","")&amp;IF(AND(ISNUMBER($G154),$G154&lt;0),"Age reversal — this horizon is younger than one above it. A mixed or disturbed profile may not be datable at all. ","")&amp;IF(AND(ISNUMBER($D154),ISNUMBER($C154),$C154&gt;0,$D154/$C154&gt;0.5),"Age uncertainty exceeds 50% of the age. Usable as an indication only. ","")&amp;IF(AND($D154="",$C154&lt;&gt;""),"No uncertainty given. Every radiometric age has one; a rate without it cannot be defended. ",""))</f>
        <v/>
      </c>
      <c r="J154" s="16">
        <f t="shared" si="0"/>
        <v>0</v>
      </c>
      <c r="K154" s="16" t="str">
        <f>IF(OR($A154="",NOT(ISNUMBER($B154))),"",SUMPRODUCT(MAX(('4. Chronology'!$A$5:$A$204=$A154)*('4. Chronology'!$B$5:$B$204&lt;$B154)*'4. Chronology'!$B$5:$B$204)))</f>
        <v/>
      </c>
    </row>
    <row r="155" spans="1:11" ht="15.75" customHeight="1">
      <c r="A155" s="14"/>
      <c r="B155" s="14"/>
      <c r="C155" s="14"/>
      <c r="D155" s="14"/>
      <c r="E155" s="14"/>
      <c r="F155" s="16" t="str">
        <f>IF(OR($A155="",NOT(ISNUMBER($B155))),"",SUMIFS(community_cores_FS!$P$5:$P$597,community_cores_FS!$B$5:$B$597,$A155,community_cores_FS!$F$5:$F$597,"&lt;="&amp;$B155)+SUMPRODUCT((community_cores_FS!$B$5:$B$597=$A155)*(community_cores_FS!$E$5:$E$597&lt;$B155)*(community_cores_FS!$F$5:$F$597&gt;$B155)*community_cores_FS!$R$5:$R$597*($B155-community_cores_FS!$E$5:$E$597)))</f>
        <v/>
      </c>
      <c r="G155" s="16" t="str">
        <f>IF(OR($A155="",NOT(ISNUMBER($B155)),NOT(ISNUMBER($C155))),"",IFERROR(($B155-$K155)/($C155-IF($K155=0,0,SUMIFS('4. Chronology'!$C$5:$C$204,'4. Chronology'!$A$5:$A$204,$A155,'4. Chronology'!$B$5:$B$204,$K155))),""))</f>
        <v/>
      </c>
      <c r="H155" s="16" t="str">
        <f>IF(OR($A155="",NOT(ISNUMBER($F155)),NOT(ISNUMBER($C155))),"",IFERROR((($F155-IF($K155=0,0,SUMIFS('4. Chronology'!$F$5:$F$204,'4. Chronology'!$A$5:$A$204,$A155,'4. Chronology'!$B$5:$B$204,$K155)))*1000)/($C155-IF($K155=0,0,SUMIFS('4. Chronology'!$C$5:$C$204,'4. Chronology'!$A$5:$A$204,$A155,'4. Chronology'!$B$5:$B$204,$K155))),""))</f>
        <v/>
      </c>
      <c r="I155" s="16" t="str">
        <f>IF($A155="","",IF(COUNTIF('2. Core Log'!$A$5:$A$124,$A155)=0,"Core ID not in Core Log. ","")&amp;IF($E155="","No date source given — RERCA and LORCA need to know which method produced this age. ","")&amp;IF(AND(ISNUMBER($C155),$C155&lt;0),"Negative age: this horizon post-dates the coring year. Check the conversion. ","")&amp;IF(AND(ISNUMBER($G155),$G155&lt;0),"Age reversal — this horizon is younger than one above it. A mixed or disturbed profile may not be datable at all. ","")&amp;IF(AND(ISNUMBER($D155),ISNUMBER($C155),$C155&gt;0,$D155/$C155&gt;0.5),"Age uncertainty exceeds 50% of the age. Usable as an indication only. ","")&amp;IF(AND($D155="",$C155&lt;&gt;""),"No uncertainty given. Every radiometric age has one; a rate without it cannot be defended. ",""))</f>
        <v/>
      </c>
      <c r="J155" s="16">
        <f t="shared" si="0"/>
        <v>0</v>
      </c>
      <c r="K155" s="16" t="str">
        <f>IF(OR($A155="",NOT(ISNUMBER($B155))),"",SUMPRODUCT(MAX(('4. Chronology'!$A$5:$A$204=$A155)*('4. Chronology'!$B$5:$B$204&lt;$B155)*'4. Chronology'!$B$5:$B$204)))</f>
        <v/>
      </c>
    </row>
    <row r="156" spans="1:11" ht="15.75" customHeight="1">
      <c r="A156" s="14"/>
      <c r="B156" s="14"/>
      <c r="C156" s="14"/>
      <c r="D156" s="14"/>
      <c r="E156" s="14"/>
      <c r="F156" s="16" t="str">
        <f>IF(OR($A156="",NOT(ISNUMBER($B156))),"",SUMIFS(community_cores_FS!$P$5:$P$597,community_cores_FS!$B$5:$B$597,$A156,community_cores_FS!$F$5:$F$597,"&lt;="&amp;$B156)+SUMPRODUCT((community_cores_FS!$B$5:$B$597=$A156)*(community_cores_FS!$E$5:$E$597&lt;$B156)*(community_cores_FS!$F$5:$F$597&gt;$B156)*community_cores_FS!$R$5:$R$597*($B156-community_cores_FS!$E$5:$E$597)))</f>
        <v/>
      </c>
      <c r="G156" s="16" t="str">
        <f>IF(OR($A156="",NOT(ISNUMBER($B156)),NOT(ISNUMBER($C156))),"",IFERROR(($B156-$K156)/($C156-IF($K156=0,0,SUMIFS('4. Chronology'!$C$5:$C$204,'4. Chronology'!$A$5:$A$204,$A156,'4. Chronology'!$B$5:$B$204,$K156))),""))</f>
        <v/>
      </c>
      <c r="H156" s="16" t="str">
        <f>IF(OR($A156="",NOT(ISNUMBER($F156)),NOT(ISNUMBER($C156))),"",IFERROR((($F156-IF($K156=0,0,SUMIFS('4. Chronology'!$F$5:$F$204,'4. Chronology'!$A$5:$A$204,$A156,'4. Chronology'!$B$5:$B$204,$K156)))*1000)/($C156-IF($K156=0,0,SUMIFS('4. Chronology'!$C$5:$C$204,'4. Chronology'!$A$5:$A$204,$A156,'4. Chronology'!$B$5:$B$204,$K156))),""))</f>
        <v/>
      </c>
      <c r="I156" s="16" t="str">
        <f>IF($A156="","",IF(COUNTIF('2. Core Log'!$A$5:$A$124,$A156)=0,"Core ID not in Core Log. ","")&amp;IF($E156="","No date source given — RERCA and LORCA need to know which method produced this age. ","")&amp;IF(AND(ISNUMBER($C156),$C156&lt;0),"Negative age: this horizon post-dates the coring year. Check the conversion. ","")&amp;IF(AND(ISNUMBER($G156),$G156&lt;0),"Age reversal — this horizon is younger than one above it. A mixed or disturbed profile may not be datable at all. ","")&amp;IF(AND(ISNUMBER($D156),ISNUMBER($C156),$C156&gt;0,$D156/$C156&gt;0.5),"Age uncertainty exceeds 50% of the age. Usable as an indication only. ","")&amp;IF(AND($D156="",$C156&lt;&gt;""),"No uncertainty given. Every radiometric age has one; a rate without it cannot be defended. ",""))</f>
        <v/>
      </c>
      <c r="J156" s="16">
        <f t="shared" si="0"/>
        <v>0</v>
      </c>
      <c r="K156" s="16" t="str">
        <f>IF(OR($A156="",NOT(ISNUMBER($B156))),"",SUMPRODUCT(MAX(('4. Chronology'!$A$5:$A$204=$A156)*('4. Chronology'!$B$5:$B$204&lt;$B156)*'4. Chronology'!$B$5:$B$204)))</f>
        <v/>
      </c>
    </row>
    <row r="157" spans="1:11" ht="15.75" customHeight="1">
      <c r="A157" s="14"/>
      <c r="B157" s="14"/>
      <c r="C157" s="14"/>
      <c r="D157" s="14"/>
      <c r="E157" s="14"/>
      <c r="F157" s="16" t="str">
        <f>IF(OR($A157="",NOT(ISNUMBER($B157))),"",SUMIFS(community_cores_FS!$P$5:$P$597,community_cores_FS!$B$5:$B$597,$A157,community_cores_FS!$F$5:$F$597,"&lt;="&amp;$B157)+SUMPRODUCT((community_cores_FS!$B$5:$B$597=$A157)*(community_cores_FS!$E$5:$E$597&lt;$B157)*(community_cores_FS!$F$5:$F$597&gt;$B157)*community_cores_FS!$R$5:$R$597*($B157-community_cores_FS!$E$5:$E$597)))</f>
        <v/>
      </c>
      <c r="G157" s="16" t="str">
        <f>IF(OR($A157="",NOT(ISNUMBER($B157)),NOT(ISNUMBER($C157))),"",IFERROR(($B157-$K157)/($C157-IF($K157=0,0,SUMIFS('4. Chronology'!$C$5:$C$204,'4. Chronology'!$A$5:$A$204,$A157,'4. Chronology'!$B$5:$B$204,$K157))),""))</f>
        <v/>
      </c>
      <c r="H157" s="16" t="str">
        <f>IF(OR($A157="",NOT(ISNUMBER($F157)),NOT(ISNUMBER($C157))),"",IFERROR((($F157-IF($K157=0,0,SUMIFS('4. Chronology'!$F$5:$F$204,'4. Chronology'!$A$5:$A$204,$A157,'4. Chronology'!$B$5:$B$204,$K157)))*1000)/($C157-IF($K157=0,0,SUMIFS('4. Chronology'!$C$5:$C$204,'4. Chronology'!$A$5:$A$204,$A157,'4. Chronology'!$B$5:$B$204,$K157))),""))</f>
        <v/>
      </c>
      <c r="I157" s="16" t="str">
        <f>IF($A157="","",IF(COUNTIF('2. Core Log'!$A$5:$A$124,$A157)=0,"Core ID not in Core Log. ","")&amp;IF($E157="","No date source given — RERCA and LORCA need to know which method produced this age. ","")&amp;IF(AND(ISNUMBER($C157),$C157&lt;0),"Negative age: this horizon post-dates the coring year. Check the conversion. ","")&amp;IF(AND(ISNUMBER($G157),$G157&lt;0),"Age reversal — this horizon is younger than one above it. A mixed or disturbed profile may not be datable at all. ","")&amp;IF(AND(ISNUMBER($D157),ISNUMBER($C157),$C157&gt;0,$D157/$C157&gt;0.5),"Age uncertainty exceeds 50% of the age. Usable as an indication only. ","")&amp;IF(AND($D157="",$C157&lt;&gt;""),"No uncertainty given. Every radiometric age has one; a rate without it cannot be defended. ",""))</f>
        <v/>
      </c>
      <c r="J157" s="16">
        <f t="shared" si="0"/>
        <v>0</v>
      </c>
      <c r="K157" s="16" t="str">
        <f>IF(OR($A157="",NOT(ISNUMBER($B157))),"",SUMPRODUCT(MAX(('4. Chronology'!$A$5:$A$204=$A157)*('4. Chronology'!$B$5:$B$204&lt;$B157)*'4. Chronology'!$B$5:$B$204)))</f>
        <v/>
      </c>
    </row>
    <row r="158" spans="1:11" ht="15.75" customHeight="1">
      <c r="A158" s="14"/>
      <c r="B158" s="14"/>
      <c r="C158" s="14"/>
      <c r="D158" s="14"/>
      <c r="E158" s="14"/>
      <c r="F158" s="16" t="str">
        <f>IF(OR($A158="",NOT(ISNUMBER($B158))),"",SUMIFS(community_cores_FS!$P$5:$P$597,community_cores_FS!$B$5:$B$597,$A158,community_cores_FS!$F$5:$F$597,"&lt;="&amp;$B158)+SUMPRODUCT((community_cores_FS!$B$5:$B$597=$A158)*(community_cores_FS!$E$5:$E$597&lt;$B158)*(community_cores_FS!$F$5:$F$597&gt;$B158)*community_cores_FS!$R$5:$R$597*($B158-community_cores_FS!$E$5:$E$597)))</f>
        <v/>
      </c>
      <c r="G158" s="16" t="str">
        <f>IF(OR($A158="",NOT(ISNUMBER($B158)),NOT(ISNUMBER($C158))),"",IFERROR(($B158-$K158)/($C158-IF($K158=0,0,SUMIFS('4. Chronology'!$C$5:$C$204,'4. Chronology'!$A$5:$A$204,$A158,'4. Chronology'!$B$5:$B$204,$K158))),""))</f>
        <v/>
      </c>
      <c r="H158" s="16" t="str">
        <f>IF(OR($A158="",NOT(ISNUMBER($F158)),NOT(ISNUMBER($C158))),"",IFERROR((($F158-IF($K158=0,0,SUMIFS('4. Chronology'!$F$5:$F$204,'4. Chronology'!$A$5:$A$204,$A158,'4. Chronology'!$B$5:$B$204,$K158)))*1000)/($C158-IF($K158=0,0,SUMIFS('4. Chronology'!$C$5:$C$204,'4. Chronology'!$A$5:$A$204,$A158,'4. Chronology'!$B$5:$B$204,$K158))),""))</f>
        <v/>
      </c>
      <c r="I158" s="16" t="str">
        <f>IF($A158="","",IF(COUNTIF('2. Core Log'!$A$5:$A$124,$A158)=0,"Core ID not in Core Log. ","")&amp;IF($E158="","No date source given — RERCA and LORCA need to know which method produced this age. ","")&amp;IF(AND(ISNUMBER($C158),$C158&lt;0),"Negative age: this horizon post-dates the coring year. Check the conversion. ","")&amp;IF(AND(ISNUMBER($G158),$G158&lt;0),"Age reversal — this horizon is younger than one above it. A mixed or disturbed profile may not be datable at all. ","")&amp;IF(AND(ISNUMBER($D158),ISNUMBER($C158),$C158&gt;0,$D158/$C158&gt;0.5),"Age uncertainty exceeds 50% of the age. Usable as an indication only. ","")&amp;IF(AND($D158="",$C158&lt;&gt;""),"No uncertainty given. Every radiometric age has one; a rate without it cannot be defended. ",""))</f>
        <v/>
      </c>
      <c r="J158" s="16">
        <f t="shared" si="0"/>
        <v>0</v>
      </c>
      <c r="K158" s="16" t="str">
        <f>IF(OR($A158="",NOT(ISNUMBER($B158))),"",SUMPRODUCT(MAX(('4. Chronology'!$A$5:$A$204=$A158)*('4. Chronology'!$B$5:$B$204&lt;$B158)*'4. Chronology'!$B$5:$B$204)))</f>
        <v/>
      </c>
    </row>
    <row r="159" spans="1:11" ht="15.75" customHeight="1">
      <c r="A159" s="14"/>
      <c r="B159" s="14"/>
      <c r="C159" s="14"/>
      <c r="D159" s="14"/>
      <c r="E159" s="14"/>
      <c r="F159" s="16" t="str">
        <f>IF(OR($A159="",NOT(ISNUMBER($B159))),"",SUMIFS(community_cores_FS!$P$5:$P$597,community_cores_FS!$B$5:$B$597,$A159,community_cores_FS!$F$5:$F$597,"&lt;="&amp;$B159)+SUMPRODUCT((community_cores_FS!$B$5:$B$597=$A159)*(community_cores_FS!$E$5:$E$597&lt;$B159)*(community_cores_FS!$F$5:$F$597&gt;$B159)*community_cores_FS!$R$5:$R$597*($B159-community_cores_FS!$E$5:$E$597)))</f>
        <v/>
      </c>
      <c r="G159" s="16" t="str">
        <f>IF(OR($A159="",NOT(ISNUMBER($B159)),NOT(ISNUMBER($C159))),"",IFERROR(($B159-$K159)/($C159-IF($K159=0,0,SUMIFS('4. Chronology'!$C$5:$C$204,'4. Chronology'!$A$5:$A$204,$A159,'4. Chronology'!$B$5:$B$204,$K159))),""))</f>
        <v/>
      </c>
      <c r="H159" s="16" t="str">
        <f>IF(OR($A159="",NOT(ISNUMBER($F159)),NOT(ISNUMBER($C159))),"",IFERROR((($F159-IF($K159=0,0,SUMIFS('4. Chronology'!$F$5:$F$204,'4. Chronology'!$A$5:$A$204,$A159,'4. Chronology'!$B$5:$B$204,$K159)))*1000)/($C159-IF($K159=0,0,SUMIFS('4. Chronology'!$C$5:$C$204,'4. Chronology'!$A$5:$A$204,$A159,'4. Chronology'!$B$5:$B$204,$K159))),""))</f>
        <v/>
      </c>
      <c r="I159" s="16" t="str">
        <f>IF($A159="","",IF(COUNTIF('2. Core Log'!$A$5:$A$124,$A159)=0,"Core ID not in Core Log. ","")&amp;IF($E159="","No date source given — RERCA and LORCA need to know which method produced this age. ","")&amp;IF(AND(ISNUMBER($C159),$C159&lt;0),"Negative age: this horizon post-dates the coring year. Check the conversion. ","")&amp;IF(AND(ISNUMBER($G159),$G159&lt;0),"Age reversal — this horizon is younger than one above it. A mixed or disturbed profile may not be datable at all. ","")&amp;IF(AND(ISNUMBER($D159),ISNUMBER($C159),$C159&gt;0,$D159/$C159&gt;0.5),"Age uncertainty exceeds 50% of the age. Usable as an indication only. ","")&amp;IF(AND($D159="",$C159&lt;&gt;""),"No uncertainty given. Every radiometric age has one; a rate without it cannot be defended. ",""))</f>
        <v/>
      </c>
      <c r="J159" s="16">
        <f t="shared" si="0"/>
        <v>0</v>
      </c>
      <c r="K159" s="16" t="str">
        <f>IF(OR($A159="",NOT(ISNUMBER($B159))),"",SUMPRODUCT(MAX(('4. Chronology'!$A$5:$A$204=$A159)*('4. Chronology'!$B$5:$B$204&lt;$B159)*'4. Chronology'!$B$5:$B$204)))</f>
        <v/>
      </c>
    </row>
    <row r="160" spans="1:11" ht="15.75" customHeight="1">
      <c r="A160" s="14"/>
      <c r="B160" s="14"/>
      <c r="C160" s="14"/>
      <c r="D160" s="14"/>
      <c r="E160" s="14"/>
      <c r="F160" s="16" t="str">
        <f>IF(OR($A160="",NOT(ISNUMBER($B160))),"",SUMIFS(community_cores_FS!$P$5:$P$597,community_cores_FS!$B$5:$B$597,$A160,community_cores_FS!$F$5:$F$597,"&lt;="&amp;$B160)+SUMPRODUCT((community_cores_FS!$B$5:$B$597=$A160)*(community_cores_FS!$E$5:$E$597&lt;$B160)*(community_cores_FS!$F$5:$F$597&gt;$B160)*community_cores_FS!$R$5:$R$597*($B160-community_cores_FS!$E$5:$E$597)))</f>
        <v/>
      </c>
      <c r="G160" s="16" t="str">
        <f>IF(OR($A160="",NOT(ISNUMBER($B160)),NOT(ISNUMBER($C160))),"",IFERROR(($B160-$K160)/($C160-IF($K160=0,0,SUMIFS('4. Chronology'!$C$5:$C$204,'4. Chronology'!$A$5:$A$204,$A160,'4. Chronology'!$B$5:$B$204,$K160))),""))</f>
        <v/>
      </c>
      <c r="H160" s="16" t="str">
        <f>IF(OR($A160="",NOT(ISNUMBER($F160)),NOT(ISNUMBER($C160))),"",IFERROR((($F160-IF($K160=0,0,SUMIFS('4. Chronology'!$F$5:$F$204,'4. Chronology'!$A$5:$A$204,$A160,'4. Chronology'!$B$5:$B$204,$K160)))*1000)/($C160-IF($K160=0,0,SUMIFS('4. Chronology'!$C$5:$C$204,'4. Chronology'!$A$5:$A$204,$A160,'4. Chronology'!$B$5:$B$204,$K160))),""))</f>
        <v/>
      </c>
      <c r="I160" s="16" t="str">
        <f>IF($A160="","",IF(COUNTIF('2. Core Log'!$A$5:$A$124,$A160)=0,"Core ID not in Core Log. ","")&amp;IF($E160="","No date source given — RERCA and LORCA need to know which method produced this age. ","")&amp;IF(AND(ISNUMBER($C160),$C160&lt;0),"Negative age: this horizon post-dates the coring year. Check the conversion. ","")&amp;IF(AND(ISNUMBER($G160),$G160&lt;0),"Age reversal — this horizon is younger than one above it. A mixed or disturbed profile may not be datable at all. ","")&amp;IF(AND(ISNUMBER($D160),ISNUMBER($C160),$C160&gt;0,$D160/$C160&gt;0.5),"Age uncertainty exceeds 50% of the age. Usable as an indication only. ","")&amp;IF(AND($D160="",$C160&lt;&gt;""),"No uncertainty given. Every radiometric age has one; a rate without it cannot be defended. ",""))</f>
        <v/>
      </c>
      <c r="J160" s="16">
        <f t="shared" si="0"/>
        <v>0</v>
      </c>
      <c r="K160" s="16" t="str">
        <f>IF(OR($A160="",NOT(ISNUMBER($B160))),"",SUMPRODUCT(MAX(('4. Chronology'!$A$5:$A$204=$A160)*('4. Chronology'!$B$5:$B$204&lt;$B160)*'4. Chronology'!$B$5:$B$204)))</f>
        <v/>
      </c>
    </row>
    <row r="161" spans="1:11" ht="15.75" customHeight="1">
      <c r="A161" s="14"/>
      <c r="B161" s="14"/>
      <c r="C161" s="14"/>
      <c r="D161" s="14"/>
      <c r="E161" s="14"/>
      <c r="F161" s="16" t="str">
        <f>IF(OR($A161="",NOT(ISNUMBER($B161))),"",SUMIFS(community_cores_FS!$P$5:$P$597,community_cores_FS!$B$5:$B$597,$A161,community_cores_FS!$F$5:$F$597,"&lt;="&amp;$B161)+SUMPRODUCT((community_cores_FS!$B$5:$B$597=$A161)*(community_cores_FS!$E$5:$E$597&lt;$B161)*(community_cores_FS!$F$5:$F$597&gt;$B161)*community_cores_FS!$R$5:$R$597*($B161-community_cores_FS!$E$5:$E$597)))</f>
        <v/>
      </c>
      <c r="G161" s="16" t="str">
        <f>IF(OR($A161="",NOT(ISNUMBER($B161)),NOT(ISNUMBER($C161))),"",IFERROR(($B161-$K161)/($C161-IF($K161=0,0,SUMIFS('4. Chronology'!$C$5:$C$204,'4. Chronology'!$A$5:$A$204,$A161,'4. Chronology'!$B$5:$B$204,$K161))),""))</f>
        <v/>
      </c>
      <c r="H161" s="16" t="str">
        <f>IF(OR($A161="",NOT(ISNUMBER($F161)),NOT(ISNUMBER($C161))),"",IFERROR((($F161-IF($K161=0,0,SUMIFS('4. Chronology'!$F$5:$F$204,'4. Chronology'!$A$5:$A$204,$A161,'4. Chronology'!$B$5:$B$204,$K161)))*1000)/($C161-IF($K161=0,0,SUMIFS('4. Chronology'!$C$5:$C$204,'4. Chronology'!$A$5:$A$204,$A161,'4. Chronology'!$B$5:$B$204,$K161))),""))</f>
        <v/>
      </c>
      <c r="I161" s="16" t="str">
        <f>IF($A161="","",IF(COUNTIF('2. Core Log'!$A$5:$A$124,$A161)=0,"Core ID not in Core Log. ","")&amp;IF($E161="","No date source given — RERCA and LORCA need to know which method produced this age. ","")&amp;IF(AND(ISNUMBER($C161),$C161&lt;0),"Negative age: this horizon post-dates the coring year. Check the conversion. ","")&amp;IF(AND(ISNUMBER($G161),$G161&lt;0),"Age reversal — this horizon is younger than one above it. A mixed or disturbed profile may not be datable at all. ","")&amp;IF(AND(ISNUMBER($D161),ISNUMBER($C161),$C161&gt;0,$D161/$C161&gt;0.5),"Age uncertainty exceeds 50% of the age. Usable as an indication only. ","")&amp;IF(AND($D161="",$C161&lt;&gt;""),"No uncertainty given. Every radiometric age has one; a rate without it cannot be defended. ",""))</f>
        <v/>
      </c>
      <c r="J161" s="16">
        <f t="shared" si="0"/>
        <v>0</v>
      </c>
      <c r="K161" s="16" t="str">
        <f>IF(OR($A161="",NOT(ISNUMBER($B161))),"",SUMPRODUCT(MAX(('4. Chronology'!$A$5:$A$204=$A161)*('4. Chronology'!$B$5:$B$204&lt;$B161)*'4. Chronology'!$B$5:$B$204)))</f>
        <v/>
      </c>
    </row>
    <row r="162" spans="1:11" ht="15.75" customHeight="1">
      <c r="A162" s="14"/>
      <c r="B162" s="14"/>
      <c r="C162" s="14"/>
      <c r="D162" s="14"/>
      <c r="E162" s="14"/>
      <c r="F162" s="16" t="str">
        <f>IF(OR($A162="",NOT(ISNUMBER($B162))),"",SUMIFS(community_cores_FS!$P$5:$P$597,community_cores_FS!$B$5:$B$597,$A162,community_cores_FS!$F$5:$F$597,"&lt;="&amp;$B162)+SUMPRODUCT((community_cores_FS!$B$5:$B$597=$A162)*(community_cores_FS!$E$5:$E$597&lt;$B162)*(community_cores_FS!$F$5:$F$597&gt;$B162)*community_cores_FS!$R$5:$R$597*($B162-community_cores_FS!$E$5:$E$597)))</f>
        <v/>
      </c>
      <c r="G162" s="16" t="str">
        <f>IF(OR($A162="",NOT(ISNUMBER($B162)),NOT(ISNUMBER($C162))),"",IFERROR(($B162-$K162)/($C162-IF($K162=0,0,SUMIFS('4. Chronology'!$C$5:$C$204,'4. Chronology'!$A$5:$A$204,$A162,'4. Chronology'!$B$5:$B$204,$K162))),""))</f>
        <v/>
      </c>
      <c r="H162" s="16" t="str">
        <f>IF(OR($A162="",NOT(ISNUMBER($F162)),NOT(ISNUMBER($C162))),"",IFERROR((($F162-IF($K162=0,0,SUMIFS('4. Chronology'!$F$5:$F$204,'4. Chronology'!$A$5:$A$204,$A162,'4. Chronology'!$B$5:$B$204,$K162)))*1000)/($C162-IF($K162=0,0,SUMIFS('4. Chronology'!$C$5:$C$204,'4. Chronology'!$A$5:$A$204,$A162,'4. Chronology'!$B$5:$B$204,$K162))),""))</f>
        <v/>
      </c>
      <c r="I162" s="16" t="str">
        <f>IF($A162="","",IF(COUNTIF('2. Core Log'!$A$5:$A$124,$A162)=0,"Core ID not in Core Log. ","")&amp;IF($E162="","No date source given — RERCA and LORCA need to know which method produced this age. ","")&amp;IF(AND(ISNUMBER($C162),$C162&lt;0),"Negative age: this horizon post-dates the coring year. Check the conversion. ","")&amp;IF(AND(ISNUMBER($G162),$G162&lt;0),"Age reversal — this horizon is younger than one above it. A mixed or disturbed profile may not be datable at all. ","")&amp;IF(AND(ISNUMBER($D162),ISNUMBER($C162),$C162&gt;0,$D162/$C162&gt;0.5),"Age uncertainty exceeds 50% of the age. Usable as an indication only. ","")&amp;IF(AND($D162="",$C162&lt;&gt;""),"No uncertainty given. Every radiometric age has one; a rate without it cannot be defended. ",""))</f>
        <v/>
      </c>
      <c r="J162" s="16">
        <f t="shared" si="0"/>
        <v>0</v>
      </c>
      <c r="K162" s="16" t="str">
        <f>IF(OR($A162="",NOT(ISNUMBER($B162))),"",SUMPRODUCT(MAX(('4. Chronology'!$A$5:$A$204=$A162)*('4. Chronology'!$B$5:$B$204&lt;$B162)*'4. Chronology'!$B$5:$B$204)))</f>
        <v/>
      </c>
    </row>
    <row r="163" spans="1:11" ht="15.75" customHeight="1">
      <c r="A163" s="14"/>
      <c r="B163" s="14"/>
      <c r="C163" s="14"/>
      <c r="D163" s="14"/>
      <c r="E163" s="14"/>
      <c r="F163" s="16" t="str">
        <f>IF(OR($A163="",NOT(ISNUMBER($B163))),"",SUMIFS(community_cores_FS!$P$5:$P$597,community_cores_FS!$B$5:$B$597,$A163,community_cores_FS!$F$5:$F$597,"&lt;="&amp;$B163)+SUMPRODUCT((community_cores_FS!$B$5:$B$597=$A163)*(community_cores_FS!$E$5:$E$597&lt;$B163)*(community_cores_FS!$F$5:$F$597&gt;$B163)*community_cores_FS!$R$5:$R$597*($B163-community_cores_FS!$E$5:$E$597)))</f>
        <v/>
      </c>
      <c r="G163" s="16" t="str">
        <f>IF(OR($A163="",NOT(ISNUMBER($B163)),NOT(ISNUMBER($C163))),"",IFERROR(($B163-$K163)/($C163-IF($K163=0,0,SUMIFS('4. Chronology'!$C$5:$C$204,'4. Chronology'!$A$5:$A$204,$A163,'4. Chronology'!$B$5:$B$204,$K163))),""))</f>
        <v/>
      </c>
      <c r="H163" s="16" t="str">
        <f>IF(OR($A163="",NOT(ISNUMBER($F163)),NOT(ISNUMBER($C163))),"",IFERROR((($F163-IF($K163=0,0,SUMIFS('4. Chronology'!$F$5:$F$204,'4. Chronology'!$A$5:$A$204,$A163,'4. Chronology'!$B$5:$B$204,$K163)))*1000)/($C163-IF($K163=0,0,SUMIFS('4. Chronology'!$C$5:$C$204,'4. Chronology'!$A$5:$A$204,$A163,'4. Chronology'!$B$5:$B$204,$K163))),""))</f>
        <v/>
      </c>
      <c r="I163" s="16" t="str">
        <f>IF($A163="","",IF(COUNTIF('2. Core Log'!$A$5:$A$124,$A163)=0,"Core ID not in Core Log. ","")&amp;IF($E163="","No date source given — RERCA and LORCA need to know which method produced this age. ","")&amp;IF(AND(ISNUMBER($C163),$C163&lt;0),"Negative age: this horizon post-dates the coring year. Check the conversion. ","")&amp;IF(AND(ISNUMBER($G163),$G163&lt;0),"Age reversal — this horizon is younger than one above it. A mixed or disturbed profile may not be datable at all. ","")&amp;IF(AND(ISNUMBER($D163),ISNUMBER($C163),$C163&gt;0,$D163/$C163&gt;0.5),"Age uncertainty exceeds 50% of the age. Usable as an indication only. ","")&amp;IF(AND($D163="",$C163&lt;&gt;""),"No uncertainty given. Every radiometric age has one; a rate without it cannot be defended. ",""))</f>
        <v/>
      </c>
      <c r="J163" s="16">
        <f t="shared" si="0"/>
        <v>0</v>
      </c>
      <c r="K163" s="16" t="str">
        <f>IF(OR($A163="",NOT(ISNUMBER($B163))),"",SUMPRODUCT(MAX(('4. Chronology'!$A$5:$A$204=$A163)*('4. Chronology'!$B$5:$B$204&lt;$B163)*'4. Chronology'!$B$5:$B$204)))</f>
        <v/>
      </c>
    </row>
    <row r="164" spans="1:11" ht="15.75" customHeight="1">
      <c r="A164" s="14"/>
      <c r="B164" s="14"/>
      <c r="C164" s="14"/>
      <c r="D164" s="14"/>
      <c r="E164" s="14"/>
      <c r="F164" s="16" t="str">
        <f>IF(OR($A164="",NOT(ISNUMBER($B164))),"",SUMIFS(community_cores_FS!$P$5:$P$597,community_cores_FS!$B$5:$B$597,$A164,community_cores_FS!$F$5:$F$597,"&lt;="&amp;$B164)+SUMPRODUCT((community_cores_FS!$B$5:$B$597=$A164)*(community_cores_FS!$E$5:$E$597&lt;$B164)*(community_cores_FS!$F$5:$F$597&gt;$B164)*community_cores_FS!$R$5:$R$597*($B164-community_cores_FS!$E$5:$E$597)))</f>
        <v/>
      </c>
      <c r="G164" s="16" t="str">
        <f>IF(OR($A164="",NOT(ISNUMBER($B164)),NOT(ISNUMBER($C164))),"",IFERROR(($B164-$K164)/($C164-IF($K164=0,0,SUMIFS('4. Chronology'!$C$5:$C$204,'4. Chronology'!$A$5:$A$204,$A164,'4. Chronology'!$B$5:$B$204,$K164))),""))</f>
        <v/>
      </c>
      <c r="H164" s="16" t="str">
        <f>IF(OR($A164="",NOT(ISNUMBER($F164)),NOT(ISNUMBER($C164))),"",IFERROR((($F164-IF($K164=0,0,SUMIFS('4. Chronology'!$F$5:$F$204,'4. Chronology'!$A$5:$A$204,$A164,'4. Chronology'!$B$5:$B$204,$K164)))*1000)/($C164-IF($K164=0,0,SUMIFS('4. Chronology'!$C$5:$C$204,'4. Chronology'!$A$5:$A$204,$A164,'4. Chronology'!$B$5:$B$204,$K164))),""))</f>
        <v/>
      </c>
      <c r="I164" s="16" t="str">
        <f>IF($A164="","",IF(COUNTIF('2. Core Log'!$A$5:$A$124,$A164)=0,"Core ID not in Core Log. ","")&amp;IF($E164="","No date source given — RERCA and LORCA need to know which method produced this age. ","")&amp;IF(AND(ISNUMBER($C164),$C164&lt;0),"Negative age: this horizon post-dates the coring year. Check the conversion. ","")&amp;IF(AND(ISNUMBER($G164),$G164&lt;0),"Age reversal — this horizon is younger than one above it. A mixed or disturbed profile may not be datable at all. ","")&amp;IF(AND(ISNUMBER($D164),ISNUMBER($C164),$C164&gt;0,$D164/$C164&gt;0.5),"Age uncertainty exceeds 50% of the age. Usable as an indication only. ","")&amp;IF(AND($D164="",$C164&lt;&gt;""),"No uncertainty given. Every radiometric age has one; a rate without it cannot be defended. ",""))</f>
        <v/>
      </c>
      <c r="J164" s="16">
        <f t="shared" si="0"/>
        <v>0</v>
      </c>
      <c r="K164" s="16" t="str">
        <f>IF(OR($A164="",NOT(ISNUMBER($B164))),"",SUMPRODUCT(MAX(('4. Chronology'!$A$5:$A$204=$A164)*('4. Chronology'!$B$5:$B$204&lt;$B164)*'4. Chronology'!$B$5:$B$204)))</f>
        <v/>
      </c>
    </row>
    <row r="165" spans="1:11" ht="15.75" customHeight="1">
      <c r="A165" s="14"/>
      <c r="B165" s="14"/>
      <c r="C165" s="14"/>
      <c r="D165" s="14"/>
      <c r="E165" s="14"/>
      <c r="F165" s="16" t="str">
        <f>IF(OR($A165="",NOT(ISNUMBER($B165))),"",SUMIFS(community_cores_FS!$P$5:$P$597,community_cores_FS!$B$5:$B$597,$A165,community_cores_FS!$F$5:$F$597,"&lt;="&amp;$B165)+SUMPRODUCT((community_cores_FS!$B$5:$B$597=$A165)*(community_cores_FS!$E$5:$E$597&lt;$B165)*(community_cores_FS!$F$5:$F$597&gt;$B165)*community_cores_FS!$R$5:$R$597*($B165-community_cores_FS!$E$5:$E$597)))</f>
        <v/>
      </c>
      <c r="G165" s="16" t="str">
        <f>IF(OR($A165="",NOT(ISNUMBER($B165)),NOT(ISNUMBER($C165))),"",IFERROR(($B165-$K165)/($C165-IF($K165=0,0,SUMIFS('4. Chronology'!$C$5:$C$204,'4. Chronology'!$A$5:$A$204,$A165,'4. Chronology'!$B$5:$B$204,$K165))),""))</f>
        <v/>
      </c>
      <c r="H165" s="16" t="str">
        <f>IF(OR($A165="",NOT(ISNUMBER($F165)),NOT(ISNUMBER($C165))),"",IFERROR((($F165-IF($K165=0,0,SUMIFS('4. Chronology'!$F$5:$F$204,'4. Chronology'!$A$5:$A$204,$A165,'4. Chronology'!$B$5:$B$204,$K165)))*1000)/($C165-IF($K165=0,0,SUMIFS('4. Chronology'!$C$5:$C$204,'4. Chronology'!$A$5:$A$204,$A165,'4. Chronology'!$B$5:$B$204,$K165))),""))</f>
        <v/>
      </c>
      <c r="I165" s="16" t="str">
        <f>IF($A165="","",IF(COUNTIF('2. Core Log'!$A$5:$A$124,$A165)=0,"Core ID not in Core Log. ","")&amp;IF($E165="","No date source given — RERCA and LORCA need to know which method produced this age. ","")&amp;IF(AND(ISNUMBER($C165),$C165&lt;0),"Negative age: this horizon post-dates the coring year. Check the conversion. ","")&amp;IF(AND(ISNUMBER($G165),$G165&lt;0),"Age reversal — this horizon is younger than one above it. A mixed or disturbed profile may not be datable at all. ","")&amp;IF(AND(ISNUMBER($D165),ISNUMBER($C165),$C165&gt;0,$D165/$C165&gt;0.5),"Age uncertainty exceeds 50% of the age. Usable as an indication only. ","")&amp;IF(AND($D165="",$C165&lt;&gt;""),"No uncertainty given. Every radiometric age has one; a rate without it cannot be defended. ",""))</f>
        <v/>
      </c>
      <c r="J165" s="16">
        <f t="shared" si="0"/>
        <v>0</v>
      </c>
      <c r="K165" s="16" t="str">
        <f>IF(OR($A165="",NOT(ISNUMBER($B165))),"",SUMPRODUCT(MAX(('4. Chronology'!$A$5:$A$204=$A165)*('4. Chronology'!$B$5:$B$204&lt;$B165)*'4. Chronology'!$B$5:$B$204)))</f>
        <v/>
      </c>
    </row>
    <row r="166" spans="1:11" ht="15.75" customHeight="1">
      <c r="A166" s="14"/>
      <c r="B166" s="14"/>
      <c r="C166" s="14"/>
      <c r="D166" s="14"/>
      <c r="E166" s="14"/>
      <c r="F166" s="16" t="str">
        <f>IF(OR($A166="",NOT(ISNUMBER($B166))),"",SUMIFS(community_cores_FS!$P$5:$P$597,community_cores_FS!$B$5:$B$597,$A166,community_cores_FS!$F$5:$F$597,"&lt;="&amp;$B166)+SUMPRODUCT((community_cores_FS!$B$5:$B$597=$A166)*(community_cores_FS!$E$5:$E$597&lt;$B166)*(community_cores_FS!$F$5:$F$597&gt;$B166)*community_cores_FS!$R$5:$R$597*($B166-community_cores_FS!$E$5:$E$597)))</f>
        <v/>
      </c>
      <c r="G166" s="16" t="str">
        <f>IF(OR($A166="",NOT(ISNUMBER($B166)),NOT(ISNUMBER($C166))),"",IFERROR(($B166-$K166)/($C166-IF($K166=0,0,SUMIFS('4. Chronology'!$C$5:$C$204,'4. Chronology'!$A$5:$A$204,$A166,'4. Chronology'!$B$5:$B$204,$K166))),""))</f>
        <v/>
      </c>
      <c r="H166" s="16" t="str">
        <f>IF(OR($A166="",NOT(ISNUMBER($F166)),NOT(ISNUMBER($C166))),"",IFERROR((($F166-IF($K166=0,0,SUMIFS('4. Chronology'!$F$5:$F$204,'4. Chronology'!$A$5:$A$204,$A166,'4. Chronology'!$B$5:$B$204,$K166)))*1000)/($C166-IF($K166=0,0,SUMIFS('4. Chronology'!$C$5:$C$204,'4. Chronology'!$A$5:$A$204,$A166,'4. Chronology'!$B$5:$B$204,$K166))),""))</f>
        <v/>
      </c>
      <c r="I166" s="16" t="str">
        <f>IF($A166="","",IF(COUNTIF('2. Core Log'!$A$5:$A$124,$A166)=0,"Core ID not in Core Log. ","")&amp;IF($E166="","No date source given — RERCA and LORCA need to know which method produced this age. ","")&amp;IF(AND(ISNUMBER($C166),$C166&lt;0),"Negative age: this horizon post-dates the coring year. Check the conversion. ","")&amp;IF(AND(ISNUMBER($G166),$G166&lt;0),"Age reversal — this horizon is younger than one above it. A mixed or disturbed profile may not be datable at all. ","")&amp;IF(AND(ISNUMBER($D166),ISNUMBER($C166),$C166&gt;0,$D166/$C166&gt;0.5),"Age uncertainty exceeds 50% of the age. Usable as an indication only. ","")&amp;IF(AND($D166="",$C166&lt;&gt;""),"No uncertainty given. Every radiometric age has one; a rate without it cannot be defended. ",""))</f>
        <v/>
      </c>
      <c r="J166" s="16">
        <f t="shared" si="0"/>
        <v>0</v>
      </c>
      <c r="K166" s="16" t="str">
        <f>IF(OR($A166="",NOT(ISNUMBER($B166))),"",SUMPRODUCT(MAX(('4. Chronology'!$A$5:$A$204=$A166)*('4. Chronology'!$B$5:$B$204&lt;$B166)*'4. Chronology'!$B$5:$B$204)))</f>
        <v/>
      </c>
    </row>
    <row r="167" spans="1:11" ht="15.75" customHeight="1">
      <c r="A167" s="14"/>
      <c r="B167" s="14"/>
      <c r="C167" s="14"/>
      <c r="D167" s="14"/>
      <c r="E167" s="14"/>
      <c r="F167" s="16" t="str">
        <f>IF(OR($A167="",NOT(ISNUMBER($B167))),"",SUMIFS(community_cores_FS!$P$5:$P$597,community_cores_FS!$B$5:$B$597,$A167,community_cores_FS!$F$5:$F$597,"&lt;="&amp;$B167)+SUMPRODUCT((community_cores_FS!$B$5:$B$597=$A167)*(community_cores_FS!$E$5:$E$597&lt;$B167)*(community_cores_FS!$F$5:$F$597&gt;$B167)*community_cores_FS!$R$5:$R$597*($B167-community_cores_FS!$E$5:$E$597)))</f>
        <v/>
      </c>
      <c r="G167" s="16" t="str">
        <f>IF(OR($A167="",NOT(ISNUMBER($B167)),NOT(ISNUMBER($C167))),"",IFERROR(($B167-$K167)/($C167-IF($K167=0,0,SUMIFS('4. Chronology'!$C$5:$C$204,'4. Chronology'!$A$5:$A$204,$A167,'4. Chronology'!$B$5:$B$204,$K167))),""))</f>
        <v/>
      </c>
      <c r="H167" s="16" t="str">
        <f>IF(OR($A167="",NOT(ISNUMBER($F167)),NOT(ISNUMBER($C167))),"",IFERROR((($F167-IF($K167=0,0,SUMIFS('4. Chronology'!$F$5:$F$204,'4. Chronology'!$A$5:$A$204,$A167,'4. Chronology'!$B$5:$B$204,$K167)))*1000)/($C167-IF($K167=0,0,SUMIFS('4. Chronology'!$C$5:$C$204,'4. Chronology'!$A$5:$A$204,$A167,'4. Chronology'!$B$5:$B$204,$K167))),""))</f>
        <v/>
      </c>
      <c r="I167" s="16" t="str">
        <f>IF($A167="","",IF(COUNTIF('2. Core Log'!$A$5:$A$124,$A167)=0,"Core ID not in Core Log. ","")&amp;IF($E167="","No date source given — RERCA and LORCA need to know which method produced this age. ","")&amp;IF(AND(ISNUMBER($C167),$C167&lt;0),"Negative age: this horizon post-dates the coring year. Check the conversion. ","")&amp;IF(AND(ISNUMBER($G167),$G167&lt;0),"Age reversal — this horizon is younger than one above it. A mixed or disturbed profile may not be datable at all. ","")&amp;IF(AND(ISNUMBER($D167),ISNUMBER($C167),$C167&gt;0,$D167/$C167&gt;0.5),"Age uncertainty exceeds 50% of the age. Usable as an indication only. ","")&amp;IF(AND($D167="",$C167&lt;&gt;""),"No uncertainty given. Every radiometric age has one; a rate without it cannot be defended. ",""))</f>
        <v/>
      </c>
      <c r="J167" s="16">
        <f t="shared" si="0"/>
        <v>0</v>
      </c>
      <c r="K167" s="16" t="str">
        <f>IF(OR($A167="",NOT(ISNUMBER($B167))),"",SUMPRODUCT(MAX(('4. Chronology'!$A$5:$A$204=$A167)*('4. Chronology'!$B$5:$B$204&lt;$B167)*'4. Chronology'!$B$5:$B$204)))</f>
        <v/>
      </c>
    </row>
    <row r="168" spans="1:11" ht="15.75" customHeight="1">
      <c r="A168" s="14"/>
      <c r="B168" s="14"/>
      <c r="C168" s="14"/>
      <c r="D168" s="14"/>
      <c r="E168" s="14"/>
      <c r="F168" s="16" t="str">
        <f>IF(OR($A168="",NOT(ISNUMBER($B168))),"",SUMIFS(community_cores_FS!$P$5:$P$597,community_cores_FS!$B$5:$B$597,$A168,community_cores_FS!$F$5:$F$597,"&lt;="&amp;$B168)+SUMPRODUCT((community_cores_FS!$B$5:$B$597=$A168)*(community_cores_FS!$E$5:$E$597&lt;$B168)*(community_cores_FS!$F$5:$F$597&gt;$B168)*community_cores_FS!$R$5:$R$597*($B168-community_cores_FS!$E$5:$E$597)))</f>
        <v/>
      </c>
      <c r="G168" s="16" t="str">
        <f>IF(OR($A168="",NOT(ISNUMBER($B168)),NOT(ISNUMBER($C168))),"",IFERROR(($B168-$K168)/($C168-IF($K168=0,0,SUMIFS('4. Chronology'!$C$5:$C$204,'4. Chronology'!$A$5:$A$204,$A168,'4. Chronology'!$B$5:$B$204,$K168))),""))</f>
        <v/>
      </c>
      <c r="H168" s="16" t="str">
        <f>IF(OR($A168="",NOT(ISNUMBER($F168)),NOT(ISNUMBER($C168))),"",IFERROR((($F168-IF($K168=0,0,SUMIFS('4. Chronology'!$F$5:$F$204,'4. Chronology'!$A$5:$A$204,$A168,'4. Chronology'!$B$5:$B$204,$K168)))*1000)/($C168-IF($K168=0,0,SUMIFS('4. Chronology'!$C$5:$C$204,'4. Chronology'!$A$5:$A$204,$A168,'4. Chronology'!$B$5:$B$204,$K168))),""))</f>
        <v/>
      </c>
      <c r="I168" s="16" t="str">
        <f>IF($A168="","",IF(COUNTIF('2. Core Log'!$A$5:$A$124,$A168)=0,"Core ID not in Core Log. ","")&amp;IF($E168="","No date source given — RERCA and LORCA need to know which method produced this age. ","")&amp;IF(AND(ISNUMBER($C168),$C168&lt;0),"Negative age: this horizon post-dates the coring year. Check the conversion. ","")&amp;IF(AND(ISNUMBER($G168),$G168&lt;0),"Age reversal — this horizon is younger than one above it. A mixed or disturbed profile may not be datable at all. ","")&amp;IF(AND(ISNUMBER($D168),ISNUMBER($C168),$C168&gt;0,$D168/$C168&gt;0.5),"Age uncertainty exceeds 50% of the age. Usable as an indication only. ","")&amp;IF(AND($D168="",$C168&lt;&gt;""),"No uncertainty given. Every radiometric age has one; a rate without it cannot be defended. ",""))</f>
        <v/>
      </c>
      <c r="J168" s="16">
        <f t="shared" si="0"/>
        <v>0</v>
      </c>
      <c r="K168" s="16" t="str">
        <f>IF(OR($A168="",NOT(ISNUMBER($B168))),"",SUMPRODUCT(MAX(('4. Chronology'!$A$5:$A$204=$A168)*('4. Chronology'!$B$5:$B$204&lt;$B168)*'4. Chronology'!$B$5:$B$204)))</f>
        <v/>
      </c>
    </row>
    <row r="169" spans="1:11" ht="15.75" customHeight="1">
      <c r="A169" s="14"/>
      <c r="B169" s="14"/>
      <c r="C169" s="14"/>
      <c r="D169" s="14"/>
      <c r="E169" s="14"/>
      <c r="F169" s="16" t="str">
        <f>IF(OR($A169="",NOT(ISNUMBER($B169))),"",SUMIFS(community_cores_FS!$P$5:$P$597,community_cores_FS!$B$5:$B$597,$A169,community_cores_FS!$F$5:$F$597,"&lt;="&amp;$B169)+SUMPRODUCT((community_cores_FS!$B$5:$B$597=$A169)*(community_cores_FS!$E$5:$E$597&lt;$B169)*(community_cores_FS!$F$5:$F$597&gt;$B169)*community_cores_FS!$R$5:$R$597*($B169-community_cores_FS!$E$5:$E$597)))</f>
        <v/>
      </c>
      <c r="G169" s="16" t="str">
        <f>IF(OR($A169="",NOT(ISNUMBER($B169)),NOT(ISNUMBER($C169))),"",IFERROR(($B169-$K169)/($C169-IF($K169=0,0,SUMIFS('4. Chronology'!$C$5:$C$204,'4. Chronology'!$A$5:$A$204,$A169,'4. Chronology'!$B$5:$B$204,$K169))),""))</f>
        <v/>
      </c>
      <c r="H169" s="16" t="str">
        <f>IF(OR($A169="",NOT(ISNUMBER($F169)),NOT(ISNUMBER($C169))),"",IFERROR((($F169-IF($K169=0,0,SUMIFS('4. Chronology'!$F$5:$F$204,'4. Chronology'!$A$5:$A$204,$A169,'4. Chronology'!$B$5:$B$204,$K169)))*1000)/($C169-IF($K169=0,0,SUMIFS('4. Chronology'!$C$5:$C$204,'4. Chronology'!$A$5:$A$204,$A169,'4. Chronology'!$B$5:$B$204,$K169))),""))</f>
        <v/>
      </c>
      <c r="I169" s="16" t="str">
        <f>IF($A169="","",IF(COUNTIF('2. Core Log'!$A$5:$A$124,$A169)=0,"Core ID not in Core Log. ","")&amp;IF($E169="","No date source given — RERCA and LORCA need to know which method produced this age. ","")&amp;IF(AND(ISNUMBER($C169),$C169&lt;0),"Negative age: this horizon post-dates the coring year. Check the conversion. ","")&amp;IF(AND(ISNUMBER($G169),$G169&lt;0),"Age reversal — this horizon is younger than one above it. A mixed or disturbed profile may not be datable at all. ","")&amp;IF(AND(ISNUMBER($D169),ISNUMBER($C169),$C169&gt;0,$D169/$C169&gt;0.5),"Age uncertainty exceeds 50% of the age. Usable as an indication only. ","")&amp;IF(AND($D169="",$C169&lt;&gt;""),"No uncertainty given. Every radiometric age has one; a rate without it cannot be defended. ",""))</f>
        <v/>
      </c>
      <c r="J169" s="16">
        <f t="shared" si="0"/>
        <v>0</v>
      </c>
      <c r="K169" s="16" t="str">
        <f>IF(OR($A169="",NOT(ISNUMBER($B169))),"",SUMPRODUCT(MAX(('4. Chronology'!$A$5:$A$204=$A169)*('4. Chronology'!$B$5:$B$204&lt;$B169)*'4. Chronology'!$B$5:$B$204)))</f>
        <v/>
      </c>
    </row>
    <row r="170" spans="1:11" ht="15.75" customHeight="1">
      <c r="A170" s="14"/>
      <c r="B170" s="14"/>
      <c r="C170" s="14"/>
      <c r="D170" s="14"/>
      <c r="E170" s="14"/>
      <c r="F170" s="16" t="str">
        <f>IF(OR($A170="",NOT(ISNUMBER($B170))),"",SUMIFS(community_cores_FS!$P$5:$P$597,community_cores_FS!$B$5:$B$597,$A170,community_cores_FS!$F$5:$F$597,"&lt;="&amp;$B170)+SUMPRODUCT((community_cores_FS!$B$5:$B$597=$A170)*(community_cores_FS!$E$5:$E$597&lt;$B170)*(community_cores_FS!$F$5:$F$597&gt;$B170)*community_cores_FS!$R$5:$R$597*($B170-community_cores_FS!$E$5:$E$597)))</f>
        <v/>
      </c>
      <c r="G170" s="16" t="str">
        <f>IF(OR($A170="",NOT(ISNUMBER($B170)),NOT(ISNUMBER($C170))),"",IFERROR(($B170-$K170)/($C170-IF($K170=0,0,SUMIFS('4. Chronology'!$C$5:$C$204,'4. Chronology'!$A$5:$A$204,$A170,'4. Chronology'!$B$5:$B$204,$K170))),""))</f>
        <v/>
      </c>
      <c r="H170" s="16" t="str">
        <f>IF(OR($A170="",NOT(ISNUMBER($F170)),NOT(ISNUMBER($C170))),"",IFERROR((($F170-IF($K170=0,0,SUMIFS('4. Chronology'!$F$5:$F$204,'4. Chronology'!$A$5:$A$204,$A170,'4. Chronology'!$B$5:$B$204,$K170)))*1000)/($C170-IF($K170=0,0,SUMIFS('4. Chronology'!$C$5:$C$204,'4. Chronology'!$A$5:$A$204,$A170,'4. Chronology'!$B$5:$B$204,$K170))),""))</f>
        <v/>
      </c>
      <c r="I170" s="16" t="str">
        <f>IF($A170="","",IF(COUNTIF('2. Core Log'!$A$5:$A$124,$A170)=0,"Core ID not in Core Log. ","")&amp;IF($E170="","No date source given — RERCA and LORCA need to know which method produced this age. ","")&amp;IF(AND(ISNUMBER($C170),$C170&lt;0),"Negative age: this horizon post-dates the coring year. Check the conversion. ","")&amp;IF(AND(ISNUMBER($G170),$G170&lt;0),"Age reversal — this horizon is younger than one above it. A mixed or disturbed profile may not be datable at all. ","")&amp;IF(AND(ISNUMBER($D170),ISNUMBER($C170),$C170&gt;0,$D170/$C170&gt;0.5),"Age uncertainty exceeds 50% of the age. Usable as an indication only. ","")&amp;IF(AND($D170="",$C170&lt;&gt;""),"No uncertainty given. Every radiometric age has one; a rate without it cannot be defended. ",""))</f>
        <v/>
      </c>
      <c r="J170" s="16">
        <f t="shared" si="0"/>
        <v>0</v>
      </c>
      <c r="K170" s="16" t="str">
        <f>IF(OR($A170="",NOT(ISNUMBER($B170))),"",SUMPRODUCT(MAX(('4. Chronology'!$A$5:$A$204=$A170)*('4. Chronology'!$B$5:$B$204&lt;$B170)*'4. Chronology'!$B$5:$B$204)))</f>
        <v/>
      </c>
    </row>
    <row r="171" spans="1:11" ht="15.75" customHeight="1">
      <c r="A171" s="14"/>
      <c r="B171" s="14"/>
      <c r="C171" s="14"/>
      <c r="D171" s="14"/>
      <c r="E171" s="14"/>
      <c r="F171" s="16" t="str">
        <f>IF(OR($A171="",NOT(ISNUMBER($B171))),"",SUMIFS(community_cores_FS!$P$5:$P$597,community_cores_FS!$B$5:$B$597,$A171,community_cores_FS!$F$5:$F$597,"&lt;="&amp;$B171)+SUMPRODUCT((community_cores_FS!$B$5:$B$597=$A171)*(community_cores_FS!$E$5:$E$597&lt;$B171)*(community_cores_FS!$F$5:$F$597&gt;$B171)*community_cores_FS!$R$5:$R$597*($B171-community_cores_FS!$E$5:$E$597)))</f>
        <v/>
      </c>
      <c r="G171" s="16" t="str">
        <f>IF(OR($A171="",NOT(ISNUMBER($B171)),NOT(ISNUMBER($C171))),"",IFERROR(($B171-$K171)/($C171-IF($K171=0,0,SUMIFS('4. Chronology'!$C$5:$C$204,'4. Chronology'!$A$5:$A$204,$A171,'4. Chronology'!$B$5:$B$204,$K171))),""))</f>
        <v/>
      </c>
      <c r="H171" s="16" t="str">
        <f>IF(OR($A171="",NOT(ISNUMBER($F171)),NOT(ISNUMBER($C171))),"",IFERROR((($F171-IF($K171=0,0,SUMIFS('4. Chronology'!$F$5:$F$204,'4. Chronology'!$A$5:$A$204,$A171,'4. Chronology'!$B$5:$B$204,$K171)))*1000)/($C171-IF($K171=0,0,SUMIFS('4. Chronology'!$C$5:$C$204,'4. Chronology'!$A$5:$A$204,$A171,'4. Chronology'!$B$5:$B$204,$K171))),""))</f>
        <v/>
      </c>
      <c r="I171" s="16" t="str">
        <f>IF($A171="","",IF(COUNTIF('2. Core Log'!$A$5:$A$124,$A171)=0,"Core ID not in Core Log. ","")&amp;IF($E171="","No date source given — RERCA and LORCA need to know which method produced this age. ","")&amp;IF(AND(ISNUMBER($C171),$C171&lt;0),"Negative age: this horizon post-dates the coring year. Check the conversion. ","")&amp;IF(AND(ISNUMBER($G171),$G171&lt;0),"Age reversal — this horizon is younger than one above it. A mixed or disturbed profile may not be datable at all. ","")&amp;IF(AND(ISNUMBER($D171),ISNUMBER($C171),$C171&gt;0,$D171/$C171&gt;0.5),"Age uncertainty exceeds 50% of the age. Usable as an indication only. ","")&amp;IF(AND($D171="",$C171&lt;&gt;""),"No uncertainty given. Every radiometric age has one; a rate without it cannot be defended. ",""))</f>
        <v/>
      </c>
      <c r="J171" s="16">
        <f t="shared" si="0"/>
        <v>0</v>
      </c>
      <c r="K171" s="16" t="str">
        <f>IF(OR($A171="",NOT(ISNUMBER($B171))),"",SUMPRODUCT(MAX(('4. Chronology'!$A$5:$A$204=$A171)*('4. Chronology'!$B$5:$B$204&lt;$B171)*'4. Chronology'!$B$5:$B$204)))</f>
        <v/>
      </c>
    </row>
    <row r="172" spans="1:11" ht="15.75" customHeight="1">
      <c r="A172" s="14"/>
      <c r="B172" s="14"/>
      <c r="C172" s="14"/>
      <c r="D172" s="14"/>
      <c r="E172" s="14"/>
      <c r="F172" s="16" t="str">
        <f>IF(OR($A172="",NOT(ISNUMBER($B172))),"",SUMIFS(community_cores_FS!$P$5:$P$597,community_cores_FS!$B$5:$B$597,$A172,community_cores_FS!$F$5:$F$597,"&lt;="&amp;$B172)+SUMPRODUCT((community_cores_FS!$B$5:$B$597=$A172)*(community_cores_FS!$E$5:$E$597&lt;$B172)*(community_cores_FS!$F$5:$F$597&gt;$B172)*community_cores_FS!$R$5:$R$597*($B172-community_cores_FS!$E$5:$E$597)))</f>
        <v/>
      </c>
      <c r="G172" s="16" t="str">
        <f>IF(OR($A172="",NOT(ISNUMBER($B172)),NOT(ISNUMBER($C172))),"",IFERROR(($B172-$K172)/($C172-IF($K172=0,0,SUMIFS('4. Chronology'!$C$5:$C$204,'4. Chronology'!$A$5:$A$204,$A172,'4. Chronology'!$B$5:$B$204,$K172))),""))</f>
        <v/>
      </c>
      <c r="H172" s="16" t="str">
        <f>IF(OR($A172="",NOT(ISNUMBER($F172)),NOT(ISNUMBER($C172))),"",IFERROR((($F172-IF($K172=0,0,SUMIFS('4. Chronology'!$F$5:$F$204,'4. Chronology'!$A$5:$A$204,$A172,'4. Chronology'!$B$5:$B$204,$K172)))*1000)/($C172-IF($K172=0,0,SUMIFS('4. Chronology'!$C$5:$C$204,'4. Chronology'!$A$5:$A$204,$A172,'4. Chronology'!$B$5:$B$204,$K172))),""))</f>
        <v/>
      </c>
      <c r="I172" s="16" t="str">
        <f>IF($A172="","",IF(COUNTIF('2. Core Log'!$A$5:$A$124,$A172)=0,"Core ID not in Core Log. ","")&amp;IF($E172="","No date source given — RERCA and LORCA need to know which method produced this age. ","")&amp;IF(AND(ISNUMBER($C172),$C172&lt;0),"Negative age: this horizon post-dates the coring year. Check the conversion. ","")&amp;IF(AND(ISNUMBER($G172),$G172&lt;0),"Age reversal — this horizon is younger than one above it. A mixed or disturbed profile may not be datable at all. ","")&amp;IF(AND(ISNUMBER($D172),ISNUMBER($C172),$C172&gt;0,$D172/$C172&gt;0.5),"Age uncertainty exceeds 50% of the age. Usable as an indication only. ","")&amp;IF(AND($D172="",$C172&lt;&gt;""),"No uncertainty given. Every radiometric age has one; a rate without it cannot be defended. ",""))</f>
        <v/>
      </c>
      <c r="J172" s="16">
        <f t="shared" si="0"/>
        <v>0</v>
      </c>
      <c r="K172" s="16" t="str">
        <f>IF(OR($A172="",NOT(ISNUMBER($B172))),"",SUMPRODUCT(MAX(('4. Chronology'!$A$5:$A$204=$A172)*('4. Chronology'!$B$5:$B$204&lt;$B172)*'4. Chronology'!$B$5:$B$204)))</f>
        <v/>
      </c>
    </row>
    <row r="173" spans="1:11" ht="15.75" customHeight="1">
      <c r="A173" s="14"/>
      <c r="B173" s="14"/>
      <c r="C173" s="14"/>
      <c r="D173" s="14"/>
      <c r="E173" s="14"/>
      <c r="F173" s="16" t="str">
        <f>IF(OR($A173="",NOT(ISNUMBER($B173))),"",SUMIFS(community_cores_FS!$P$5:$P$597,community_cores_FS!$B$5:$B$597,$A173,community_cores_FS!$F$5:$F$597,"&lt;="&amp;$B173)+SUMPRODUCT((community_cores_FS!$B$5:$B$597=$A173)*(community_cores_FS!$E$5:$E$597&lt;$B173)*(community_cores_FS!$F$5:$F$597&gt;$B173)*community_cores_FS!$R$5:$R$597*($B173-community_cores_FS!$E$5:$E$597)))</f>
        <v/>
      </c>
      <c r="G173" s="16" t="str">
        <f>IF(OR($A173="",NOT(ISNUMBER($B173)),NOT(ISNUMBER($C173))),"",IFERROR(($B173-$K173)/($C173-IF($K173=0,0,SUMIFS('4. Chronology'!$C$5:$C$204,'4. Chronology'!$A$5:$A$204,$A173,'4. Chronology'!$B$5:$B$204,$K173))),""))</f>
        <v/>
      </c>
      <c r="H173" s="16" t="str">
        <f>IF(OR($A173="",NOT(ISNUMBER($F173)),NOT(ISNUMBER($C173))),"",IFERROR((($F173-IF($K173=0,0,SUMIFS('4. Chronology'!$F$5:$F$204,'4. Chronology'!$A$5:$A$204,$A173,'4. Chronology'!$B$5:$B$204,$K173)))*1000)/($C173-IF($K173=0,0,SUMIFS('4. Chronology'!$C$5:$C$204,'4. Chronology'!$A$5:$A$204,$A173,'4. Chronology'!$B$5:$B$204,$K173))),""))</f>
        <v/>
      </c>
      <c r="I173" s="16" t="str">
        <f>IF($A173="","",IF(COUNTIF('2. Core Log'!$A$5:$A$124,$A173)=0,"Core ID not in Core Log. ","")&amp;IF($E173="","No date source given — RERCA and LORCA need to know which method produced this age. ","")&amp;IF(AND(ISNUMBER($C173),$C173&lt;0),"Negative age: this horizon post-dates the coring year. Check the conversion. ","")&amp;IF(AND(ISNUMBER($G173),$G173&lt;0),"Age reversal — this horizon is younger than one above it. A mixed or disturbed profile may not be datable at all. ","")&amp;IF(AND(ISNUMBER($D173),ISNUMBER($C173),$C173&gt;0,$D173/$C173&gt;0.5),"Age uncertainty exceeds 50% of the age. Usable as an indication only. ","")&amp;IF(AND($D173="",$C173&lt;&gt;""),"No uncertainty given. Every radiometric age has one; a rate without it cannot be defended. ",""))</f>
        <v/>
      </c>
      <c r="J173" s="16">
        <f t="shared" si="0"/>
        <v>0</v>
      </c>
      <c r="K173" s="16" t="str">
        <f>IF(OR($A173="",NOT(ISNUMBER($B173))),"",SUMPRODUCT(MAX(('4. Chronology'!$A$5:$A$204=$A173)*('4. Chronology'!$B$5:$B$204&lt;$B173)*'4. Chronology'!$B$5:$B$204)))</f>
        <v/>
      </c>
    </row>
    <row r="174" spans="1:11" ht="15.75" customHeight="1">
      <c r="A174" s="14"/>
      <c r="B174" s="14"/>
      <c r="C174" s="14"/>
      <c r="D174" s="14"/>
      <c r="E174" s="14"/>
      <c r="F174" s="16" t="str">
        <f>IF(OR($A174="",NOT(ISNUMBER($B174))),"",SUMIFS(community_cores_FS!$P$5:$P$597,community_cores_FS!$B$5:$B$597,$A174,community_cores_FS!$F$5:$F$597,"&lt;="&amp;$B174)+SUMPRODUCT((community_cores_FS!$B$5:$B$597=$A174)*(community_cores_FS!$E$5:$E$597&lt;$B174)*(community_cores_FS!$F$5:$F$597&gt;$B174)*community_cores_FS!$R$5:$R$597*($B174-community_cores_FS!$E$5:$E$597)))</f>
        <v/>
      </c>
      <c r="G174" s="16" t="str">
        <f>IF(OR($A174="",NOT(ISNUMBER($B174)),NOT(ISNUMBER($C174))),"",IFERROR(($B174-$K174)/($C174-IF($K174=0,0,SUMIFS('4. Chronology'!$C$5:$C$204,'4. Chronology'!$A$5:$A$204,$A174,'4. Chronology'!$B$5:$B$204,$K174))),""))</f>
        <v/>
      </c>
      <c r="H174" s="16" t="str">
        <f>IF(OR($A174="",NOT(ISNUMBER($F174)),NOT(ISNUMBER($C174))),"",IFERROR((($F174-IF($K174=0,0,SUMIFS('4. Chronology'!$F$5:$F$204,'4. Chronology'!$A$5:$A$204,$A174,'4. Chronology'!$B$5:$B$204,$K174)))*1000)/($C174-IF($K174=0,0,SUMIFS('4. Chronology'!$C$5:$C$204,'4. Chronology'!$A$5:$A$204,$A174,'4. Chronology'!$B$5:$B$204,$K174))),""))</f>
        <v/>
      </c>
      <c r="I174" s="16" t="str">
        <f>IF($A174="","",IF(COUNTIF('2. Core Log'!$A$5:$A$124,$A174)=0,"Core ID not in Core Log. ","")&amp;IF($E174="","No date source given — RERCA and LORCA need to know which method produced this age. ","")&amp;IF(AND(ISNUMBER($C174),$C174&lt;0),"Negative age: this horizon post-dates the coring year. Check the conversion. ","")&amp;IF(AND(ISNUMBER($G174),$G174&lt;0),"Age reversal — this horizon is younger than one above it. A mixed or disturbed profile may not be datable at all. ","")&amp;IF(AND(ISNUMBER($D174),ISNUMBER($C174),$C174&gt;0,$D174/$C174&gt;0.5),"Age uncertainty exceeds 50% of the age. Usable as an indication only. ","")&amp;IF(AND($D174="",$C174&lt;&gt;""),"No uncertainty given. Every radiometric age has one; a rate without it cannot be defended. ",""))</f>
        <v/>
      </c>
      <c r="J174" s="16">
        <f t="shared" si="0"/>
        <v>0</v>
      </c>
      <c r="K174" s="16" t="str">
        <f>IF(OR($A174="",NOT(ISNUMBER($B174))),"",SUMPRODUCT(MAX(('4. Chronology'!$A$5:$A$204=$A174)*('4. Chronology'!$B$5:$B$204&lt;$B174)*'4. Chronology'!$B$5:$B$204)))</f>
        <v/>
      </c>
    </row>
    <row r="175" spans="1:11" ht="15.75" customHeight="1">
      <c r="A175" s="14"/>
      <c r="B175" s="14"/>
      <c r="C175" s="14"/>
      <c r="D175" s="14"/>
      <c r="E175" s="14"/>
      <c r="F175" s="16" t="str">
        <f>IF(OR($A175="",NOT(ISNUMBER($B175))),"",SUMIFS(community_cores_FS!$P$5:$P$597,community_cores_FS!$B$5:$B$597,$A175,community_cores_FS!$F$5:$F$597,"&lt;="&amp;$B175)+SUMPRODUCT((community_cores_FS!$B$5:$B$597=$A175)*(community_cores_FS!$E$5:$E$597&lt;$B175)*(community_cores_FS!$F$5:$F$597&gt;$B175)*community_cores_FS!$R$5:$R$597*($B175-community_cores_FS!$E$5:$E$597)))</f>
        <v/>
      </c>
      <c r="G175" s="16" t="str">
        <f>IF(OR($A175="",NOT(ISNUMBER($B175)),NOT(ISNUMBER($C175))),"",IFERROR(($B175-$K175)/($C175-IF($K175=0,0,SUMIFS('4. Chronology'!$C$5:$C$204,'4. Chronology'!$A$5:$A$204,$A175,'4. Chronology'!$B$5:$B$204,$K175))),""))</f>
        <v/>
      </c>
      <c r="H175" s="16" t="str">
        <f>IF(OR($A175="",NOT(ISNUMBER($F175)),NOT(ISNUMBER($C175))),"",IFERROR((($F175-IF($K175=0,0,SUMIFS('4. Chronology'!$F$5:$F$204,'4. Chronology'!$A$5:$A$204,$A175,'4. Chronology'!$B$5:$B$204,$K175)))*1000)/($C175-IF($K175=0,0,SUMIFS('4. Chronology'!$C$5:$C$204,'4. Chronology'!$A$5:$A$204,$A175,'4. Chronology'!$B$5:$B$204,$K175))),""))</f>
        <v/>
      </c>
      <c r="I175" s="16" t="str">
        <f>IF($A175="","",IF(COUNTIF('2. Core Log'!$A$5:$A$124,$A175)=0,"Core ID not in Core Log. ","")&amp;IF($E175="","No date source given — RERCA and LORCA need to know which method produced this age. ","")&amp;IF(AND(ISNUMBER($C175),$C175&lt;0),"Negative age: this horizon post-dates the coring year. Check the conversion. ","")&amp;IF(AND(ISNUMBER($G175),$G175&lt;0),"Age reversal — this horizon is younger than one above it. A mixed or disturbed profile may not be datable at all. ","")&amp;IF(AND(ISNUMBER($D175),ISNUMBER($C175),$C175&gt;0,$D175/$C175&gt;0.5),"Age uncertainty exceeds 50% of the age. Usable as an indication only. ","")&amp;IF(AND($D175="",$C175&lt;&gt;""),"No uncertainty given. Every radiometric age has one; a rate without it cannot be defended. ",""))</f>
        <v/>
      </c>
      <c r="J175" s="16">
        <f t="shared" si="0"/>
        <v>0</v>
      </c>
      <c r="K175" s="16" t="str">
        <f>IF(OR($A175="",NOT(ISNUMBER($B175))),"",SUMPRODUCT(MAX(('4. Chronology'!$A$5:$A$204=$A175)*('4. Chronology'!$B$5:$B$204&lt;$B175)*'4. Chronology'!$B$5:$B$204)))</f>
        <v/>
      </c>
    </row>
    <row r="176" spans="1:11" ht="15.75" customHeight="1">
      <c r="A176" s="14"/>
      <c r="B176" s="14"/>
      <c r="C176" s="14"/>
      <c r="D176" s="14"/>
      <c r="E176" s="14"/>
      <c r="F176" s="16" t="str">
        <f>IF(OR($A176="",NOT(ISNUMBER($B176))),"",SUMIFS(community_cores_FS!$P$5:$P$597,community_cores_FS!$B$5:$B$597,$A176,community_cores_FS!$F$5:$F$597,"&lt;="&amp;$B176)+SUMPRODUCT((community_cores_FS!$B$5:$B$597=$A176)*(community_cores_FS!$E$5:$E$597&lt;$B176)*(community_cores_FS!$F$5:$F$597&gt;$B176)*community_cores_FS!$R$5:$R$597*($B176-community_cores_FS!$E$5:$E$597)))</f>
        <v/>
      </c>
      <c r="G176" s="16" t="str">
        <f>IF(OR($A176="",NOT(ISNUMBER($B176)),NOT(ISNUMBER($C176))),"",IFERROR(($B176-$K176)/($C176-IF($K176=0,0,SUMIFS('4. Chronology'!$C$5:$C$204,'4. Chronology'!$A$5:$A$204,$A176,'4. Chronology'!$B$5:$B$204,$K176))),""))</f>
        <v/>
      </c>
      <c r="H176" s="16" t="str">
        <f>IF(OR($A176="",NOT(ISNUMBER($F176)),NOT(ISNUMBER($C176))),"",IFERROR((($F176-IF($K176=0,0,SUMIFS('4. Chronology'!$F$5:$F$204,'4. Chronology'!$A$5:$A$204,$A176,'4. Chronology'!$B$5:$B$204,$K176)))*1000)/($C176-IF($K176=0,0,SUMIFS('4. Chronology'!$C$5:$C$204,'4. Chronology'!$A$5:$A$204,$A176,'4. Chronology'!$B$5:$B$204,$K176))),""))</f>
        <v/>
      </c>
      <c r="I176" s="16" t="str">
        <f>IF($A176="","",IF(COUNTIF('2. Core Log'!$A$5:$A$124,$A176)=0,"Core ID not in Core Log. ","")&amp;IF($E176="","No date source given — RERCA and LORCA need to know which method produced this age. ","")&amp;IF(AND(ISNUMBER($C176),$C176&lt;0),"Negative age: this horizon post-dates the coring year. Check the conversion. ","")&amp;IF(AND(ISNUMBER($G176),$G176&lt;0),"Age reversal — this horizon is younger than one above it. A mixed or disturbed profile may not be datable at all. ","")&amp;IF(AND(ISNUMBER($D176),ISNUMBER($C176),$C176&gt;0,$D176/$C176&gt;0.5),"Age uncertainty exceeds 50% of the age. Usable as an indication only. ","")&amp;IF(AND($D176="",$C176&lt;&gt;""),"No uncertainty given. Every radiometric age has one; a rate without it cannot be defended. ",""))</f>
        <v/>
      </c>
      <c r="J176" s="16">
        <f t="shared" si="0"/>
        <v>0</v>
      </c>
      <c r="K176" s="16" t="str">
        <f>IF(OR($A176="",NOT(ISNUMBER($B176))),"",SUMPRODUCT(MAX(('4. Chronology'!$A$5:$A$204=$A176)*('4. Chronology'!$B$5:$B$204&lt;$B176)*'4. Chronology'!$B$5:$B$204)))</f>
        <v/>
      </c>
    </row>
    <row r="177" spans="1:11" ht="15.75" customHeight="1">
      <c r="A177" s="14"/>
      <c r="B177" s="14"/>
      <c r="C177" s="14"/>
      <c r="D177" s="14"/>
      <c r="E177" s="14"/>
      <c r="F177" s="16" t="str">
        <f>IF(OR($A177="",NOT(ISNUMBER($B177))),"",SUMIFS(community_cores_FS!$P$5:$P$597,community_cores_FS!$B$5:$B$597,$A177,community_cores_FS!$F$5:$F$597,"&lt;="&amp;$B177)+SUMPRODUCT((community_cores_FS!$B$5:$B$597=$A177)*(community_cores_FS!$E$5:$E$597&lt;$B177)*(community_cores_FS!$F$5:$F$597&gt;$B177)*community_cores_FS!$R$5:$R$597*($B177-community_cores_FS!$E$5:$E$597)))</f>
        <v/>
      </c>
      <c r="G177" s="16" t="str">
        <f>IF(OR($A177="",NOT(ISNUMBER($B177)),NOT(ISNUMBER($C177))),"",IFERROR(($B177-$K177)/($C177-IF($K177=0,0,SUMIFS('4. Chronology'!$C$5:$C$204,'4. Chronology'!$A$5:$A$204,$A177,'4. Chronology'!$B$5:$B$204,$K177))),""))</f>
        <v/>
      </c>
      <c r="H177" s="16" t="str">
        <f>IF(OR($A177="",NOT(ISNUMBER($F177)),NOT(ISNUMBER($C177))),"",IFERROR((($F177-IF($K177=0,0,SUMIFS('4. Chronology'!$F$5:$F$204,'4. Chronology'!$A$5:$A$204,$A177,'4. Chronology'!$B$5:$B$204,$K177)))*1000)/($C177-IF($K177=0,0,SUMIFS('4. Chronology'!$C$5:$C$204,'4. Chronology'!$A$5:$A$204,$A177,'4. Chronology'!$B$5:$B$204,$K177))),""))</f>
        <v/>
      </c>
      <c r="I177" s="16" t="str">
        <f>IF($A177="","",IF(COUNTIF('2. Core Log'!$A$5:$A$124,$A177)=0,"Core ID not in Core Log. ","")&amp;IF($E177="","No date source given — RERCA and LORCA need to know which method produced this age. ","")&amp;IF(AND(ISNUMBER($C177),$C177&lt;0),"Negative age: this horizon post-dates the coring year. Check the conversion. ","")&amp;IF(AND(ISNUMBER($G177),$G177&lt;0),"Age reversal — this horizon is younger than one above it. A mixed or disturbed profile may not be datable at all. ","")&amp;IF(AND(ISNUMBER($D177),ISNUMBER($C177),$C177&gt;0,$D177/$C177&gt;0.5),"Age uncertainty exceeds 50% of the age. Usable as an indication only. ","")&amp;IF(AND($D177="",$C177&lt;&gt;""),"No uncertainty given. Every radiometric age has one; a rate without it cannot be defended. ",""))</f>
        <v/>
      </c>
      <c r="J177" s="16">
        <f t="shared" si="0"/>
        <v>0</v>
      </c>
      <c r="K177" s="16" t="str">
        <f>IF(OR($A177="",NOT(ISNUMBER($B177))),"",SUMPRODUCT(MAX(('4. Chronology'!$A$5:$A$204=$A177)*('4. Chronology'!$B$5:$B$204&lt;$B177)*'4. Chronology'!$B$5:$B$204)))</f>
        <v/>
      </c>
    </row>
    <row r="178" spans="1:11" ht="15.75" customHeight="1">
      <c r="A178" s="14"/>
      <c r="B178" s="14"/>
      <c r="C178" s="14"/>
      <c r="D178" s="14"/>
      <c r="E178" s="14"/>
      <c r="F178" s="16" t="str">
        <f>IF(OR($A178="",NOT(ISNUMBER($B178))),"",SUMIFS(community_cores_FS!$P$5:$P$597,community_cores_FS!$B$5:$B$597,$A178,community_cores_FS!$F$5:$F$597,"&lt;="&amp;$B178)+SUMPRODUCT((community_cores_FS!$B$5:$B$597=$A178)*(community_cores_FS!$E$5:$E$597&lt;$B178)*(community_cores_FS!$F$5:$F$597&gt;$B178)*community_cores_FS!$R$5:$R$597*($B178-community_cores_FS!$E$5:$E$597)))</f>
        <v/>
      </c>
      <c r="G178" s="16" t="str">
        <f>IF(OR($A178="",NOT(ISNUMBER($B178)),NOT(ISNUMBER($C178))),"",IFERROR(($B178-$K178)/($C178-IF($K178=0,0,SUMIFS('4. Chronology'!$C$5:$C$204,'4. Chronology'!$A$5:$A$204,$A178,'4. Chronology'!$B$5:$B$204,$K178))),""))</f>
        <v/>
      </c>
      <c r="H178" s="16" t="str">
        <f>IF(OR($A178="",NOT(ISNUMBER($F178)),NOT(ISNUMBER($C178))),"",IFERROR((($F178-IF($K178=0,0,SUMIFS('4. Chronology'!$F$5:$F$204,'4. Chronology'!$A$5:$A$204,$A178,'4. Chronology'!$B$5:$B$204,$K178)))*1000)/($C178-IF($K178=0,0,SUMIFS('4. Chronology'!$C$5:$C$204,'4. Chronology'!$A$5:$A$204,$A178,'4. Chronology'!$B$5:$B$204,$K178))),""))</f>
        <v/>
      </c>
      <c r="I178" s="16" t="str">
        <f>IF($A178="","",IF(COUNTIF('2. Core Log'!$A$5:$A$124,$A178)=0,"Core ID not in Core Log. ","")&amp;IF($E178="","No date source given — RERCA and LORCA need to know which method produced this age. ","")&amp;IF(AND(ISNUMBER($C178),$C178&lt;0),"Negative age: this horizon post-dates the coring year. Check the conversion. ","")&amp;IF(AND(ISNUMBER($G178),$G178&lt;0),"Age reversal — this horizon is younger than one above it. A mixed or disturbed profile may not be datable at all. ","")&amp;IF(AND(ISNUMBER($D178),ISNUMBER($C178),$C178&gt;0,$D178/$C178&gt;0.5),"Age uncertainty exceeds 50% of the age. Usable as an indication only. ","")&amp;IF(AND($D178="",$C178&lt;&gt;""),"No uncertainty given. Every radiometric age has one; a rate without it cannot be defended. ",""))</f>
        <v/>
      </c>
      <c r="J178" s="16">
        <f t="shared" si="0"/>
        <v>0</v>
      </c>
      <c r="K178" s="16" t="str">
        <f>IF(OR($A178="",NOT(ISNUMBER($B178))),"",SUMPRODUCT(MAX(('4. Chronology'!$A$5:$A$204=$A178)*('4. Chronology'!$B$5:$B$204&lt;$B178)*'4. Chronology'!$B$5:$B$204)))</f>
        <v/>
      </c>
    </row>
    <row r="179" spans="1:11" ht="15.75" customHeight="1">
      <c r="A179" s="14"/>
      <c r="B179" s="14"/>
      <c r="C179" s="14"/>
      <c r="D179" s="14"/>
      <c r="E179" s="14"/>
      <c r="F179" s="16" t="str">
        <f>IF(OR($A179="",NOT(ISNUMBER($B179))),"",SUMIFS(community_cores_FS!$P$5:$P$597,community_cores_FS!$B$5:$B$597,$A179,community_cores_FS!$F$5:$F$597,"&lt;="&amp;$B179)+SUMPRODUCT((community_cores_FS!$B$5:$B$597=$A179)*(community_cores_FS!$E$5:$E$597&lt;$B179)*(community_cores_FS!$F$5:$F$597&gt;$B179)*community_cores_FS!$R$5:$R$597*($B179-community_cores_FS!$E$5:$E$597)))</f>
        <v/>
      </c>
      <c r="G179" s="16" t="str">
        <f>IF(OR($A179="",NOT(ISNUMBER($B179)),NOT(ISNUMBER($C179))),"",IFERROR(($B179-$K179)/($C179-IF($K179=0,0,SUMIFS('4. Chronology'!$C$5:$C$204,'4. Chronology'!$A$5:$A$204,$A179,'4. Chronology'!$B$5:$B$204,$K179))),""))</f>
        <v/>
      </c>
      <c r="H179" s="16" t="str">
        <f>IF(OR($A179="",NOT(ISNUMBER($F179)),NOT(ISNUMBER($C179))),"",IFERROR((($F179-IF($K179=0,0,SUMIFS('4. Chronology'!$F$5:$F$204,'4. Chronology'!$A$5:$A$204,$A179,'4. Chronology'!$B$5:$B$204,$K179)))*1000)/($C179-IF($K179=0,0,SUMIFS('4. Chronology'!$C$5:$C$204,'4. Chronology'!$A$5:$A$204,$A179,'4. Chronology'!$B$5:$B$204,$K179))),""))</f>
        <v/>
      </c>
      <c r="I179" s="16" t="str">
        <f>IF($A179="","",IF(COUNTIF('2. Core Log'!$A$5:$A$124,$A179)=0,"Core ID not in Core Log. ","")&amp;IF($E179="","No date source given — RERCA and LORCA need to know which method produced this age. ","")&amp;IF(AND(ISNUMBER($C179),$C179&lt;0),"Negative age: this horizon post-dates the coring year. Check the conversion. ","")&amp;IF(AND(ISNUMBER($G179),$G179&lt;0),"Age reversal — this horizon is younger than one above it. A mixed or disturbed profile may not be datable at all. ","")&amp;IF(AND(ISNUMBER($D179),ISNUMBER($C179),$C179&gt;0,$D179/$C179&gt;0.5),"Age uncertainty exceeds 50% of the age. Usable as an indication only. ","")&amp;IF(AND($D179="",$C179&lt;&gt;""),"No uncertainty given. Every radiometric age has one; a rate without it cannot be defended. ",""))</f>
        <v/>
      </c>
      <c r="J179" s="16">
        <f t="shared" si="0"/>
        <v>0</v>
      </c>
      <c r="K179" s="16" t="str">
        <f>IF(OR($A179="",NOT(ISNUMBER($B179))),"",SUMPRODUCT(MAX(('4. Chronology'!$A$5:$A$204=$A179)*('4. Chronology'!$B$5:$B$204&lt;$B179)*'4. Chronology'!$B$5:$B$204)))</f>
        <v/>
      </c>
    </row>
    <row r="180" spans="1:11" ht="15.75" customHeight="1">
      <c r="A180" s="14"/>
      <c r="B180" s="14"/>
      <c r="C180" s="14"/>
      <c r="D180" s="14"/>
      <c r="E180" s="14"/>
      <c r="F180" s="16" t="str">
        <f>IF(OR($A180="",NOT(ISNUMBER($B180))),"",SUMIFS(community_cores_FS!$P$5:$P$597,community_cores_FS!$B$5:$B$597,$A180,community_cores_FS!$F$5:$F$597,"&lt;="&amp;$B180)+SUMPRODUCT((community_cores_FS!$B$5:$B$597=$A180)*(community_cores_FS!$E$5:$E$597&lt;$B180)*(community_cores_FS!$F$5:$F$597&gt;$B180)*community_cores_FS!$R$5:$R$597*($B180-community_cores_FS!$E$5:$E$597)))</f>
        <v/>
      </c>
      <c r="G180" s="16" t="str">
        <f>IF(OR($A180="",NOT(ISNUMBER($B180)),NOT(ISNUMBER($C180))),"",IFERROR(($B180-$K180)/($C180-IF($K180=0,0,SUMIFS('4. Chronology'!$C$5:$C$204,'4. Chronology'!$A$5:$A$204,$A180,'4. Chronology'!$B$5:$B$204,$K180))),""))</f>
        <v/>
      </c>
      <c r="H180" s="16" t="str">
        <f>IF(OR($A180="",NOT(ISNUMBER($F180)),NOT(ISNUMBER($C180))),"",IFERROR((($F180-IF($K180=0,0,SUMIFS('4. Chronology'!$F$5:$F$204,'4. Chronology'!$A$5:$A$204,$A180,'4. Chronology'!$B$5:$B$204,$K180)))*1000)/($C180-IF($K180=0,0,SUMIFS('4. Chronology'!$C$5:$C$204,'4. Chronology'!$A$5:$A$204,$A180,'4. Chronology'!$B$5:$B$204,$K180))),""))</f>
        <v/>
      </c>
      <c r="I180" s="16" t="str">
        <f>IF($A180="","",IF(COUNTIF('2. Core Log'!$A$5:$A$124,$A180)=0,"Core ID not in Core Log. ","")&amp;IF($E180="","No date source given — RERCA and LORCA need to know which method produced this age. ","")&amp;IF(AND(ISNUMBER($C180),$C180&lt;0),"Negative age: this horizon post-dates the coring year. Check the conversion. ","")&amp;IF(AND(ISNUMBER($G180),$G180&lt;0),"Age reversal — this horizon is younger than one above it. A mixed or disturbed profile may not be datable at all. ","")&amp;IF(AND(ISNUMBER($D180),ISNUMBER($C180),$C180&gt;0,$D180/$C180&gt;0.5),"Age uncertainty exceeds 50% of the age. Usable as an indication only. ","")&amp;IF(AND($D180="",$C180&lt;&gt;""),"No uncertainty given. Every radiometric age has one; a rate without it cannot be defended. ",""))</f>
        <v/>
      </c>
      <c r="J180" s="16">
        <f t="shared" si="0"/>
        <v>0</v>
      </c>
      <c r="K180" s="16" t="str">
        <f>IF(OR($A180="",NOT(ISNUMBER($B180))),"",SUMPRODUCT(MAX(('4. Chronology'!$A$5:$A$204=$A180)*('4. Chronology'!$B$5:$B$204&lt;$B180)*'4. Chronology'!$B$5:$B$204)))</f>
        <v/>
      </c>
    </row>
    <row r="181" spans="1:11" ht="15.75" customHeight="1">
      <c r="A181" s="14"/>
      <c r="B181" s="14"/>
      <c r="C181" s="14"/>
      <c r="D181" s="14"/>
      <c r="E181" s="14"/>
      <c r="F181" s="16" t="str">
        <f>IF(OR($A181="",NOT(ISNUMBER($B181))),"",SUMIFS(community_cores_FS!$P$5:$P$597,community_cores_FS!$B$5:$B$597,$A181,community_cores_FS!$F$5:$F$597,"&lt;="&amp;$B181)+SUMPRODUCT((community_cores_FS!$B$5:$B$597=$A181)*(community_cores_FS!$E$5:$E$597&lt;$B181)*(community_cores_FS!$F$5:$F$597&gt;$B181)*community_cores_FS!$R$5:$R$597*($B181-community_cores_FS!$E$5:$E$597)))</f>
        <v/>
      </c>
      <c r="G181" s="16" t="str">
        <f>IF(OR($A181="",NOT(ISNUMBER($B181)),NOT(ISNUMBER($C181))),"",IFERROR(($B181-$K181)/($C181-IF($K181=0,0,SUMIFS('4. Chronology'!$C$5:$C$204,'4. Chronology'!$A$5:$A$204,$A181,'4. Chronology'!$B$5:$B$204,$K181))),""))</f>
        <v/>
      </c>
      <c r="H181" s="16" t="str">
        <f>IF(OR($A181="",NOT(ISNUMBER($F181)),NOT(ISNUMBER($C181))),"",IFERROR((($F181-IF($K181=0,0,SUMIFS('4. Chronology'!$F$5:$F$204,'4. Chronology'!$A$5:$A$204,$A181,'4. Chronology'!$B$5:$B$204,$K181)))*1000)/($C181-IF($K181=0,0,SUMIFS('4. Chronology'!$C$5:$C$204,'4. Chronology'!$A$5:$A$204,$A181,'4. Chronology'!$B$5:$B$204,$K181))),""))</f>
        <v/>
      </c>
      <c r="I181" s="16" t="str">
        <f>IF($A181="","",IF(COUNTIF('2. Core Log'!$A$5:$A$124,$A181)=0,"Core ID not in Core Log. ","")&amp;IF($E181="","No date source given — RERCA and LORCA need to know which method produced this age. ","")&amp;IF(AND(ISNUMBER($C181),$C181&lt;0),"Negative age: this horizon post-dates the coring year. Check the conversion. ","")&amp;IF(AND(ISNUMBER($G181),$G181&lt;0),"Age reversal — this horizon is younger than one above it. A mixed or disturbed profile may not be datable at all. ","")&amp;IF(AND(ISNUMBER($D181),ISNUMBER($C181),$C181&gt;0,$D181/$C181&gt;0.5),"Age uncertainty exceeds 50% of the age. Usable as an indication only. ","")&amp;IF(AND($D181="",$C181&lt;&gt;""),"No uncertainty given. Every radiometric age has one; a rate without it cannot be defended. ",""))</f>
        <v/>
      </c>
      <c r="J181" s="16">
        <f t="shared" si="0"/>
        <v>0</v>
      </c>
      <c r="K181" s="16" t="str">
        <f>IF(OR($A181="",NOT(ISNUMBER($B181))),"",SUMPRODUCT(MAX(('4. Chronology'!$A$5:$A$204=$A181)*('4. Chronology'!$B$5:$B$204&lt;$B181)*'4. Chronology'!$B$5:$B$204)))</f>
        <v/>
      </c>
    </row>
    <row r="182" spans="1:11" ht="15.75" customHeight="1">
      <c r="A182" s="14"/>
      <c r="B182" s="14"/>
      <c r="C182" s="14"/>
      <c r="D182" s="14"/>
      <c r="E182" s="14"/>
      <c r="F182" s="16" t="str">
        <f>IF(OR($A182="",NOT(ISNUMBER($B182))),"",SUMIFS(community_cores_FS!$P$5:$P$597,community_cores_FS!$B$5:$B$597,$A182,community_cores_FS!$F$5:$F$597,"&lt;="&amp;$B182)+SUMPRODUCT((community_cores_FS!$B$5:$B$597=$A182)*(community_cores_FS!$E$5:$E$597&lt;$B182)*(community_cores_FS!$F$5:$F$597&gt;$B182)*community_cores_FS!$R$5:$R$597*($B182-community_cores_FS!$E$5:$E$597)))</f>
        <v/>
      </c>
      <c r="G182" s="16" t="str">
        <f>IF(OR($A182="",NOT(ISNUMBER($B182)),NOT(ISNUMBER($C182))),"",IFERROR(($B182-$K182)/($C182-IF($K182=0,0,SUMIFS('4. Chronology'!$C$5:$C$204,'4. Chronology'!$A$5:$A$204,$A182,'4. Chronology'!$B$5:$B$204,$K182))),""))</f>
        <v/>
      </c>
      <c r="H182" s="16" t="str">
        <f>IF(OR($A182="",NOT(ISNUMBER($F182)),NOT(ISNUMBER($C182))),"",IFERROR((($F182-IF($K182=0,0,SUMIFS('4. Chronology'!$F$5:$F$204,'4. Chronology'!$A$5:$A$204,$A182,'4. Chronology'!$B$5:$B$204,$K182)))*1000)/($C182-IF($K182=0,0,SUMIFS('4. Chronology'!$C$5:$C$204,'4. Chronology'!$A$5:$A$204,$A182,'4. Chronology'!$B$5:$B$204,$K182))),""))</f>
        <v/>
      </c>
      <c r="I182" s="16" t="str">
        <f>IF($A182="","",IF(COUNTIF('2. Core Log'!$A$5:$A$124,$A182)=0,"Core ID not in Core Log. ","")&amp;IF($E182="","No date source given — RERCA and LORCA need to know which method produced this age. ","")&amp;IF(AND(ISNUMBER($C182),$C182&lt;0),"Negative age: this horizon post-dates the coring year. Check the conversion. ","")&amp;IF(AND(ISNUMBER($G182),$G182&lt;0),"Age reversal — this horizon is younger than one above it. A mixed or disturbed profile may not be datable at all. ","")&amp;IF(AND(ISNUMBER($D182),ISNUMBER($C182),$C182&gt;0,$D182/$C182&gt;0.5),"Age uncertainty exceeds 50% of the age. Usable as an indication only. ","")&amp;IF(AND($D182="",$C182&lt;&gt;""),"No uncertainty given. Every radiometric age has one; a rate without it cannot be defended. ",""))</f>
        <v/>
      </c>
      <c r="J182" s="16">
        <f t="shared" si="0"/>
        <v>0</v>
      </c>
      <c r="K182" s="16" t="str">
        <f>IF(OR($A182="",NOT(ISNUMBER($B182))),"",SUMPRODUCT(MAX(('4. Chronology'!$A$5:$A$204=$A182)*('4. Chronology'!$B$5:$B$204&lt;$B182)*'4. Chronology'!$B$5:$B$204)))</f>
        <v/>
      </c>
    </row>
    <row r="183" spans="1:11" ht="15.75" customHeight="1">
      <c r="A183" s="14"/>
      <c r="B183" s="14"/>
      <c r="C183" s="14"/>
      <c r="D183" s="14"/>
      <c r="E183" s="14"/>
      <c r="F183" s="16" t="str">
        <f>IF(OR($A183="",NOT(ISNUMBER($B183))),"",SUMIFS(community_cores_FS!$P$5:$P$597,community_cores_FS!$B$5:$B$597,$A183,community_cores_FS!$F$5:$F$597,"&lt;="&amp;$B183)+SUMPRODUCT((community_cores_FS!$B$5:$B$597=$A183)*(community_cores_FS!$E$5:$E$597&lt;$B183)*(community_cores_FS!$F$5:$F$597&gt;$B183)*community_cores_FS!$R$5:$R$597*($B183-community_cores_FS!$E$5:$E$597)))</f>
        <v/>
      </c>
      <c r="G183" s="16" t="str">
        <f>IF(OR($A183="",NOT(ISNUMBER($B183)),NOT(ISNUMBER($C183))),"",IFERROR(($B183-$K183)/($C183-IF($K183=0,0,SUMIFS('4. Chronology'!$C$5:$C$204,'4. Chronology'!$A$5:$A$204,$A183,'4. Chronology'!$B$5:$B$204,$K183))),""))</f>
        <v/>
      </c>
      <c r="H183" s="16" t="str">
        <f>IF(OR($A183="",NOT(ISNUMBER($F183)),NOT(ISNUMBER($C183))),"",IFERROR((($F183-IF($K183=0,0,SUMIFS('4. Chronology'!$F$5:$F$204,'4. Chronology'!$A$5:$A$204,$A183,'4. Chronology'!$B$5:$B$204,$K183)))*1000)/($C183-IF($K183=0,0,SUMIFS('4. Chronology'!$C$5:$C$204,'4. Chronology'!$A$5:$A$204,$A183,'4. Chronology'!$B$5:$B$204,$K183))),""))</f>
        <v/>
      </c>
      <c r="I183" s="16" t="str">
        <f>IF($A183="","",IF(COUNTIF('2. Core Log'!$A$5:$A$124,$A183)=0,"Core ID not in Core Log. ","")&amp;IF($E183="","No date source given — RERCA and LORCA need to know which method produced this age. ","")&amp;IF(AND(ISNUMBER($C183),$C183&lt;0),"Negative age: this horizon post-dates the coring year. Check the conversion. ","")&amp;IF(AND(ISNUMBER($G183),$G183&lt;0),"Age reversal — this horizon is younger than one above it. A mixed or disturbed profile may not be datable at all. ","")&amp;IF(AND(ISNUMBER($D183),ISNUMBER($C183),$C183&gt;0,$D183/$C183&gt;0.5),"Age uncertainty exceeds 50% of the age. Usable as an indication only. ","")&amp;IF(AND($D183="",$C183&lt;&gt;""),"No uncertainty given. Every radiometric age has one; a rate without it cannot be defended. ",""))</f>
        <v/>
      </c>
      <c r="J183" s="16">
        <f t="shared" si="0"/>
        <v>0</v>
      </c>
      <c r="K183" s="16" t="str">
        <f>IF(OR($A183="",NOT(ISNUMBER($B183))),"",SUMPRODUCT(MAX(('4. Chronology'!$A$5:$A$204=$A183)*('4. Chronology'!$B$5:$B$204&lt;$B183)*'4. Chronology'!$B$5:$B$204)))</f>
        <v/>
      </c>
    </row>
    <row r="184" spans="1:11" ht="15.75" customHeight="1">
      <c r="A184" s="14"/>
      <c r="B184" s="14"/>
      <c r="C184" s="14"/>
      <c r="D184" s="14"/>
      <c r="E184" s="14"/>
      <c r="F184" s="16" t="str">
        <f>IF(OR($A184="",NOT(ISNUMBER($B184))),"",SUMIFS(community_cores_FS!$P$5:$P$597,community_cores_FS!$B$5:$B$597,$A184,community_cores_FS!$F$5:$F$597,"&lt;="&amp;$B184)+SUMPRODUCT((community_cores_FS!$B$5:$B$597=$A184)*(community_cores_FS!$E$5:$E$597&lt;$B184)*(community_cores_FS!$F$5:$F$597&gt;$B184)*community_cores_FS!$R$5:$R$597*($B184-community_cores_FS!$E$5:$E$597)))</f>
        <v/>
      </c>
      <c r="G184" s="16" t="str">
        <f>IF(OR($A184="",NOT(ISNUMBER($B184)),NOT(ISNUMBER($C184))),"",IFERROR(($B184-$K184)/($C184-IF($K184=0,0,SUMIFS('4. Chronology'!$C$5:$C$204,'4. Chronology'!$A$5:$A$204,$A184,'4. Chronology'!$B$5:$B$204,$K184))),""))</f>
        <v/>
      </c>
      <c r="H184" s="16" t="str">
        <f>IF(OR($A184="",NOT(ISNUMBER($F184)),NOT(ISNUMBER($C184))),"",IFERROR((($F184-IF($K184=0,0,SUMIFS('4. Chronology'!$F$5:$F$204,'4. Chronology'!$A$5:$A$204,$A184,'4. Chronology'!$B$5:$B$204,$K184)))*1000)/($C184-IF($K184=0,0,SUMIFS('4. Chronology'!$C$5:$C$204,'4. Chronology'!$A$5:$A$204,$A184,'4. Chronology'!$B$5:$B$204,$K184))),""))</f>
        <v/>
      </c>
      <c r="I184" s="16" t="str">
        <f>IF($A184="","",IF(COUNTIF('2. Core Log'!$A$5:$A$124,$A184)=0,"Core ID not in Core Log. ","")&amp;IF($E184="","No date source given — RERCA and LORCA need to know which method produced this age. ","")&amp;IF(AND(ISNUMBER($C184),$C184&lt;0),"Negative age: this horizon post-dates the coring year. Check the conversion. ","")&amp;IF(AND(ISNUMBER($G184),$G184&lt;0),"Age reversal — this horizon is younger than one above it. A mixed or disturbed profile may not be datable at all. ","")&amp;IF(AND(ISNUMBER($D184),ISNUMBER($C184),$C184&gt;0,$D184/$C184&gt;0.5),"Age uncertainty exceeds 50% of the age. Usable as an indication only. ","")&amp;IF(AND($D184="",$C184&lt;&gt;""),"No uncertainty given. Every radiometric age has one; a rate without it cannot be defended. ",""))</f>
        <v/>
      </c>
      <c r="J184" s="16">
        <f t="shared" si="0"/>
        <v>0</v>
      </c>
      <c r="K184" s="16" t="str">
        <f>IF(OR($A184="",NOT(ISNUMBER($B184))),"",SUMPRODUCT(MAX(('4. Chronology'!$A$5:$A$204=$A184)*('4. Chronology'!$B$5:$B$204&lt;$B184)*'4. Chronology'!$B$5:$B$204)))</f>
        <v/>
      </c>
    </row>
    <row r="185" spans="1:11" ht="15.75" customHeight="1">
      <c r="A185" s="14"/>
      <c r="B185" s="14"/>
      <c r="C185" s="14"/>
      <c r="D185" s="14"/>
      <c r="E185" s="14"/>
      <c r="F185" s="16" t="str">
        <f>IF(OR($A185="",NOT(ISNUMBER($B185))),"",SUMIFS(community_cores_FS!$P$5:$P$597,community_cores_FS!$B$5:$B$597,$A185,community_cores_FS!$F$5:$F$597,"&lt;="&amp;$B185)+SUMPRODUCT((community_cores_FS!$B$5:$B$597=$A185)*(community_cores_FS!$E$5:$E$597&lt;$B185)*(community_cores_FS!$F$5:$F$597&gt;$B185)*community_cores_FS!$R$5:$R$597*($B185-community_cores_FS!$E$5:$E$597)))</f>
        <v/>
      </c>
      <c r="G185" s="16" t="str">
        <f>IF(OR($A185="",NOT(ISNUMBER($B185)),NOT(ISNUMBER($C185))),"",IFERROR(($B185-$K185)/($C185-IF($K185=0,0,SUMIFS('4. Chronology'!$C$5:$C$204,'4. Chronology'!$A$5:$A$204,$A185,'4. Chronology'!$B$5:$B$204,$K185))),""))</f>
        <v/>
      </c>
      <c r="H185" s="16" t="str">
        <f>IF(OR($A185="",NOT(ISNUMBER($F185)),NOT(ISNUMBER($C185))),"",IFERROR((($F185-IF($K185=0,0,SUMIFS('4. Chronology'!$F$5:$F$204,'4. Chronology'!$A$5:$A$204,$A185,'4. Chronology'!$B$5:$B$204,$K185)))*1000)/($C185-IF($K185=0,0,SUMIFS('4. Chronology'!$C$5:$C$204,'4. Chronology'!$A$5:$A$204,$A185,'4. Chronology'!$B$5:$B$204,$K185))),""))</f>
        <v/>
      </c>
      <c r="I185" s="16" t="str">
        <f>IF($A185="","",IF(COUNTIF('2. Core Log'!$A$5:$A$124,$A185)=0,"Core ID not in Core Log. ","")&amp;IF($E185="","No date source given — RERCA and LORCA need to know which method produced this age. ","")&amp;IF(AND(ISNUMBER($C185),$C185&lt;0),"Negative age: this horizon post-dates the coring year. Check the conversion. ","")&amp;IF(AND(ISNUMBER($G185),$G185&lt;0),"Age reversal — this horizon is younger than one above it. A mixed or disturbed profile may not be datable at all. ","")&amp;IF(AND(ISNUMBER($D185),ISNUMBER($C185),$C185&gt;0,$D185/$C185&gt;0.5),"Age uncertainty exceeds 50% of the age. Usable as an indication only. ","")&amp;IF(AND($D185="",$C185&lt;&gt;""),"No uncertainty given. Every radiometric age has one; a rate without it cannot be defended. ",""))</f>
        <v/>
      </c>
      <c r="J185" s="16">
        <f t="shared" si="0"/>
        <v>0</v>
      </c>
      <c r="K185" s="16" t="str">
        <f>IF(OR($A185="",NOT(ISNUMBER($B185))),"",SUMPRODUCT(MAX(('4. Chronology'!$A$5:$A$204=$A185)*('4. Chronology'!$B$5:$B$204&lt;$B185)*'4. Chronology'!$B$5:$B$204)))</f>
        <v/>
      </c>
    </row>
    <row r="186" spans="1:11" ht="15.75" customHeight="1">
      <c r="A186" s="14"/>
      <c r="B186" s="14"/>
      <c r="C186" s="14"/>
      <c r="D186" s="14"/>
      <c r="E186" s="14"/>
      <c r="F186" s="16" t="str">
        <f>IF(OR($A186="",NOT(ISNUMBER($B186))),"",SUMIFS(community_cores_FS!$P$5:$P$597,community_cores_FS!$B$5:$B$597,$A186,community_cores_FS!$F$5:$F$597,"&lt;="&amp;$B186)+SUMPRODUCT((community_cores_FS!$B$5:$B$597=$A186)*(community_cores_FS!$E$5:$E$597&lt;$B186)*(community_cores_FS!$F$5:$F$597&gt;$B186)*community_cores_FS!$R$5:$R$597*($B186-community_cores_FS!$E$5:$E$597)))</f>
        <v/>
      </c>
      <c r="G186" s="16" t="str">
        <f>IF(OR($A186="",NOT(ISNUMBER($B186)),NOT(ISNUMBER($C186))),"",IFERROR(($B186-$K186)/($C186-IF($K186=0,0,SUMIFS('4. Chronology'!$C$5:$C$204,'4. Chronology'!$A$5:$A$204,$A186,'4. Chronology'!$B$5:$B$204,$K186))),""))</f>
        <v/>
      </c>
      <c r="H186" s="16" t="str">
        <f>IF(OR($A186="",NOT(ISNUMBER($F186)),NOT(ISNUMBER($C186))),"",IFERROR((($F186-IF($K186=0,0,SUMIFS('4. Chronology'!$F$5:$F$204,'4. Chronology'!$A$5:$A$204,$A186,'4. Chronology'!$B$5:$B$204,$K186)))*1000)/($C186-IF($K186=0,0,SUMIFS('4. Chronology'!$C$5:$C$204,'4. Chronology'!$A$5:$A$204,$A186,'4. Chronology'!$B$5:$B$204,$K186))),""))</f>
        <v/>
      </c>
      <c r="I186" s="16" t="str">
        <f>IF($A186="","",IF(COUNTIF('2. Core Log'!$A$5:$A$124,$A186)=0,"Core ID not in Core Log. ","")&amp;IF($E186="","No date source given — RERCA and LORCA need to know which method produced this age. ","")&amp;IF(AND(ISNUMBER($C186),$C186&lt;0),"Negative age: this horizon post-dates the coring year. Check the conversion. ","")&amp;IF(AND(ISNUMBER($G186),$G186&lt;0),"Age reversal — this horizon is younger than one above it. A mixed or disturbed profile may not be datable at all. ","")&amp;IF(AND(ISNUMBER($D186),ISNUMBER($C186),$C186&gt;0,$D186/$C186&gt;0.5),"Age uncertainty exceeds 50% of the age. Usable as an indication only. ","")&amp;IF(AND($D186="",$C186&lt;&gt;""),"No uncertainty given. Every radiometric age has one; a rate without it cannot be defended. ",""))</f>
        <v/>
      </c>
      <c r="J186" s="16">
        <f t="shared" si="0"/>
        <v>0</v>
      </c>
      <c r="K186" s="16" t="str">
        <f>IF(OR($A186="",NOT(ISNUMBER($B186))),"",SUMPRODUCT(MAX(('4. Chronology'!$A$5:$A$204=$A186)*('4. Chronology'!$B$5:$B$204&lt;$B186)*'4. Chronology'!$B$5:$B$204)))</f>
        <v/>
      </c>
    </row>
    <row r="187" spans="1:11" ht="15.75" customHeight="1">
      <c r="A187" s="14"/>
      <c r="B187" s="14"/>
      <c r="C187" s="14"/>
      <c r="D187" s="14"/>
      <c r="E187" s="14"/>
      <c r="F187" s="16" t="str">
        <f>IF(OR($A187="",NOT(ISNUMBER($B187))),"",SUMIFS(community_cores_FS!$P$5:$P$597,community_cores_FS!$B$5:$B$597,$A187,community_cores_FS!$F$5:$F$597,"&lt;="&amp;$B187)+SUMPRODUCT((community_cores_FS!$B$5:$B$597=$A187)*(community_cores_FS!$E$5:$E$597&lt;$B187)*(community_cores_FS!$F$5:$F$597&gt;$B187)*community_cores_FS!$R$5:$R$597*($B187-community_cores_FS!$E$5:$E$597)))</f>
        <v/>
      </c>
      <c r="G187" s="16" t="str">
        <f>IF(OR($A187="",NOT(ISNUMBER($B187)),NOT(ISNUMBER($C187))),"",IFERROR(($B187-$K187)/($C187-IF($K187=0,0,SUMIFS('4. Chronology'!$C$5:$C$204,'4. Chronology'!$A$5:$A$204,$A187,'4. Chronology'!$B$5:$B$204,$K187))),""))</f>
        <v/>
      </c>
      <c r="H187" s="16" t="str">
        <f>IF(OR($A187="",NOT(ISNUMBER($F187)),NOT(ISNUMBER($C187))),"",IFERROR((($F187-IF($K187=0,0,SUMIFS('4. Chronology'!$F$5:$F$204,'4. Chronology'!$A$5:$A$204,$A187,'4. Chronology'!$B$5:$B$204,$K187)))*1000)/($C187-IF($K187=0,0,SUMIFS('4. Chronology'!$C$5:$C$204,'4. Chronology'!$A$5:$A$204,$A187,'4. Chronology'!$B$5:$B$204,$K187))),""))</f>
        <v/>
      </c>
      <c r="I187" s="16" t="str">
        <f>IF($A187="","",IF(COUNTIF('2. Core Log'!$A$5:$A$124,$A187)=0,"Core ID not in Core Log. ","")&amp;IF($E187="","No date source given — RERCA and LORCA need to know which method produced this age. ","")&amp;IF(AND(ISNUMBER($C187),$C187&lt;0),"Negative age: this horizon post-dates the coring year. Check the conversion. ","")&amp;IF(AND(ISNUMBER($G187),$G187&lt;0),"Age reversal — this horizon is younger than one above it. A mixed or disturbed profile may not be datable at all. ","")&amp;IF(AND(ISNUMBER($D187),ISNUMBER($C187),$C187&gt;0,$D187/$C187&gt;0.5),"Age uncertainty exceeds 50% of the age. Usable as an indication only. ","")&amp;IF(AND($D187="",$C187&lt;&gt;""),"No uncertainty given. Every radiometric age has one; a rate without it cannot be defended. ",""))</f>
        <v/>
      </c>
      <c r="J187" s="16">
        <f t="shared" si="0"/>
        <v>0</v>
      </c>
      <c r="K187" s="16" t="str">
        <f>IF(OR($A187="",NOT(ISNUMBER($B187))),"",SUMPRODUCT(MAX(('4. Chronology'!$A$5:$A$204=$A187)*('4. Chronology'!$B$5:$B$204&lt;$B187)*'4. Chronology'!$B$5:$B$204)))</f>
        <v/>
      </c>
    </row>
    <row r="188" spans="1:11" ht="15.75" customHeight="1">
      <c r="A188" s="14"/>
      <c r="B188" s="14"/>
      <c r="C188" s="14"/>
      <c r="D188" s="14"/>
      <c r="E188" s="14"/>
      <c r="F188" s="16" t="str">
        <f>IF(OR($A188="",NOT(ISNUMBER($B188))),"",SUMIFS(community_cores_FS!$P$5:$P$597,community_cores_FS!$B$5:$B$597,$A188,community_cores_FS!$F$5:$F$597,"&lt;="&amp;$B188)+SUMPRODUCT((community_cores_FS!$B$5:$B$597=$A188)*(community_cores_FS!$E$5:$E$597&lt;$B188)*(community_cores_FS!$F$5:$F$597&gt;$B188)*community_cores_FS!$R$5:$R$597*($B188-community_cores_FS!$E$5:$E$597)))</f>
        <v/>
      </c>
      <c r="G188" s="16" t="str">
        <f>IF(OR($A188="",NOT(ISNUMBER($B188)),NOT(ISNUMBER($C188))),"",IFERROR(($B188-$K188)/($C188-IF($K188=0,0,SUMIFS('4. Chronology'!$C$5:$C$204,'4. Chronology'!$A$5:$A$204,$A188,'4. Chronology'!$B$5:$B$204,$K188))),""))</f>
        <v/>
      </c>
      <c r="H188" s="16" t="str">
        <f>IF(OR($A188="",NOT(ISNUMBER($F188)),NOT(ISNUMBER($C188))),"",IFERROR((($F188-IF($K188=0,0,SUMIFS('4. Chronology'!$F$5:$F$204,'4. Chronology'!$A$5:$A$204,$A188,'4. Chronology'!$B$5:$B$204,$K188)))*1000)/($C188-IF($K188=0,0,SUMIFS('4. Chronology'!$C$5:$C$204,'4. Chronology'!$A$5:$A$204,$A188,'4. Chronology'!$B$5:$B$204,$K188))),""))</f>
        <v/>
      </c>
      <c r="I188" s="16" t="str">
        <f>IF($A188="","",IF(COUNTIF('2. Core Log'!$A$5:$A$124,$A188)=0,"Core ID not in Core Log. ","")&amp;IF($E188="","No date source given — RERCA and LORCA need to know which method produced this age. ","")&amp;IF(AND(ISNUMBER($C188),$C188&lt;0),"Negative age: this horizon post-dates the coring year. Check the conversion. ","")&amp;IF(AND(ISNUMBER($G188),$G188&lt;0),"Age reversal — this horizon is younger than one above it. A mixed or disturbed profile may not be datable at all. ","")&amp;IF(AND(ISNUMBER($D188),ISNUMBER($C188),$C188&gt;0,$D188/$C188&gt;0.5),"Age uncertainty exceeds 50% of the age. Usable as an indication only. ","")&amp;IF(AND($D188="",$C188&lt;&gt;""),"No uncertainty given. Every radiometric age has one; a rate without it cannot be defended. ",""))</f>
        <v/>
      </c>
      <c r="J188" s="16">
        <f t="shared" si="0"/>
        <v>0</v>
      </c>
      <c r="K188" s="16" t="str">
        <f>IF(OR($A188="",NOT(ISNUMBER($B188))),"",SUMPRODUCT(MAX(('4. Chronology'!$A$5:$A$204=$A188)*('4. Chronology'!$B$5:$B$204&lt;$B188)*'4. Chronology'!$B$5:$B$204)))</f>
        <v/>
      </c>
    </row>
    <row r="189" spans="1:11" ht="15.75" customHeight="1">
      <c r="A189" s="14"/>
      <c r="B189" s="14"/>
      <c r="C189" s="14"/>
      <c r="D189" s="14"/>
      <c r="E189" s="14"/>
      <c r="F189" s="16" t="str">
        <f>IF(OR($A189="",NOT(ISNUMBER($B189))),"",SUMIFS(community_cores_FS!$P$5:$P$597,community_cores_FS!$B$5:$B$597,$A189,community_cores_FS!$F$5:$F$597,"&lt;="&amp;$B189)+SUMPRODUCT((community_cores_FS!$B$5:$B$597=$A189)*(community_cores_FS!$E$5:$E$597&lt;$B189)*(community_cores_FS!$F$5:$F$597&gt;$B189)*community_cores_FS!$R$5:$R$597*($B189-community_cores_FS!$E$5:$E$597)))</f>
        <v/>
      </c>
      <c r="G189" s="16" t="str">
        <f>IF(OR($A189="",NOT(ISNUMBER($B189)),NOT(ISNUMBER($C189))),"",IFERROR(($B189-$K189)/($C189-IF($K189=0,0,SUMIFS('4. Chronology'!$C$5:$C$204,'4. Chronology'!$A$5:$A$204,$A189,'4. Chronology'!$B$5:$B$204,$K189))),""))</f>
        <v/>
      </c>
      <c r="H189" s="16" t="str">
        <f>IF(OR($A189="",NOT(ISNUMBER($F189)),NOT(ISNUMBER($C189))),"",IFERROR((($F189-IF($K189=0,0,SUMIFS('4. Chronology'!$F$5:$F$204,'4. Chronology'!$A$5:$A$204,$A189,'4. Chronology'!$B$5:$B$204,$K189)))*1000)/($C189-IF($K189=0,0,SUMIFS('4. Chronology'!$C$5:$C$204,'4. Chronology'!$A$5:$A$204,$A189,'4. Chronology'!$B$5:$B$204,$K189))),""))</f>
        <v/>
      </c>
      <c r="I189" s="16" t="str">
        <f>IF($A189="","",IF(COUNTIF('2. Core Log'!$A$5:$A$124,$A189)=0,"Core ID not in Core Log. ","")&amp;IF($E189="","No date source given — RERCA and LORCA need to know which method produced this age. ","")&amp;IF(AND(ISNUMBER($C189),$C189&lt;0),"Negative age: this horizon post-dates the coring year. Check the conversion. ","")&amp;IF(AND(ISNUMBER($G189),$G189&lt;0),"Age reversal — this horizon is younger than one above it. A mixed or disturbed profile may not be datable at all. ","")&amp;IF(AND(ISNUMBER($D189),ISNUMBER($C189),$C189&gt;0,$D189/$C189&gt;0.5),"Age uncertainty exceeds 50% of the age. Usable as an indication only. ","")&amp;IF(AND($D189="",$C189&lt;&gt;""),"No uncertainty given. Every radiometric age has one; a rate without it cannot be defended. ",""))</f>
        <v/>
      </c>
      <c r="J189" s="16">
        <f t="shared" si="0"/>
        <v>0</v>
      </c>
      <c r="K189" s="16" t="str">
        <f>IF(OR($A189="",NOT(ISNUMBER($B189))),"",SUMPRODUCT(MAX(('4. Chronology'!$A$5:$A$204=$A189)*('4. Chronology'!$B$5:$B$204&lt;$B189)*'4. Chronology'!$B$5:$B$204)))</f>
        <v/>
      </c>
    </row>
    <row r="190" spans="1:11" ht="15.75" customHeight="1">
      <c r="A190" s="14"/>
      <c r="B190" s="14"/>
      <c r="C190" s="14"/>
      <c r="D190" s="14"/>
      <c r="E190" s="14"/>
      <c r="F190" s="16" t="str">
        <f>IF(OR($A190="",NOT(ISNUMBER($B190))),"",SUMIFS(community_cores_FS!$P$5:$P$597,community_cores_FS!$B$5:$B$597,$A190,community_cores_FS!$F$5:$F$597,"&lt;="&amp;$B190)+SUMPRODUCT((community_cores_FS!$B$5:$B$597=$A190)*(community_cores_FS!$E$5:$E$597&lt;$B190)*(community_cores_FS!$F$5:$F$597&gt;$B190)*community_cores_FS!$R$5:$R$597*($B190-community_cores_FS!$E$5:$E$597)))</f>
        <v/>
      </c>
      <c r="G190" s="16" t="str">
        <f>IF(OR($A190="",NOT(ISNUMBER($B190)),NOT(ISNUMBER($C190))),"",IFERROR(($B190-$K190)/($C190-IF($K190=0,0,SUMIFS('4. Chronology'!$C$5:$C$204,'4. Chronology'!$A$5:$A$204,$A190,'4. Chronology'!$B$5:$B$204,$K190))),""))</f>
        <v/>
      </c>
      <c r="H190" s="16" t="str">
        <f>IF(OR($A190="",NOT(ISNUMBER($F190)),NOT(ISNUMBER($C190))),"",IFERROR((($F190-IF($K190=0,0,SUMIFS('4. Chronology'!$F$5:$F$204,'4. Chronology'!$A$5:$A$204,$A190,'4. Chronology'!$B$5:$B$204,$K190)))*1000)/($C190-IF($K190=0,0,SUMIFS('4. Chronology'!$C$5:$C$204,'4. Chronology'!$A$5:$A$204,$A190,'4. Chronology'!$B$5:$B$204,$K190))),""))</f>
        <v/>
      </c>
      <c r="I190" s="16" t="str">
        <f>IF($A190="","",IF(COUNTIF('2. Core Log'!$A$5:$A$124,$A190)=0,"Core ID not in Core Log. ","")&amp;IF($E190="","No date source given — RERCA and LORCA need to know which method produced this age. ","")&amp;IF(AND(ISNUMBER($C190),$C190&lt;0),"Negative age: this horizon post-dates the coring year. Check the conversion. ","")&amp;IF(AND(ISNUMBER($G190),$G190&lt;0),"Age reversal — this horizon is younger than one above it. A mixed or disturbed profile may not be datable at all. ","")&amp;IF(AND(ISNUMBER($D190),ISNUMBER($C190),$C190&gt;0,$D190/$C190&gt;0.5),"Age uncertainty exceeds 50% of the age. Usable as an indication only. ","")&amp;IF(AND($D190="",$C190&lt;&gt;""),"No uncertainty given. Every radiometric age has one; a rate without it cannot be defended. ",""))</f>
        <v/>
      </c>
      <c r="J190" s="16">
        <f t="shared" si="0"/>
        <v>0</v>
      </c>
      <c r="K190" s="16" t="str">
        <f>IF(OR($A190="",NOT(ISNUMBER($B190))),"",SUMPRODUCT(MAX(('4. Chronology'!$A$5:$A$204=$A190)*('4. Chronology'!$B$5:$B$204&lt;$B190)*'4. Chronology'!$B$5:$B$204)))</f>
        <v/>
      </c>
    </row>
    <row r="191" spans="1:11" ht="15.75" customHeight="1">
      <c r="A191" s="14"/>
      <c r="B191" s="14"/>
      <c r="C191" s="14"/>
      <c r="D191" s="14"/>
      <c r="E191" s="14"/>
      <c r="F191" s="16" t="str">
        <f>IF(OR($A191="",NOT(ISNUMBER($B191))),"",SUMIFS(community_cores_FS!$P$5:$P$597,community_cores_FS!$B$5:$B$597,$A191,community_cores_FS!$F$5:$F$597,"&lt;="&amp;$B191)+SUMPRODUCT((community_cores_FS!$B$5:$B$597=$A191)*(community_cores_FS!$E$5:$E$597&lt;$B191)*(community_cores_FS!$F$5:$F$597&gt;$B191)*community_cores_FS!$R$5:$R$597*($B191-community_cores_FS!$E$5:$E$597)))</f>
        <v/>
      </c>
      <c r="G191" s="16" t="str">
        <f>IF(OR($A191="",NOT(ISNUMBER($B191)),NOT(ISNUMBER($C191))),"",IFERROR(($B191-$K191)/($C191-IF($K191=0,0,SUMIFS('4. Chronology'!$C$5:$C$204,'4. Chronology'!$A$5:$A$204,$A191,'4. Chronology'!$B$5:$B$204,$K191))),""))</f>
        <v/>
      </c>
      <c r="H191" s="16" t="str">
        <f>IF(OR($A191="",NOT(ISNUMBER($F191)),NOT(ISNUMBER($C191))),"",IFERROR((($F191-IF($K191=0,0,SUMIFS('4. Chronology'!$F$5:$F$204,'4. Chronology'!$A$5:$A$204,$A191,'4. Chronology'!$B$5:$B$204,$K191)))*1000)/($C191-IF($K191=0,0,SUMIFS('4. Chronology'!$C$5:$C$204,'4. Chronology'!$A$5:$A$204,$A191,'4. Chronology'!$B$5:$B$204,$K191))),""))</f>
        <v/>
      </c>
      <c r="I191" s="16" t="str">
        <f>IF($A191="","",IF(COUNTIF('2. Core Log'!$A$5:$A$124,$A191)=0,"Core ID not in Core Log. ","")&amp;IF($E191="","No date source given — RERCA and LORCA need to know which method produced this age. ","")&amp;IF(AND(ISNUMBER($C191),$C191&lt;0),"Negative age: this horizon post-dates the coring year. Check the conversion. ","")&amp;IF(AND(ISNUMBER($G191),$G191&lt;0),"Age reversal — this horizon is younger than one above it. A mixed or disturbed profile may not be datable at all. ","")&amp;IF(AND(ISNUMBER($D191),ISNUMBER($C191),$C191&gt;0,$D191/$C191&gt;0.5),"Age uncertainty exceeds 50% of the age. Usable as an indication only. ","")&amp;IF(AND($D191="",$C191&lt;&gt;""),"No uncertainty given. Every radiometric age has one; a rate without it cannot be defended. ",""))</f>
        <v/>
      </c>
      <c r="J191" s="16">
        <f t="shared" si="0"/>
        <v>0</v>
      </c>
      <c r="K191" s="16" t="str">
        <f>IF(OR($A191="",NOT(ISNUMBER($B191))),"",SUMPRODUCT(MAX(('4. Chronology'!$A$5:$A$204=$A191)*('4. Chronology'!$B$5:$B$204&lt;$B191)*'4. Chronology'!$B$5:$B$204)))</f>
        <v/>
      </c>
    </row>
    <row r="192" spans="1:11" ht="15.75" customHeight="1">
      <c r="A192" s="14"/>
      <c r="B192" s="14"/>
      <c r="C192" s="14"/>
      <c r="D192" s="14"/>
      <c r="E192" s="14"/>
      <c r="F192" s="16" t="str">
        <f>IF(OR($A192="",NOT(ISNUMBER($B192))),"",SUMIFS(community_cores_FS!$P$5:$P$597,community_cores_FS!$B$5:$B$597,$A192,community_cores_FS!$F$5:$F$597,"&lt;="&amp;$B192)+SUMPRODUCT((community_cores_FS!$B$5:$B$597=$A192)*(community_cores_FS!$E$5:$E$597&lt;$B192)*(community_cores_FS!$F$5:$F$597&gt;$B192)*community_cores_FS!$R$5:$R$597*($B192-community_cores_FS!$E$5:$E$597)))</f>
        <v/>
      </c>
      <c r="G192" s="16" t="str">
        <f>IF(OR($A192="",NOT(ISNUMBER($B192)),NOT(ISNUMBER($C192))),"",IFERROR(($B192-$K192)/($C192-IF($K192=0,0,SUMIFS('4. Chronology'!$C$5:$C$204,'4. Chronology'!$A$5:$A$204,$A192,'4. Chronology'!$B$5:$B$204,$K192))),""))</f>
        <v/>
      </c>
      <c r="H192" s="16" t="str">
        <f>IF(OR($A192="",NOT(ISNUMBER($F192)),NOT(ISNUMBER($C192))),"",IFERROR((($F192-IF($K192=0,0,SUMIFS('4. Chronology'!$F$5:$F$204,'4. Chronology'!$A$5:$A$204,$A192,'4. Chronology'!$B$5:$B$204,$K192)))*1000)/($C192-IF($K192=0,0,SUMIFS('4. Chronology'!$C$5:$C$204,'4. Chronology'!$A$5:$A$204,$A192,'4. Chronology'!$B$5:$B$204,$K192))),""))</f>
        <v/>
      </c>
      <c r="I192" s="16" t="str">
        <f>IF($A192="","",IF(COUNTIF('2. Core Log'!$A$5:$A$124,$A192)=0,"Core ID not in Core Log. ","")&amp;IF($E192="","No date source given — RERCA and LORCA need to know which method produced this age. ","")&amp;IF(AND(ISNUMBER($C192),$C192&lt;0),"Negative age: this horizon post-dates the coring year. Check the conversion. ","")&amp;IF(AND(ISNUMBER($G192),$G192&lt;0),"Age reversal — this horizon is younger than one above it. A mixed or disturbed profile may not be datable at all. ","")&amp;IF(AND(ISNUMBER($D192),ISNUMBER($C192),$C192&gt;0,$D192/$C192&gt;0.5),"Age uncertainty exceeds 50% of the age. Usable as an indication only. ","")&amp;IF(AND($D192="",$C192&lt;&gt;""),"No uncertainty given. Every radiometric age has one; a rate without it cannot be defended. ",""))</f>
        <v/>
      </c>
      <c r="J192" s="16">
        <f t="shared" si="0"/>
        <v>0</v>
      </c>
      <c r="K192" s="16" t="str">
        <f>IF(OR($A192="",NOT(ISNUMBER($B192))),"",SUMPRODUCT(MAX(('4. Chronology'!$A$5:$A$204=$A192)*('4. Chronology'!$B$5:$B$204&lt;$B192)*'4. Chronology'!$B$5:$B$204)))</f>
        <v/>
      </c>
    </row>
    <row r="193" spans="1:11" ht="15.75" customHeight="1">
      <c r="A193" s="14"/>
      <c r="B193" s="14"/>
      <c r="C193" s="14"/>
      <c r="D193" s="14"/>
      <c r="E193" s="14"/>
      <c r="F193" s="16" t="str">
        <f>IF(OR($A193="",NOT(ISNUMBER($B193))),"",SUMIFS(community_cores_FS!$P$5:$P$597,community_cores_FS!$B$5:$B$597,$A193,community_cores_FS!$F$5:$F$597,"&lt;="&amp;$B193)+SUMPRODUCT((community_cores_FS!$B$5:$B$597=$A193)*(community_cores_FS!$E$5:$E$597&lt;$B193)*(community_cores_FS!$F$5:$F$597&gt;$B193)*community_cores_FS!$R$5:$R$597*($B193-community_cores_FS!$E$5:$E$597)))</f>
        <v/>
      </c>
      <c r="G193" s="16" t="str">
        <f>IF(OR($A193="",NOT(ISNUMBER($B193)),NOT(ISNUMBER($C193))),"",IFERROR(($B193-$K193)/($C193-IF($K193=0,0,SUMIFS('4. Chronology'!$C$5:$C$204,'4. Chronology'!$A$5:$A$204,$A193,'4. Chronology'!$B$5:$B$204,$K193))),""))</f>
        <v/>
      </c>
      <c r="H193" s="16" t="str">
        <f>IF(OR($A193="",NOT(ISNUMBER($F193)),NOT(ISNUMBER($C193))),"",IFERROR((($F193-IF($K193=0,0,SUMIFS('4. Chronology'!$F$5:$F$204,'4. Chronology'!$A$5:$A$204,$A193,'4. Chronology'!$B$5:$B$204,$K193)))*1000)/($C193-IF($K193=0,0,SUMIFS('4. Chronology'!$C$5:$C$204,'4. Chronology'!$A$5:$A$204,$A193,'4. Chronology'!$B$5:$B$204,$K193))),""))</f>
        <v/>
      </c>
      <c r="I193" s="16" t="str">
        <f>IF($A193="","",IF(COUNTIF('2. Core Log'!$A$5:$A$124,$A193)=0,"Core ID not in Core Log. ","")&amp;IF($E193="","No date source given — RERCA and LORCA need to know which method produced this age. ","")&amp;IF(AND(ISNUMBER($C193),$C193&lt;0),"Negative age: this horizon post-dates the coring year. Check the conversion. ","")&amp;IF(AND(ISNUMBER($G193),$G193&lt;0),"Age reversal — this horizon is younger than one above it. A mixed or disturbed profile may not be datable at all. ","")&amp;IF(AND(ISNUMBER($D193),ISNUMBER($C193),$C193&gt;0,$D193/$C193&gt;0.5),"Age uncertainty exceeds 50% of the age. Usable as an indication only. ","")&amp;IF(AND($D193="",$C193&lt;&gt;""),"No uncertainty given. Every radiometric age has one; a rate without it cannot be defended. ",""))</f>
        <v/>
      </c>
      <c r="J193" s="16">
        <f t="shared" si="0"/>
        <v>0</v>
      </c>
      <c r="K193" s="16" t="str">
        <f>IF(OR($A193="",NOT(ISNUMBER($B193))),"",SUMPRODUCT(MAX(('4. Chronology'!$A$5:$A$204=$A193)*('4. Chronology'!$B$5:$B$204&lt;$B193)*'4. Chronology'!$B$5:$B$204)))</f>
        <v/>
      </c>
    </row>
    <row r="194" spans="1:11" ht="15.75" customHeight="1">
      <c r="A194" s="14"/>
      <c r="B194" s="14"/>
      <c r="C194" s="14"/>
      <c r="D194" s="14"/>
      <c r="E194" s="14"/>
      <c r="F194" s="16" t="str">
        <f>IF(OR($A194="",NOT(ISNUMBER($B194))),"",SUMIFS(community_cores_FS!$P$5:$P$597,community_cores_FS!$B$5:$B$597,$A194,community_cores_FS!$F$5:$F$597,"&lt;="&amp;$B194)+SUMPRODUCT((community_cores_FS!$B$5:$B$597=$A194)*(community_cores_FS!$E$5:$E$597&lt;$B194)*(community_cores_FS!$F$5:$F$597&gt;$B194)*community_cores_FS!$R$5:$R$597*($B194-community_cores_FS!$E$5:$E$597)))</f>
        <v/>
      </c>
      <c r="G194" s="16" t="str">
        <f>IF(OR($A194="",NOT(ISNUMBER($B194)),NOT(ISNUMBER($C194))),"",IFERROR(($B194-$K194)/($C194-IF($K194=0,0,SUMIFS('4. Chronology'!$C$5:$C$204,'4. Chronology'!$A$5:$A$204,$A194,'4. Chronology'!$B$5:$B$204,$K194))),""))</f>
        <v/>
      </c>
      <c r="H194" s="16" t="str">
        <f>IF(OR($A194="",NOT(ISNUMBER($F194)),NOT(ISNUMBER($C194))),"",IFERROR((($F194-IF($K194=0,0,SUMIFS('4. Chronology'!$F$5:$F$204,'4. Chronology'!$A$5:$A$204,$A194,'4. Chronology'!$B$5:$B$204,$K194)))*1000)/($C194-IF($K194=0,0,SUMIFS('4. Chronology'!$C$5:$C$204,'4. Chronology'!$A$5:$A$204,$A194,'4. Chronology'!$B$5:$B$204,$K194))),""))</f>
        <v/>
      </c>
      <c r="I194" s="16" t="str">
        <f>IF($A194="","",IF(COUNTIF('2. Core Log'!$A$5:$A$124,$A194)=0,"Core ID not in Core Log. ","")&amp;IF($E194="","No date source given — RERCA and LORCA need to know which method produced this age. ","")&amp;IF(AND(ISNUMBER($C194),$C194&lt;0),"Negative age: this horizon post-dates the coring year. Check the conversion. ","")&amp;IF(AND(ISNUMBER($G194),$G194&lt;0),"Age reversal — this horizon is younger than one above it. A mixed or disturbed profile may not be datable at all. ","")&amp;IF(AND(ISNUMBER($D194),ISNUMBER($C194),$C194&gt;0,$D194/$C194&gt;0.5),"Age uncertainty exceeds 50% of the age. Usable as an indication only. ","")&amp;IF(AND($D194="",$C194&lt;&gt;""),"No uncertainty given. Every radiometric age has one; a rate without it cannot be defended. ",""))</f>
        <v/>
      </c>
      <c r="J194" s="16">
        <f t="shared" si="0"/>
        <v>0</v>
      </c>
      <c r="K194" s="16" t="str">
        <f>IF(OR($A194="",NOT(ISNUMBER($B194))),"",SUMPRODUCT(MAX(('4. Chronology'!$A$5:$A$204=$A194)*('4. Chronology'!$B$5:$B$204&lt;$B194)*'4. Chronology'!$B$5:$B$204)))</f>
        <v/>
      </c>
    </row>
    <row r="195" spans="1:11" ht="15.75" customHeight="1">
      <c r="A195" s="14"/>
      <c r="B195" s="14"/>
      <c r="C195" s="14"/>
      <c r="D195" s="14"/>
      <c r="E195" s="14"/>
      <c r="F195" s="16" t="str">
        <f>IF(OR($A195="",NOT(ISNUMBER($B195))),"",SUMIFS(community_cores_FS!$P$5:$P$597,community_cores_FS!$B$5:$B$597,$A195,community_cores_FS!$F$5:$F$597,"&lt;="&amp;$B195)+SUMPRODUCT((community_cores_FS!$B$5:$B$597=$A195)*(community_cores_FS!$E$5:$E$597&lt;$B195)*(community_cores_FS!$F$5:$F$597&gt;$B195)*community_cores_FS!$R$5:$R$597*($B195-community_cores_FS!$E$5:$E$597)))</f>
        <v/>
      </c>
      <c r="G195" s="16" t="str">
        <f>IF(OR($A195="",NOT(ISNUMBER($B195)),NOT(ISNUMBER($C195))),"",IFERROR(($B195-$K195)/($C195-IF($K195=0,0,SUMIFS('4. Chronology'!$C$5:$C$204,'4. Chronology'!$A$5:$A$204,$A195,'4. Chronology'!$B$5:$B$204,$K195))),""))</f>
        <v/>
      </c>
      <c r="H195" s="16" t="str">
        <f>IF(OR($A195="",NOT(ISNUMBER($F195)),NOT(ISNUMBER($C195))),"",IFERROR((($F195-IF($K195=0,0,SUMIFS('4. Chronology'!$F$5:$F$204,'4. Chronology'!$A$5:$A$204,$A195,'4. Chronology'!$B$5:$B$204,$K195)))*1000)/($C195-IF($K195=0,0,SUMIFS('4. Chronology'!$C$5:$C$204,'4. Chronology'!$A$5:$A$204,$A195,'4. Chronology'!$B$5:$B$204,$K195))),""))</f>
        <v/>
      </c>
      <c r="I195" s="16" t="str">
        <f>IF($A195="","",IF(COUNTIF('2. Core Log'!$A$5:$A$124,$A195)=0,"Core ID not in Core Log. ","")&amp;IF($E195="","No date source given — RERCA and LORCA need to know which method produced this age. ","")&amp;IF(AND(ISNUMBER($C195),$C195&lt;0),"Negative age: this horizon post-dates the coring year. Check the conversion. ","")&amp;IF(AND(ISNUMBER($G195),$G195&lt;0),"Age reversal — this horizon is younger than one above it. A mixed or disturbed profile may not be datable at all. ","")&amp;IF(AND(ISNUMBER($D195),ISNUMBER($C195),$C195&gt;0,$D195/$C195&gt;0.5),"Age uncertainty exceeds 50% of the age. Usable as an indication only. ","")&amp;IF(AND($D195="",$C195&lt;&gt;""),"No uncertainty given. Every radiometric age has one; a rate without it cannot be defended. ",""))</f>
        <v/>
      </c>
      <c r="J195" s="16">
        <f t="shared" si="0"/>
        <v>0</v>
      </c>
      <c r="K195" s="16" t="str">
        <f>IF(OR($A195="",NOT(ISNUMBER($B195))),"",SUMPRODUCT(MAX(('4. Chronology'!$A$5:$A$204=$A195)*('4. Chronology'!$B$5:$B$204&lt;$B195)*'4. Chronology'!$B$5:$B$204)))</f>
        <v/>
      </c>
    </row>
    <row r="196" spans="1:11" ht="15.75" customHeight="1">
      <c r="A196" s="14"/>
      <c r="B196" s="14"/>
      <c r="C196" s="14"/>
      <c r="D196" s="14"/>
      <c r="E196" s="14"/>
      <c r="F196" s="16" t="str">
        <f>IF(OR($A196="",NOT(ISNUMBER($B196))),"",SUMIFS(community_cores_FS!$P$5:$P$597,community_cores_FS!$B$5:$B$597,$A196,community_cores_FS!$F$5:$F$597,"&lt;="&amp;$B196)+SUMPRODUCT((community_cores_FS!$B$5:$B$597=$A196)*(community_cores_FS!$E$5:$E$597&lt;$B196)*(community_cores_FS!$F$5:$F$597&gt;$B196)*community_cores_FS!$R$5:$R$597*($B196-community_cores_FS!$E$5:$E$597)))</f>
        <v/>
      </c>
      <c r="G196" s="16" t="str">
        <f>IF(OR($A196="",NOT(ISNUMBER($B196)),NOT(ISNUMBER($C196))),"",IFERROR(($B196-$K196)/($C196-IF($K196=0,0,SUMIFS('4. Chronology'!$C$5:$C$204,'4. Chronology'!$A$5:$A$204,$A196,'4. Chronology'!$B$5:$B$204,$K196))),""))</f>
        <v/>
      </c>
      <c r="H196" s="16" t="str">
        <f>IF(OR($A196="",NOT(ISNUMBER($F196)),NOT(ISNUMBER($C196))),"",IFERROR((($F196-IF($K196=0,0,SUMIFS('4. Chronology'!$F$5:$F$204,'4. Chronology'!$A$5:$A$204,$A196,'4. Chronology'!$B$5:$B$204,$K196)))*1000)/($C196-IF($K196=0,0,SUMIFS('4. Chronology'!$C$5:$C$204,'4. Chronology'!$A$5:$A$204,$A196,'4. Chronology'!$B$5:$B$204,$K196))),""))</f>
        <v/>
      </c>
      <c r="I196" s="16" t="str">
        <f>IF($A196="","",IF(COUNTIF('2. Core Log'!$A$5:$A$124,$A196)=0,"Core ID not in Core Log. ","")&amp;IF($E196="","No date source given — RERCA and LORCA need to know which method produced this age. ","")&amp;IF(AND(ISNUMBER($C196),$C196&lt;0),"Negative age: this horizon post-dates the coring year. Check the conversion. ","")&amp;IF(AND(ISNUMBER($G196),$G196&lt;0),"Age reversal — this horizon is younger than one above it. A mixed or disturbed profile may not be datable at all. ","")&amp;IF(AND(ISNUMBER($D196),ISNUMBER($C196),$C196&gt;0,$D196/$C196&gt;0.5),"Age uncertainty exceeds 50% of the age. Usable as an indication only. ","")&amp;IF(AND($D196="",$C196&lt;&gt;""),"No uncertainty given. Every radiometric age has one; a rate without it cannot be defended. ",""))</f>
        <v/>
      </c>
      <c r="J196" s="16">
        <f t="shared" si="0"/>
        <v>0</v>
      </c>
      <c r="K196" s="16" t="str">
        <f>IF(OR($A196="",NOT(ISNUMBER($B196))),"",SUMPRODUCT(MAX(('4. Chronology'!$A$5:$A$204=$A196)*('4. Chronology'!$B$5:$B$204&lt;$B196)*'4. Chronology'!$B$5:$B$204)))</f>
        <v/>
      </c>
    </row>
    <row r="197" spans="1:11" ht="15.75" customHeight="1">
      <c r="A197" s="14"/>
      <c r="B197" s="14"/>
      <c r="C197" s="14"/>
      <c r="D197" s="14"/>
      <c r="E197" s="14"/>
      <c r="F197" s="16" t="str">
        <f>IF(OR($A197="",NOT(ISNUMBER($B197))),"",SUMIFS(community_cores_FS!$P$5:$P$597,community_cores_FS!$B$5:$B$597,$A197,community_cores_FS!$F$5:$F$597,"&lt;="&amp;$B197)+SUMPRODUCT((community_cores_FS!$B$5:$B$597=$A197)*(community_cores_FS!$E$5:$E$597&lt;$B197)*(community_cores_FS!$F$5:$F$597&gt;$B197)*community_cores_FS!$R$5:$R$597*($B197-community_cores_FS!$E$5:$E$597)))</f>
        <v/>
      </c>
      <c r="G197" s="16" t="str">
        <f>IF(OR($A197="",NOT(ISNUMBER($B197)),NOT(ISNUMBER($C197))),"",IFERROR(($B197-$K197)/($C197-IF($K197=0,0,SUMIFS('4. Chronology'!$C$5:$C$204,'4. Chronology'!$A$5:$A$204,$A197,'4. Chronology'!$B$5:$B$204,$K197))),""))</f>
        <v/>
      </c>
      <c r="H197" s="16" t="str">
        <f>IF(OR($A197="",NOT(ISNUMBER($F197)),NOT(ISNUMBER($C197))),"",IFERROR((($F197-IF($K197=0,0,SUMIFS('4. Chronology'!$F$5:$F$204,'4. Chronology'!$A$5:$A$204,$A197,'4. Chronology'!$B$5:$B$204,$K197)))*1000)/($C197-IF($K197=0,0,SUMIFS('4. Chronology'!$C$5:$C$204,'4. Chronology'!$A$5:$A$204,$A197,'4. Chronology'!$B$5:$B$204,$K197))),""))</f>
        <v/>
      </c>
      <c r="I197" s="16" t="str">
        <f>IF($A197="","",IF(COUNTIF('2. Core Log'!$A$5:$A$124,$A197)=0,"Core ID not in Core Log. ","")&amp;IF($E197="","No date source given — RERCA and LORCA need to know which method produced this age. ","")&amp;IF(AND(ISNUMBER($C197),$C197&lt;0),"Negative age: this horizon post-dates the coring year. Check the conversion. ","")&amp;IF(AND(ISNUMBER($G197),$G197&lt;0),"Age reversal — this horizon is younger than one above it. A mixed or disturbed profile may not be datable at all. ","")&amp;IF(AND(ISNUMBER($D197),ISNUMBER($C197),$C197&gt;0,$D197/$C197&gt;0.5),"Age uncertainty exceeds 50% of the age. Usable as an indication only. ","")&amp;IF(AND($D197="",$C197&lt;&gt;""),"No uncertainty given. Every radiometric age has one; a rate without it cannot be defended. ",""))</f>
        <v/>
      </c>
      <c r="J197" s="16">
        <f t="shared" si="0"/>
        <v>0</v>
      </c>
      <c r="K197" s="16" t="str">
        <f>IF(OR($A197="",NOT(ISNUMBER($B197))),"",SUMPRODUCT(MAX(('4. Chronology'!$A$5:$A$204=$A197)*('4. Chronology'!$B$5:$B$204&lt;$B197)*'4. Chronology'!$B$5:$B$204)))</f>
        <v/>
      </c>
    </row>
    <row r="198" spans="1:11" ht="15.75" customHeight="1">
      <c r="A198" s="14"/>
      <c r="B198" s="14"/>
      <c r="C198" s="14"/>
      <c r="D198" s="14"/>
      <c r="E198" s="14"/>
      <c r="F198" s="16" t="str">
        <f>IF(OR($A198="",NOT(ISNUMBER($B198))),"",SUMIFS(community_cores_FS!$P$5:$P$597,community_cores_FS!$B$5:$B$597,$A198,community_cores_FS!$F$5:$F$597,"&lt;="&amp;$B198)+SUMPRODUCT((community_cores_FS!$B$5:$B$597=$A198)*(community_cores_FS!$E$5:$E$597&lt;$B198)*(community_cores_FS!$F$5:$F$597&gt;$B198)*community_cores_FS!$R$5:$R$597*($B198-community_cores_FS!$E$5:$E$597)))</f>
        <v/>
      </c>
      <c r="G198" s="16" t="str">
        <f>IF(OR($A198="",NOT(ISNUMBER($B198)),NOT(ISNUMBER($C198))),"",IFERROR(($B198-$K198)/($C198-IF($K198=0,0,SUMIFS('4. Chronology'!$C$5:$C$204,'4. Chronology'!$A$5:$A$204,$A198,'4. Chronology'!$B$5:$B$204,$K198))),""))</f>
        <v/>
      </c>
      <c r="H198" s="16" t="str">
        <f>IF(OR($A198="",NOT(ISNUMBER($F198)),NOT(ISNUMBER($C198))),"",IFERROR((($F198-IF($K198=0,0,SUMIFS('4. Chronology'!$F$5:$F$204,'4. Chronology'!$A$5:$A$204,$A198,'4. Chronology'!$B$5:$B$204,$K198)))*1000)/($C198-IF($K198=0,0,SUMIFS('4. Chronology'!$C$5:$C$204,'4. Chronology'!$A$5:$A$204,$A198,'4. Chronology'!$B$5:$B$204,$K198))),""))</f>
        <v/>
      </c>
      <c r="I198" s="16" t="str">
        <f>IF($A198="","",IF(COUNTIF('2. Core Log'!$A$5:$A$124,$A198)=0,"Core ID not in Core Log. ","")&amp;IF($E198="","No date source given — RERCA and LORCA need to know which method produced this age. ","")&amp;IF(AND(ISNUMBER($C198),$C198&lt;0),"Negative age: this horizon post-dates the coring year. Check the conversion. ","")&amp;IF(AND(ISNUMBER($G198),$G198&lt;0),"Age reversal — this horizon is younger than one above it. A mixed or disturbed profile may not be datable at all. ","")&amp;IF(AND(ISNUMBER($D198),ISNUMBER($C198),$C198&gt;0,$D198/$C198&gt;0.5),"Age uncertainty exceeds 50% of the age. Usable as an indication only. ","")&amp;IF(AND($D198="",$C198&lt;&gt;""),"No uncertainty given. Every radiometric age has one; a rate without it cannot be defended. ",""))</f>
        <v/>
      </c>
      <c r="J198" s="16">
        <f t="shared" si="0"/>
        <v>0</v>
      </c>
      <c r="K198" s="16" t="str">
        <f>IF(OR($A198="",NOT(ISNUMBER($B198))),"",SUMPRODUCT(MAX(('4. Chronology'!$A$5:$A$204=$A198)*('4. Chronology'!$B$5:$B$204&lt;$B198)*'4. Chronology'!$B$5:$B$204)))</f>
        <v/>
      </c>
    </row>
    <row r="199" spans="1:11" ht="15.75" customHeight="1">
      <c r="A199" s="14"/>
      <c r="B199" s="14"/>
      <c r="C199" s="14"/>
      <c r="D199" s="14"/>
      <c r="E199" s="14"/>
      <c r="F199" s="16" t="str">
        <f>IF(OR($A199="",NOT(ISNUMBER($B199))),"",SUMIFS(community_cores_FS!$P$5:$P$597,community_cores_FS!$B$5:$B$597,$A199,community_cores_FS!$F$5:$F$597,"&lt;="&amp;$B199)+SUMPRODUCT((community_cores_FS!$B$5:$B$597=$A199)*(community_cores_FS!$E$5:$E$597&lt;$B199)*(community_cores_FS!$F$5:$F$597&gt;$B199)*community_cores_FS!$R$5:$R$597*($B199-community_cores_FS!$E$5:$E$597)))</f>
        <v/>
      </c>
      <c r="G199" s="16" t="str">
        <f>IF(OR($A199="",NOT(ISNUMBER($B199)),NOT(ISNUMBER($C199))),"",IFERROR(($B199-$K199)/($C199-IF($K199=0,0,SUMIFS('4. Chronology'!$C$5:$C$204,'4. Chronology'!$A$5:$A$204,$A199,'4. Chronology'!$B$5:$B$204,$K199))),""))</f>
        <v/>
      </c>
      <c r="H199" s="16" t="str">
        <f>IF(OR($A199="",NOT(ISNUMBER($F199)),NOT(ISNUMBER($C199))),"",IFERROR((($F199-IF($K199=0,0,SUMIFS('4. Chronology'!$F$5:$F$204,'4. Chronology'!$A$5:$A$204,$A199,'4. Chronology'!$B$5:$B$204,$K199)))*1000)/($C199-IF($K199=0,0,SUMIFS('4. Chronology'!$C$5:$C$204,'4. Chronology'!$A$5:$A$204,$A199,'4. Chronology'!$B$5:$B$204,$K199))),""))</f>
        <v/>
      </c>
      <c r="I199" s="16" t="str">
        <f>IF($A199="","",IF(COUNTIF('2. Core Log'!$A$5:$A$124,$A199)=0,"Core ID not in Core Log. ","")&amp;IF($E199="","No date source given — RERCA and LORCA need to know which method produced this age. ","")&amp;IF(AND(ISNUMBER($C199),$C199&lt;0),"Negative age: this horizon post-dates the coring year. Check the conversion. ","")&amp;IF(AND(ISNUMBER($G199),$G199&lt;0),"Age reversal — this horizon is younger than one above it. A mixed or disturbed profile may not be datable at all. ","")&amp;IF(AND(ISNUMBER($D199),ISNUMBER($C199),$C199&gt;0,$D199/$C199&gt;0.5),"Age uncertainty exceeds 50% of the age. Usable as an indication only. ","")&amp;IF(AND($D199="",$C199&lt;&gt;""),"No uncertainty given. Every radiometric age has one; a rate without it cannot be defended. ",""))</f>
        <v/>
      </c>
      <c r="J199" s="16">
        <f t="shared" si="0"/>
        <v>0</v>
      </c>
      <c r="K199" s="16" t="str">
        <f>IF(OR($A199="",NOT(ISNUMBER($B199))),"",SUMPRODUCT(MAX(('4. Chronology'!$A$5:$A$204=$A199)*('4. Chronology'!$B$5:$B$204&lt;$B199)*'4. Chronology'!$B$5:$B$204)))</f>
        <v/>
      </c>
    </row>
    <row r="200" spans="1:11" ht="15.75" customHeight="1">
      <c r="A200" s="14"/>
      <c r="B200" s="14"/>
      <c r="C200" s="14"/>
      <c r="D200" s="14"/>
      <c r="E200" s="14"/>
      <c r="F200" s="16" t="str">
        <f>IF(OR($A200="",NOT(ISNUMBER($B200))),"",SUMIFS(community_cores_FS!$P$5:$P$597,community_cores_FS!$B$5:$B$597,$A200,community_cores_FS!$F$5:$F$597,"&lt;="&amp;$B200)+SUMPRODUCT((community_cores_FS!$B$5:$B$597=$A200)*(community_cores_FS!$E$5:$E$597&lt;$B200)*(community_cores_FS!$F$5:$F$597&gt;$B200)*community_cores_FS!$R$5:$R$597*($B200-community_cores_FS!$E$5:$E$597)))</f>
        <v/>
      </c>
      <c r="G200" s="16" t="str">
        <f>IF(OR($A200="",NOT(ISNUMBER($B200)),NOT(ISNUMBER($C200))),"",IFERROR(($B200-$K200)/($C200-IF($K200=0,0,SUMIFS('4. Chronology'!$C$5:$C$204,'4. Chronology'!$A$5:$A$204,$A200,'4. Chronology'!$B$5:$B$204,$K200))),""))</f>
        <v/>
      </c>
      <c r="H200" s="16" t="str">
        <f>IF(OR($A200="",NOT(ISNUMBER($F200)),NOT(ISNUMBER($C200))),"",IFERROR((($F200-IF($K200=0,0,SUMIFS('4. Chronology'!$F$5:$F$204,'4. Chronology'!$A$5:$A$204,$A200,'4. Chronology'!$B$5:$B$204,$K200)))*1000)/($C200-IF($K200=0,0,SUMIFS('4. Chronology'!$C$5:$C$204,'4. Chronology'!$A$5:$A$204,$A200,'4. Chronology'!$B$5:$B$204,$K200))),""))</f>
        <v/>
      </c>
      <c r="I200" s="16" t="str">
        <f>IF($A200="","",IF(COUNTIF('2. Core Log'!$A$5:$A$124,$A200)=0,"Core ID not in Core Log. ","")&amp;IF($E200="","No date source given — RERCA and LORCA need to know which method produced this age. ","")&amp;IF(AND(ISNUMBER($C200),$C200&lt;0),"Negative age: this horizon post-dates the coring year. Check the conversion. ","")&amp;IF(AND(ISNUMBER($G200),$G200&lt;0),"Age reversal — this horizon is younger than one above it. A mixed or disturbed profile may not be datable at all. ","")&amp;IF(AND(ISNUMBER($D200),ISNUMBER($C200),$C200&gt;0,$D200/$C200&gt;0.5),"Age uncertainty exceeds 50% of the age. Usable as an indication only. ","")&amp;IF(AND($D200="",$C200&lt;&gt;""),"No uncertainty given. Every radiometric age has one; a rate without it cannot be defended. ",""))</f>
        <v/>
      </c>
      <c r="J200" s="16">
        <f t="shared" si="0"/>
        <v>0</v>
      </c>
      <c r="K200" s="16" t="str">
        <f>IF(OR($A200="",NOT(ISNUMBER($B200))),"",SUMPRODUCT(MAX(('4. Chronology'!$A$5:$A$204=$A200)*('4. Chronology'!$B$5:$B$204&lt;$B200)*'4. Chronology'!$B$5:$B$204)))</f>
        <v/>
      </c>
    </row>
    <row r="201" spans="1:11" ht="15.75" customHeight="1">
      <c r="A201" s="14"/>
      <c r="B201" s="14"/>
      <c r="C201" s="14"/>
      <c r="D201" s="14"/>
      <c r="E201" s="14"/>
      <c r="F201" s="16" t="str">
        <f>IF(OR($A201="",NOT(ISNUMBER($B201))),"",SUMIFS(community_cores_FS!$P$5:$P$597,community_cores_FS!$B$5:$B$597,$A201,community_cores_FS!$F$5:$F$597,"&lt;="&amp;$B201)+SUMPRODUCT((community_cores_FS!$B$5:$B$597=$A201)*(community_cores_FS!$E$5:$E$597&lt;$B201)*(community_cores_FS!$F$5:$F$597&gt;$B201)*community_cores_FS!$R$5:$R$597*($B201-community_cores_FS!$E$5:$E$597)))</f>
        <v/>
      </c>
      <c r="G201" s="16" t="str">
        <f>IF(OR($A201="",NOT(ISNUMBER($B201)),NOT(ISNUMBER($C201))),"",IFERROR(($B201-$K201)/($C201-IF($K201=0,0,SUMIFS('4. Chronology'!$C$5:$C$204,'4. Chronology'!$A$5:$A$204,$A201,'4. Chronology'!$B$5:$B$204,$K201))),""))</f>
        <v/>
      </c>
      <c r="H201" s="16" t="str">
        <f>IF(OR($A201="",NOT(ISNUMBER($F201)),NOT(ISNUMBER($C201))),"",IFERROR((($F201-IF($K201=0,0,SUMIFS('4. Chronology'!$F$5:$F$204,'4. Chronology'!$A$5:$A$204,$A201,'4. Chronology'!$B$5:$B$204,$K201)))*1000)/($C201-IF($K201=0,0,SUMIFS('4. Chronology'!$C$5:$C$204,'4. Chronology'!$A$5:$A$204,$A201,'4. Chronology'!$B$5:$B$204,$K201))),""))</f>
        <v/>
      </c>
      <c r="I201" s="16" t="str">
        <f>IF($A201="","",IF(COUNTIF('2. Core Log'!$A$5:$A$124,$A201)=0,"Core ID not in Core Log. ","")&amp;IF($E201="","No date source given — RERCA and LORCA need to know which method produced this age. ","")&amp;IF(AND(ISNUMBER($C201),$C201&lt;0),"Negative age: this horizon post-dates the coring year. Check the conversion. ","")&amp;IF(AND(ISNUMBER($G201),$G201&lt;0),"Age reversal — this horizon is younger than one above it. A mixed or disturbed profile may not be datable at all. ","")&amp;IF(AND(ISNUMBER($D201),ISNUMBER($C201),$C201&gt;0,$D201/$C201&gt;0.5),"Age uncertainty exceeds 50% of the age. Usable as an indication only. ","")&amp;IF(AND($D201="",$C201&lt;&gt;""),"No uncertainty given. Every radiometric age has one; a rate without it cannot be defended. ",""))</f>
        <v/>
      </c>
      <c r="J201" s="16">
        <f t="shared" si="0"/>
        <v>0</v>
      </c>
      <c r="K201" s="16" t="str">
        <f>IF(OR($A201="",NOT(ISNUMBER($B201))),"",SUMPRODUCT(MAX(('4. Chronology'!$A$5:$A$204=$A201)*('4. Chronology'!$B$5:$B$204&lt;$B201)*'4. Chronology'!$B$5:$B$204)))</f>
        <v/>
      </c>
    </row>
    <row r="202" spans="1:11" ht="15.75" customHeight="1">
      <c r="A202" s="14"/>
      <c r="B202" s="14"/>
      <c r="C202" s="14"/>
      <c r="D202" s="14"/>
      <c r="E202" s="14"/>
      <c r="F202" s="16" t="str">
        <f>IF(OR($A202="",NOT(ISNUMBER($B202))),"",SUMIFS(community_cores_FS!$P$5:$P$597,community_cores_FS!$B$5:$B$597,$A202,community_cores_FS!$F$5:$F$597,"&lt;="&amp;$B202)+SUMPRODUCT((community_cores_FS!$B$5:$B$597=$A202)*(community_cores_FS!$E$5:$E$597&lt;$B202)*(community_cores_FS!$F$5:$F$597&gt;$B202)*community_cores_FS!$R$5:$R$597*($B202-community_cores_FS!$E$5:$E$597)))</f>
        <v/>
      </c>
      <c r="G202" s="16" t="str">
        <f>IF(OR($A202="",NOT(ISNUMBER($B202)),NOT(ISNUMBER($C202))),"",IFERROR(($B202-$K202)/($C202-IF($K202=0,0,SUMIFS('4. Chronology'!$C$5:$C$204,'4. Chronology'!$A$5:$A$204,$A202,'4. Chronology'!$B$5:$B$204,$K202))),""))</f>
        <v/>
      </c>
      <c r="H202" s="16" t="str">
        <f>IF(OR($A202="",NOT(ISNUMBER($F202)),NOT(ISNUMBER($C202))),"",IFERROR((($F202-IF($K202=0,0,SUMIFS('4. Chronology'!$F$5:$F$204,'4. Chronology'!$A$5:$A$204,$A202,'4. Chronology'!$B$5:$B$204,$K202)))*1000)/($C202-IF($K202=0,0,SUMIFS('4. Chronology'!$C$5:$C$204,'4. Chronology'!$A$5:$A$204,$A202,'4. Chronology'!$B$5:$B$204,$K202))),""))</f>
        <v/>
      </c>
      <c r="I202" s="16" t="str">
        <f>IF($A202="","",IF(COUNTIF('2. Core Log'!$A$5:$A$124,$A202)=0,"Core ID not in Core Log. ","")&amp;IF($E202="","No date source given — RERCA and LORCA need to know which method produced this age. ","")&amp;IF(AND(ISNUMBER($C202),$C202&lt;0),"Negative age: this horizon post-dates the coring year. Check the conversion. ","")&amp;IF(AND(ISNUMBER($G202),$G202&lt;0),"Age reversal — this horizon is younger than one above it. A mixed or disturbed profile may not be datable at all. ","")&amp;IF(AND(ISNUMBER($D202),ISNUMBER($C202),$C202&gt;0,$D202/$C202&gt;0.5),"Age uncertainty exceeds 50% of the age. Usable as an indication only. ","")&amp;IF(AND($D202="",$C202&lt;&gt;""),"No uncertainty given. Every radiometric age has one; a rate without it cannot be defended. ",""))</f>
        <v/>
      </c>
      <c r="J202" s="16">
        <f t="shared" si="0"/>
        <v>0</v>
      </c>
      <c r="K202" s="16" t="str">
        <f>IF(OR($A202="",NOT(ISNUMBER($B202))),"",SUMPRODUCT(MAX(('4. Chronology'!$A$5:$A$204=$A202)*('4. Chronology'!$B$5:$B$204&lt;$B202)*'4. Chronology'!$B$5:$B$204)))</f>
        <v/>
      </c>
    </row>
    <row r="203" spans="1:11" ht="15.75" customHeight="1">
      <c r="A203" s="14"/>
      <c r="B203" s="14"/>
      <c r="C203" s="14"/>
      <c r="D203" s="14"/>
      <c r="E203" s="14"/>
      <c r="F203" s="16" t="str">
        <f>IF(OR($A203="",NOT(ISNUMBER($B203))),"",SUMIFS(community_cores_FS!$P$5:$P$597,community_cores_FS!$B$5:$B$597,$A203,community_cores_FS!$F$5:$F$597,"&lt;="&amp;$B203)+SUMPRODUCT((community_cores_FS!$B$5:$B$597=$A203)*(community_cores_FS!$E$5:$E$597&lt;$B203)*(community_cores_FS!$F$5:$F$597&gt;$B203)*community_cores_FS!$R$5:$R$597*($B203-community_cores_FS!$E$5:$E$597)))</f>
        <v/>
      </c>
      <c r="G203" s="16" t="str">
        <f>IF(OR($A203="",NOT(ISNUMBER($B203)),NOT(ISNUMBER($C203))),"",IFERROR(($B203-$K203)/($C203-IF($K203=0,0,SUMIFS('4. Chronology'!$C$5:$C$204,'4. Chronology'!$A$5:$A$204,$A203,'4. Chronology'!$B$5:$B$204,$K203))),""))</f>
        <v/>
      </c>
      <c r="H203" s="16" t="str">
        <f>IF(OR($A203="",NOT(ISNUMBER($F203)),NOT(ISNUMBER($C203))),"",IFERROR((($F203-IF($K203=0,0,SUMIFS('4. Chronology'!$F$5:$F$204,'4. Chronology'!$A$5:$A$204,$A203,'4. Chronology'!$B$5:$B$204,$K203)))*1000)/($C203-IF($K203=0,0,SUMIFS('4. Chronology'!$C$5:$C$204,'4. Chronology'!$A$5:$A$204,$A203,'4. Chronology'!$B$5:$B$204,$K203))),""))</f>
        <v/>
      </c>
      <c r="I203" s="16" t="str">
        <f>IF($A203="","",IF(COUNTIF('2. Core Log'!$A$5:$A$124,$A203)=0,"Core ID not in Core Log. ","")&amp;IF($E203="","No date source given — RERCA and LORCA need to know which method produced this age. ","")&amp;IF(AND(ISNUMBER($C203),$C203&lt;0),"Negative age: this horizon post-dates the coring year. Check the conversion. ","")&amp;IF(AND(ISNUMBER($G203),$G203&lt;0),"Age reversal — this horizon is younger than one above it. A mixed or disturbed profile may not be datable at all. ","")&amp;IF(AND(ISNUMBER($D203),ISNUMBER($C203),$C203&gt;0,$D203/$C203&gt;0.5),"Age uncertainty exceeds 50% of the age. Usable as an indication only. ","")&amp;IF(AND($D203="",$C203&lt;&gt;""),"No uncertainty given. Every radiometric age has one; a rate without it cannot be defended. ",""))</f>
        <v/>
      </c>
      <c r="J203" s="16">
        <f t="shared" si="0"/>
        <v>0</v>
      </c>
      <c r="K203" s="16" t="str">
        <f>IF(OR($A203="",NOT(ISNUMBER($B203))),"",SUMPRODUCT(MAX(('4. Chronology'!$A$5:$A$204=$A203)*('4. Chronology'!$B$5:$B$204&lt;$B203)*'4. Chronology'!$B$5:$B$204)))</f>
        <v/>
      </c>
    </row>
    <row r="204" spans="1:11" ht="15.75" customHeight="1">
      <c r="A204" s="14"/>
      <c r="B204" s="14"/>
      <c r="C204" s="14"/>
      <c r="D204" s="14"/>
      <c r="E204" s="14"/>
      <c r="F204" s="16" t="str">
        <f>IF(OR($A204="",NOT(ISNUMBER($B204))),"",SUMIFS(community_cores_FS!$P$5:$P$597,community_cores_FS!$B$5:$B$597,$A204,community_cores_FS!$F$5:$F$597,"&lt;="&amp;$B204)+SUMPRODUCT((community_cores_FS!$B$5:$B$597=$A204)*(community_cores_FS!$E$5:$E$597&lt;$B204)*(community_cores_FS!$F$5:$F$597&gt;$B204)*community_cores_FS!$R$5:$R$597*($B204-community_cores_FS!$E$5:$E$597)))</f>
        <v/>
      </c>
      <c r="G204" s="16" t="str">
        <f>IF(OR($A204="",NOT(ISNUMBER($B204)),NOT(ISNUMBER($C204))),"",IFERROR(($B204-$K204)/($C204-IF($K204=0,0,SUMIFS('4. Chronology'!$C$5:$C$204,'4. Chronology'!$A$5:$A$204,$A204,'4. Chronology'!$B$5:$B$204,$K204))),""))</f>
        <v/>
      </c>
      <c r="H204" s="16" t="str">
        <f>IF(OR($A204="",NOT(ISNUMBER($F204)),NOT(ISNUMBER($C204))),"",IFERROR((($F204-IF($K204=0,0,SUMIFS('4. Chronology'!$F$5:$F$204,'4. Chronology'!$A$5:$A$204,$A204,'4. Chronology'!$B$5:$B$204,$K204)))*1000)/($C204-IF($K204=0,0,SUMIFS('4. Chronology'!$C$5:$C$204,'4. Chronology'!$A$5:$A$204,$A204,'4. Chronology'!$B$5:$B$204,$K204))),""))</f>
        <v/>
      </c>
      <c r="I204" s="16" t="str">
        <f>IF($A204="","",IF(COUNTIF('2. Core Log'!$A$5:$A$124,$A204)=0,"Core ID not in Core Log. ","")&amp;IF($E204="","No date source given — RERCA and LORCA need to know which method produced this age. ","")&amp;IF(AND(ISNUMBER($C204),$C204&lt;0),"Negative age: this horizon post-dates the coring year. Check the conversion. ","")&amp;IF(AND(ISNUMBER($G204),$G204&lt;0),"Age reversal — this horizon is younger than one above it. A mixed or disturbed profile may not be datable at all. ","")&amp;IF(AND(ISNUMBER($D204),ISNUMBER($C204),$C204&gt;0,$D204/$C204&gt;0.5),"Age uncertainty exceeds 50% of the age. Usable as an indication only. ","")&amp;IF(AND($D204="",$C204&lt;&gt;""),"No uncertainty given. Every radiometric age has one; a rate without it cannot be defended. ",""))</f>
        <v/>
      </c>
      <c r="J204" s="16">
        <f t="shared" si="0"/>
        <v>0</v>
      </c>
      <c r="K204" s="16" t="str">
        <f>IF(OR($A204="",NOT(ISNUMBER($B204))),"",SUMPRODUCT(MAX(('4. Chronology'!$A$5:$A$204=$A204)*('4. Chronology'!$B$5:$B$204&lt;$B204)*'4. Chronology'!$B$5:$B$204)))</f>
        <v/>
      </c>
    </row>
    <row r="205" spans="1:11" ht="15.75" customHeight="1"/>
    <row r="206" spans="1:11" ht="15.75" customHeight="1"/>
    <row r="207" spans="1:11" ht="19.5" customHeight="1">
      <c r="A207" s="45" t="s">
        <v>302</v>
      </c>
      <c r="B207" s="46"/>
      <c r="C207" s="46"/>
      <c r="D207" s="46"/>
      <c r="E207" s="46"/>
      <c r="F207" s="46"/>
      <c r="G207" s="46"/>
      <c r="H207" s="46"/>
      <c r="I207" s="46"/>
      <c r="J207" s="46"/>
      <c r="K207" s="47"/>
    </row>
    <row r="208" spans="1:11" ht="31.5" customHeight="1">
      <c r="A208" s="43" t="s">
        <v>303</v>
      </c>
      <c r="B208" s="44"/>
      <c r="C208" s="44"/>
      <c r="D208" s="44"/>
      <c r="E208" s="44"/>
      <c r="F208" s="44"/>
      <c r="G208" s="44"/>
      <c r="H208" s="44"/>
      <c r="I208" s="44"/>
      <c r="J208" s="44"/>
      <c r="K208" s="44"/>
    </row>
    <row r="209" spans="1:11" ht="42" customHeight="1">
      <c r="A209" s="5" t="s">
        <v>9</v>
      </c>
      <c r="B209" s="5" t="s">
        <v>304</v>
      </c>
      <c r="C209" s="5" t="s">
        <v>305</v>
      </c>
      <c r="D209" s="5" t="s">
        <v>306</v>
      </c>
      <c r="E209" s="5" t="s">
        <v>307</v>
      </c>
      <c r="F209" s="5" t="s">
        <v>308</v>
      </c>
      <c r="G209" s="5" t="s">
        <v>309</v>
      </c>
      <c r="H209" s="5" t="s">
        <v>310</v>
      </c>
      <c r="I209" s="5" t="s">
        <v>311</v>
      </c>
      <c r="J209" s="5" t="s">
        <v>70</v>
      </c>
      <c r="K209" s="5" t="s">
        <v>32</v>
      </c>
    </row>
    <row r="210" spans="1:11" ht="15.75" customHeight="1">
      <c r="A210" s="16" t="str">
        <f t="array" ref="A210">IF(INDEX('2. Core Log'!$A$5:$A$124,ROW()-209)="","",INDEX('2. Core Log'!$A$5:$A$124,ROW()-209))</f>
        <v>PM-01-A</v>
      </c>
      <c r="B210" s="16" t="str">
        <f>IF($A210="","",IF(SUMPRODUCT(('4. Chronology'!$A$5:$A$204=$A210)*'4. Chronology'!$C$5:$C$204)=0,"",SUMPRODUCT(MAX(('4. Chronology'!$A$5:$A$204=$A210)*'4. Chronology'!$C$5:$C$204))))</f>
        <v/>
      </c>
      <c r="C210" s="16">
        <f t="array" ref="C210">IF($A210="","",IFERROR(INDEX('2. Core Log'!$R$5:$R$124,MATCH($A210,'2. Core Log'!$A$5:$A$124,0)),""))</f>
        <v>3.0578034999999999</v>
      </c>
      <c r="D210" s="23" t="str">
        <f t="shared" ref="D210:D239" si="1">IF(OR(NOT(ISNUMBER($B210)),NOT(ISNUMBER($C210)),$B210=0),"",$C210*1000/$B210)</f>
        <v/>
      </c>
      <c r="E210" s="16" t="str">
        <f>IF($A210="","",IF(SUMPRODUCT(('4. Chronology'!$A$5:$A$204=$A210)*'4. Chronology'!$J$5:$J$204*'4. Chronology'!$B$5:$B$204)=0,"",SUMPRODUCT(MAX(('4. Chronology'!$A$5:$A$204=$A210)*'4. Chronology'!$J$5:$J$204*'4. Chronology'!$B$5:$B$204))))</f>
        <v/>
      </c>
      <c r="F210" s="16" t="str">
        <f>IF(NOT(ISNUMBER($E210)),"",SUMIFS('4. Chronology'!$C$5:$C$204,'4. Chronology'!$A$5:$A$204,$A210,'4. Chronology'!$B$5:$B$204,$E210))</f>
        <v/>
      </c>
      <c r="G210" s="16" t="str">
        <f>IF(NOT(ISNUMBER($E210)),"",SUMIFS('4. Chronology'!$F$5:$F$204,'4. Chronology'!$A$5:$A$204,$A210,'4. Chronology'!$B$5:$B$204,$E210))</f>
        <v/>
      </c>
      <c r="H210" s="23" t="str">
        <f t="shared" ref="H210:H239" si="2">IF(OR(NOT(ISNUMBER($F210)),NOT(ISNUMBER($G210)),$F210=0),"",$G210*1000/$F210)</f>
        <v/>
      </c>
      <c r="I210" s="16" t="str">
        <f t="shared" ref="I210:I239" si="3">IF(OR(NOT(ISNUMBER($H210)),NOT(ISNUMBER($D210)),$D210=0),"",$H210/$D210)</f>
        <v/>
      </c>
      <c r="J210" s="16" t="str">
        <f t="array" ref="J210">IF($A210="","",IF(NOT(ISNUMBER($B210)),"No dated horizons for this core — LORCA cannot be calculated. ","")&amp;IF(AND(ISNUMBER($B210),NOT(ISNUMBER($E210))),"No Pb-210 or Cs-137 horizon — RERCA cannot be calculated. ","")&amp;IF(IFERROR(INDEX('2. Core Log'!$L$5:$L$124,MATCH($A210,'2. Core Log'!$A$5:$A$124,0)),"")="No","Core did not reach the mineral contact, so LORCA is based on a partial profile and is a MINIMUM. ","")&amp;IF(AND(ISNUMBER($I210),$I210&gt;1.2),"RERCA is "&amp;TEXT($I210,"0.0")&amp;"x LORCA. This is EXPECTED, not a finding: near-surface peat has not finished decomposing, so recent rates always look higher. Do not report it as accelerating sequestration. ","")&amp;IF(AND(ISNUMBER($D210),OR($D210&lt;LORCA_MIN,$D210&gt;LORCA_MAX)),"LORCA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0" s="14"/>
    </row>
    <row r="211" spans="1:11" ht="15.75" customHeight="1">
      <c r="A211" s="16" t="str">
        <f t="array" ref="A211">IF(INDEX('2. Core Log'!$A$5:$A$124,ROW()-209)="","",INDEX('2. Core Log'!$A$5:$A$124,ROW()-209))</f>
        <v>PM-02-A</v>
      </c>
      <c r="B211" s="16" t="str">
        <f>IF($A211="","",IF(SUMPRODUCT(('4. Chronology'!$A$5:$A$204=$A211)*'4. Chronology'!$C$5:$C$204)=0,"",SUMPRODUCT(MAX(('4. Chronology'!$A$5:$A$204=$A211)*'4. Chronology'!$C$5:$C$204))))</f>
        <v/>
      </c>
      <c r="C211" s="16">
        <f t="array" ref="C211">IF($A211="","",IFERROR(INDEX('2. Core Log'!$R$5:$R$124,MATCH($A211,'2. Core Log'!$A$5:$A$124,0)),""))</f>
        <v>3.0833444999999995</v>
      </c>
      <c r="D211" s="23" t="str">
        <f t="shared" si="1"/>
        <v/>
      </c>
      <c r="E211" s="16" t="str">
        <f>IF($A211="","",IF(SUMPRODUCT(('4. Chronology'!$A$5:$A$204=$A211)*'4. Chronology'!$J$5:$J$204*'4. Chronology'!$B$5:$B$204)=0,"",SUMPRODUCT(MAX(('4. Chronology'!$A$5:$A$204=$A211)*'4. Chronology'!$J$5:$J$204*'4. Chronology'!$B$5:$B$204))))</f>
        <v/>
      </c>
      <c r="F211" s="16" t="str">
        <f>IF(NOT(ISNUMBER($E211)),"",SUMIFS('4. Chronology'!$C$5:$C$204,'4. Chronology'!$A$5:$A$204,$A211,'4. Chronology'!$B$5:$B$204,$E211))</f>
        <v/>
      </c>
      <c r="G211" s="16" t="str">
        <f>IF(NOT(ISNUMBER($E211)),"",SUMIFS('4. Chronology'!$F$5:$F$204,'4. Chronology'!$A$5:$A$204,$A211,'4. Chronology'!$B$5:$B$204,$E211))</f>
        <v/>
      </c>
      <c r="H211" s="23" t="str">
        <f t="shared" si="2"/>
        <v/>
      </c>
      <c r="I211" s="16" t="str">
        <f t="shared" si="3"/>
        <v/>
      </c>
      <c r="J211" s="16" t="str">
        <f t="array" ref="J211">IF($A211="","",IF(NOT(ISNUMBER($B211)),"No dated horizons for this core — LORCA cannot be calculated. ","")&amp;IF(AND(ISNUMBER($B211),NOT(ISNUMBER($E211))),"No Pb-210 or Cs-137 horizon — RERCA cannot be calculated. ","")&amp;IF(IFERROR(INDEX('2. Core Log'!$L$5:$L$124,MATCH($A211,'2. Core Log'!$A$5:$A$124,0)),"")="No","Core did not reach the mineral contact, so LORCA is based on a partial profile and is a MINIMUM. ","")&amp;IF(AND(ISNUMBER($I211),$I211&gt;1.2),"RERCA is "&amp;TEXT($I211,"0.0")&amp;"x LORCA. This is EXPECTED, not a finding: near-surface peat has not finished decomposing, so recent rates always look higher. Do not report it as accelerating sequestration. ","")&amp;IF(AND(ISNUMBER($D211),OR($D211&lt;LORCA_MIN,$D211&gt;LORCA_MAX)),"LORCA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1" s="14"/>
    </row>
    <row r="212" spans="1:11" ht="15.75" customHeight="1">
      <c r="A212" s="16" t="str">
        <f t="array" ref="A212">IF(INDEX('2. Core Log'!$A$5:$A$124,ROW()-209)="","",INDEX('2. Core Log'!$A$5:$A$124,ROW()-209))</f>
        <v>PM-03-A</v>
      </c>
      <c r="B212" s="16" t="str">
        <f>IF($A212="","",IF(SUMPRODUCT(('4. Chronology'!$A$5:$A$204=$A212)*'4. Chronology'!$C$5:$C$204)=0,"",SUMPRODUCT(MAX(('4. Chronology'!$A$5:$A$204=$A212)*'4. Chronology'!$C$5:$C$204))))</f>
        <v/>
      </c>
      <c r="C212" s="16">
        <f t="array" ref="C212">IF($A212="","",IFERROR(INDEX('2. Core Log'!$R$5:$R$124,MATCH($A212,'2. Core Log'!$A$5:$A$124,0)),""))</f>
        <v>10.108268225000002</v>
      </c>
      <c r="D212" s="23" t="str">
        <f t="shared" si="1"/>
        <v/>
      </c>
      <c r="E212" s="16" t="str">
        <f>IF($A212="","",IF(SUMPRODUCT(('4. Chronology'!$A$5:$A$204=$A212)*'4. Chronology'!$J$5:$J$204*'4. Chronology'!$B$5:$B$204)=0,"",SUMPRODUCT(MAX(('4. Chronology'!$A$5:$A$204=$A212)*'4. Chronology'!$J$5:$J$204*'4. Chronology'!$B$5:$B$204))))</f>
        <v/>
      </c>
      <c r="F212" s="16" t="str">
        <f>IF(NOT(ISNUMBER($E212)),"",SUMIFS('4. Chronology'!$C$5:$C$204,'4. Chronology'!$A$5:$A$204,$A212,'4. Chronology'!$B$5:$B$204,$E212))</f>
        <v/>
      </c>
      <c r="G212" s="16" t="str">
        <f>IF(NOT(ISNUMBER($E212)),"",SUMIFS('4. Chronology'!$F$5:$F$204,'4. Chronology'!$A$5:$A$204,$A212,'4. Chronology'!$B$5:$B$204,$E212))</f>
        <v/>
      </c>
      <c r="H212" s="23" t="str">
        <f t="shared" si="2"/>
        <v/>
      </c>
      <c r="I212" s="16" t="str">
        <f t="shared" si="3"/>
        <v/>
      </c>
      <c r="J212" s="16" t="str">
        <f t="array" ref="J212">IF($A212="","",IF(NOT(ISNUMBER($B212)),"No dated horizons for this core — LORCA cannot be calculated. ","")&amp;IF(AND(ISNUMBER($B212),NOT(ISNUMBER($E212))),"No Pb-210 or Cs-137 horizon — RERCA cannot be calculated. ","")&amp;IF(IFERROR(INDEX('2. Core Log'!$L$5:$L$124,MATCH($A212,'2. Core Log'!$A$5:$A$124,0)),"")="No","Core did not reach the mineral contact, so LORCA is based on a partial profile and is a MINIMUM. ","")&amp;IF(AND(ISNUMBER($I212),$I212&gt;1.2),"RERCA is "&amp;TEXT($I212,"0.0")&amp;"x LORCA. This is EXPECTED, not a finding: near-surface peat has not finished decomposing, so recent rates always look higher. Do not report it as accelerating sequestration. ","")&amp;IF(AND(ISNUMBER($D212),OR($D212&lt;LORCA_MIN,$D212&gt;LORCA_MAX)),"LORCA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2" s="14"/>
    </row>
    <row r="213" spans="1:11" ht="15.75" customHeight="1">
      <c r="A213" s="16" t="str">
        <f t="array" ref="A213">IF(INDEX('2. Core Log'!$A$5:$A$124,ROW()-209)="","",INDEX('2. Core Log'!$A$5:$A$124,ROW()-209))</f>
        <v>FS-01</v>
      </c>
      <c r="B213" s="16" t="str">
        <f>IF($A213="","",IF(SUMPRODUCT(('4. Chronology'!$A$5:$A$204=$A213)*'4. Chronology'!$C$5:$C$204)=0,"",SUMPRODUCT(MAX(('4. Chronology'!$A$5:$A$204=$A213)*'4. Chronology'!$C$5:$C$204))))</f>
        <v/>
      </c>
      <c r="C213" s="16">
        <f t="array" ref="C213">IF($A213="","",IFERROR(INDEX('2. Core Log'!$R$5:$R$124,MATCH($A213,'2. Core Log'!$A$5:$A$124,0)),""))</f>
        <v>14.263004583199999</v>
      </c>
      <c r="D213" s="23" t="str">
        <f t="shared" si="1"/>
        <v/>
      </c>
      <c r="E213" s="16" t="str">
        <f>IF($A213="","",IF(SUMPRODUCT(('4. Chronology'!$A$5:$A$204=$A213)*'4. Chronology'!$J$5:$J$204*'4. Chronology'!$B$5:$B$204)=0,"",SUMPRODUCT(MAX(('4. Chronology'!$A$5:$A$204=$A213)*'4. Chronology'!$J$5:$J$204*'4. Chronology'!$B$5:$B$204))))</f>
        <v/>
      </c>
      <c r="F213" s="16" t="str">
        <f>IF(NOT(ISNUMBER($E213)),"",SUMIFS('4. Chronology'!$C$5:$C$204,'4. Chronology'!$A$5:$A$204,$A213,'4. Chronology'!$B$5:$B$204,$E213))</f>
        <v/>
      </c>
      <c r="G213" s="16" t="str">
        <f>IF(NOT(ISNUMBER($E213)),"",SUMIFS('4. Chronology'!$F$5:$F$204,'4. Chronology'!$A$5:$A$204,$A213,'4. Chronology'!$B$5:$B$204,$E213))</f>
        <v/>
      </c>
      <c r="H213" s="23" t="str">
        <f t="shared" si="2"/>
        <v/>
      </c>
      <c r="I213" s="16" t="str">
        <f t="shared" si="3"/>
        <v/>
      </c>
      <c r="J213" s="16" t="str">
        <f t="array" ref="J213">IF($A213="","",IF(NOT(ISNUMBER($B213)),"No dated horizons for this core — LORCA cannot be calculated. ","")&amp;IF(AND(ISNUMBER($B213),NOT(ISNUMBER($E213))),"No Pb-210 or Cs-137 horizon — RERCA cannot be calculated. ","")&amp;IF(IFERROR(INDEX('2. Core Log'!$L$5:$L$124,MATCH($A213,'2. Core Log'!$A$5:$A$124,0)),"")="No","Core did not reach the mineral contact, so LORCA is based on a partial profile and is a MINIMUM. ","")&amp;IF(AND(ISNUMBER($I213),$I213&gt;1.2),"RERCA is "&amp;TEXT($I213,"0.0")&amp;"x LORCA. This is EXPECTED, not a finding: near-surface peat has not finished decomposing, so recent rates always look higher. Do not report it as accelerating sequestration. ","")&amp;IF(AND(ISNUMBER($D213),OR($D213&lt;LORCA_MIN,$D213&gt;LORCA_MAX)),"LORCA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3" s="14"/>
    </row>
    <row r="214" spans="1:11" ht="15.75" customHeight="1">
      <c r="A214" s="16" t="str">
        <f t="array" ref="A214">IF(INDEX('2. Core Log'!$A$5:$A$124,ROW()-209)="","",INDEX('2. Core Log'!$A$5:$A$124,ROW()-209))</f>
        <v>FS-02</v>
      </c>
      <c r="B214" s="16" t="str">
        <f>IF($A214="","",IF(SUMPRODUCT(('4. Chronology'!$A$5:$A$204=$A214)*'4. Chronology'!$C$5:$C$204)=0,"",SUMPRODUCT(MAX(('4. Chronology'!$A$5:$A$204=$A214)*'4. Chronology'!$C$5:$C$204))))</f>
        <v/>
      </c>
      <c r="C214" s="16">
        <f t="array" ref="C214">IF($A214="","",IFERROR(INDEX('2. Core Log'!$R$5:$R$124,MATCH($A214,'2. Core Log'!$A$5:$A$124,0)),""))</f>
        <v>8.3815614381999985</v>
      </c>
      <c r="D214" s="23" t="str">
        <f t="shared" si="1"/>
        <v/>
      </c>
      <c r="E214" s="16" t="str">
        <f>IF($A214="","",IF(SUMPRODUCT(('4. Chronology'!$A$5:$A$204=$A214)*'4. Chronology'!$J$5:$J$204*'4. Chronology'!$B$5:$B$204)=0,"",SUMPRODUCT(MAX(('4. Chronology'!$A$5:$A$204=$A214)*'4. Chronology'!$J$5:$J$204*'4. Chronology'!$B$5:$B$204))))</f>
        <v/>
      </c>
      <c r="F214" s="16" t="str">
        <f>IF(NOT(ISNUMBER($E214)),"",SUMIFS('4. Chronology'!$C$5:$C$204,'4. Chronology'!$A$5:$A$204,$A214,'4. Chronology'!$B$5:$B$204,$E214))</f>
        <v/>
      </c>
      <c r="G214" s="16" t="str">
        <f>IF(NOT(ISNUMBER($E214)),"",SUMIFS('4. Chronology'!$F$5:$F$204,'4. Chronology'!$A$5:$A$204,$A214,'4. Chronology'!$B$5:$B$204,$E214))</f>
        <v/>
      </c>
      <c r="H214" s="23" t="str">
        <f t="shared" si="2"/>
        <v/>
      </c>
      <c r="I214" s="16" t="str">
        <f t="shared" si="3"/>
        <v/>
      </c>
      <c r="J214" s="16" t="str">
        <f t="array" ref="J214">IF($A214="","",IF(NOT(ISNUMBER($B214)),"No dated horizons for this core — LORCA cannot be calculated. ","")&amp;IF(AND(ISNUMBER($B214),NOT(ISNUMBER($E214))),"No Pb-210 or Cs-137 horizon — RERCA cannot be calculated. ","")&amp;IF(IFERROR(INDEX('2. Core Log'!$L$5:$L$124,MATCH($A214,'2. Core Log'!$A$5:$A$124,0)),"")="No","Core did not reach the mineral contact, so LORCA is based on a partial profile and is a MINIMUM. ","")&amp;IF(AND(ISNUMBER($I214),$I214&gt;1.2),"RERCA is "&amp;TEXT($I214,"0.0")&amp;"x LORCA. This is EXPECTED, not a finding: near-surface peat has not finished decomposing, so recent rates always look higher. Do not report it as accelerating sequestration. ","")&amp;IF(AND(ISNUMBER($D214),OR($D214&lt;LORCA_MIN,$D214&gt;LORCA_MAX)),"LORCA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4" s="14"/>
    </row>
    <row r="215" spans="1:11" ht="15.75" customHeight="1">
      <c r="A215" s="16" t="str">
        <f t="array" ref="A215">IF(INDEX('2. Core Log'!$A$5:$A$124,ROW()-209)="","",INDEX('2. Core Log'!$A$5:$A$124,ROW()-209))</f>
        <v>FS-03</v>
      </c>
      <c r="B215" s="16" t="str">
        <f>IF($A215="","",IF(SUMPRODUCT(('4. Chronology'!$A$5:$A$204=$A215)*'4. Chronology'!$C$5:$C$204)=0,"",SUMPRODUCT(MAX(('4. Chronology'!$A$5:$A$204=$A215)*'4. Chronology'!$C$5:$C$204))))</f>
        <v/>
      </c>
      <c r="C215" s="16">
        <f t="array" ref="C215">IF($A215="","",IFERROR(INDEX('2. Core Log'!$R$5:$R$124,MATCH($A215,'2. Core Log'!$A$5:$A$124,0)),""))</f>
        <v>4.2223031185000002</v>
      </c>
      <c r="D215" s="23" t="str">
        <f t="shared" si="1"/>
        <v/>
      </c>
      <c r="E215" s="16" t="str">
        <f>IF($A215="","",IF(SUMPRODUCT(('4. Chronology'!$A$5:$A$204=$A215)*'4. Chronology'!$J$5:$J$204*'4. Chronology'!$B$5:$B$204)=0,"",SUMPRODUCT(MAX(('4. Chronology'!$A$5:$A$204=$A215)*'4. Chronology'!$J$5:$J$204*'4. Chronology'!$B$5:$B$204))))</f>
        <v/>
      </c>
      <c r="F215" s="16" t="str">
        <f>IF(NOT(ISNUMBER($E215)),"",SUMIFS('4. Chronology'!$C$5:$C$204,'4. Chronology'!$A$5:$A$204,$A215,'4. Chronology'!$B$5:$B$204,$E215))</f>
        <v/>
      </c>
      <c r="G215" s="16" t="str">
        <f>IF(NOT(ISNUMBER($E215)),"",SUMIFS('4. Chronology'!$F$5:$F$204,'4. Chronology'!$A$5:$A$204,$A215,'4. Chronology'!$B$5:$B$204,$E215))</f>
        <v/>
      </c>
      <c r="H215" s="23" t="str">
        <f t="shared" si="2"/>
        <v/>
      </c>
      <c r="I215" s="16" t="str">
        <f t="shared" si="3"/>
        <v/>
      </c>
      <c r="J215" s="16" t="str">
        <f t="array" ref="J215">IF($A215="","",IF(NOT(ISNUMBER($B215)),"No dated horizons for this core — LORCA cannot be calculated. ","")&amp;IF(AND(ISNUMBER($B215),NOT(ISNUMBER($E215))),"No Pb-210 or Cs-137 horizon — RERCA cannot be calculated. ","")&amp;IF(IFERROR(INDEX('2. Core Log'!$L$5:$L$124,MATCH($A215,'2. Core Log'!$A$5:$A$124,0)),"")="No","Core did not reach the mineral contact, so LORCA is based on a partial profile and is a MINIMUM. ","")&amp;IF(AND(ISNUMBER($I215),$I215&gt;1.2),"RERCA is "&amp;TEXT($I215,"0.0")&amp;"x LORCA. This is EXPECTED, not a finding: near-surface peat has not finished decomposing, so recent rates always look higher. Do not report it as accelerating sequestration. ","")&amp;IF(AND(ISNUMBER($D215),OR($D215&lt;LORCA_MIN,$D215&gt;LORCA_MAX)),"LORCA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5" s="14"/>
    </row>
    <row r="216" spans="1:11" ht="15.75" customHeight="1">
      <c r="A216" s="16" t="str">
        <f t="array" ref="A216">IF(INDEX('2. Core Log'!$A$5:$A$124,ROW()-209)="","",INDEX('2. Core Log'!$A$5:$A$124,ROW()-209))</f>
        <v>FS-03</v>
      </c>
      <c r="B216" s="16" t="str">
        <f>IF($A216="","",IF(SUMPRODUCT(('4. Chronology'!$A$5:$A$204=$A216)*'4. Chronology'!$C$5:$C$204)=0,"",SUMPRODUCT(MAX(('4. Chronology'!$A$5:$A$204=$A216)*'4. Chronology'!$C$5:$C$204))))</f>
        <v/>
      </c>
      <c r="C216" s="16">
        <f t="array" ref="C216">IF($A216="","",IFERROR(INDEX('2. Core Log'!$R$5:$R$124,MATCH($A216,'2. Core Log'!$A$5:$A$124,0)),""))</f>
        <v>4.2223031185000002</v>
      </c>
      <c r="D216" s="23" t="str">
        <f t="shared" si="1"/>
        <v/>
      </c>
      <c r="E216" s="16" t="str">
        <f>IF($A216="","",IF(SUMPRODUCT(('4. Chronology'!$A$5:$A$204=$A216)*'4. Chronology'!$J$5:$J$204*'4. Chronology'!$B$5:$B$204)=0,"",SUMPRODUCT(MAX(('4. Chronology'!$A$5:$A$204=$A216)*'4. Chronology'!$J$5:$J$204*'4. Chronology'!$B$5:$B$204))))</f>
        <v/>
      </c>
      <c r="F216" s="16" t="str">
        <f>IF(NOT(ISNUMBER($E216)),"",SUMIFS('4. Chronology'!$C$5:$C$204,'4. Chronology'!$A$5:$A$204,$A216,'4. Chronology'!$B$5:$B$204,$E216))</f>
        <v/>
      </c>
      <c r="G216" s="16" t="str">
        <f>IF(NOT(ISNUMBER($E216)),"",SUMIFS('4. Chronology'!$F$5:$F$204,'4. Chronology'!$A$5:$A$204,$A216,'4. Chronology'!$B$5:$B$204,$E216))</f>
        <v/>
      </c>
      <c r="H216" s="23" t="str">
        <f t="shared" si="2"/>
        <v/>
      </c>
      <c r="I216" s="16" t="str">
        <f t="shared" si="3"/>
        <v/>
      </c>
      <c r="J216" s="16" t="str">
        <f t="array" ref="J216">IF($A216="","",IF(NOT(ISNUMBER($B216)),"No dated horizons for this core — LORCA cannot be calculated. ","")&amp;IF(AND(ISNUMBER($B216),NOT(ISNUMBER($E216))),"No Pb-210 or Cs-137 horizon — RERCA cannot be calculated. ","")&amp;IF(IFERROR(INDEX('2. Core Log'!$L$5:$L$124,MATCH($A216,'2. Core Log'!$A$5:$A$124,0)),"")="No","Core did not reach the mineral contact, so LORCA is based on a partial profile and is a MINIMUM. ","")&amp;IF(AND(ISNUMBER($I216),$I216&gt;1.2),"RERCA is "&amp;TEXT($I216,"0.0")&amp;"x LORCA. This is EXPECTED, not a finding: near-surface peat has not finished decomposing, so recent rates always look higher. Do not report it as accelerating sequestration. ","")&amp;IF(AND(ISNUMBER($D216),OR($D216&lt;LORCA_MIN,$D216&gt;LORCA_MAX)),"LORCA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6" s="14"/>
    </row>
    <row r="217" spans="1:11" ht="15.75" customHeight="1">
      <c r="A217" s="16" t="str">
        <f t="array" ref="A217">IF(INDEX('2. Core Log'!$A$5:$A$124,ROW()-209)="","",INDEX('2. Core Log'!$A$5:$A$124,ROW()-209))</f>
        <v>FS-05</v>
      </c>
      <c r="B217" s="16" t="str">
        <f>IF($A217="","",IF(SUMPRODUCT(('4. Chronology'!$A$5:$A$204=$A217)*'4. Chronology'!$C$5:$C$204)=0,"",SUMPRODUCT(MAX(('4. Chronology'!$A$5:$A$204=$A217)*'4. Chronology'!$C$5:$C$204))))</f>
        <v/>
      </c>
      <c r="C217" s="16">
        <f t="array" ref="C217">IF($A217="","",IFERROR(INDEX('2. Core Log'!$R$5:$R$124,MATCH($A217,'2. Core Log'!$A$5:$A$124,0)),""))</f>
        <v>6.1054497840000002</v>
      </c>
      <c r="D217" s="23" t="str">
        <f t="shared" si="1"/>
        <v/>
      </c>
      <c r="E217" s="16" t="str">
        <f>IF($A217="","",IF(SUMPRODUCT(('4. Chronology'!$A$5:$A$204=$A217)*'4. Chronology'!$J$5:$J$204*'4. Chronology'!$B$5:$B$204)=0,"",SUMPRODUCT(MAX(('4. Chronology'!$A$5:$A$204=$A217)*'4. Chronology'!$J$5:$J$204*'4. Chronology'!$B$5:$B$204))))</f>
        <v/>
      </c>
      <c r="F217" s="16" t="str">
        <f>IF(NOT(ISNUMBER($E217)),"",SUMIFS('4. Chronology'!$C$5:$C$204,'4. Chronology'!$A$5:$A$204,$A217,'4. Chronology'!$B$5:$B$204,$E217))</f>
        <v/>
      </c>
      <c r="G217" s="16" t="str">
        <f>IF(NOT(ISNUMBER($E217)),"",SUMIFS('4. Chronology'!$F$5:$F$204,'4. Chronology'!$A$5:$A$204,$A217,'4. Chronology'!$B$5:$B$204,$E217))</f>
        <v/>
      </c>
      <c r="H217" s="23" t="str">
        <f t="shared" si="2"/>
        <v/>
      </c>
      <c r="I217" s="16" t="str">
        <f t="shared" si="3"/>
        <v/>
      </c>
      <c r="J217" s="16" t="str">
        <f t="array" ref="J217">IF($A217="","",IF(NOT(ISNUMBER($B217)),"No dated horizons for this core — LORCA cannot be calculated. ","")&amp;IF(AND(ISNUMBER($B217),NOT(ISNUMBER($E217))),"No Pb-210 or Cs-137 horizon — RERCA cannot be calculated. ","")&amp;IF(IFERROR(INDEX('2. Core Log'!$L$5:$L$124,MATCH($A217,'2. Core Log'!$A$5:$A$124,0)),"")="No","Core did not reach the mineral contact, so LORCA is based on a partial profile and is a MINIMUM. ","")&amp;IF(AND(ISNUMBER($I217),$I217&gt;1.2),"RERCA is "&amp;TEXT($I217,"0.0")&amp;"x LORCA. This is EXPECTED, not a finding: near-surface peat has not finished decomposing, so recent rates always look higher. Do not report it as accelerating sequestration. ","")&amp;IF(AND(ISNUMBER($D217),OR($D217&lt;LORCA_MIN,$D217&gt;LORCA_MAX)),"LORCA outside the published range of "&amp;LORCA_MIN&amp;"-"&amp;LORCA_MAX&amp;" g C/m2/yr — check the basal age and the profile carbon. ",""))</f>
        <v xml:space="preserve">No dated horizons for this core — LORCA cannot be calculated. </v>
      </c>
      <c r="K217" s="14"/>
    </row>
    <row r="218" spans="1:11" ht="15.75" customHeight="1">
      <c r="A218" s="16" t="str">
        <f t="array" ref="A218">IF(INDEX('2. Core Log'!$A$5:$A$124,ROW()-209)="","",INDEX('2. Core Log'!$A$5:$A$124,ROW()-209))</f>
        <v/>
      </c>
      <c r="B218" s="16" t="str">
        <f>IF($A218="","",IF(SUMPRODUCT(('4. Chronology'!$A$5:$A$204=$A218)*'4. Chronology'!$C$5:$C$204)=0,"",SUMPRODUCT(MAX(('4. Chronology'!$A$5:$A$204=$A218)*'4. Chronology'!$C$5:$C$204))))</f>
        <v/>
      </c>
      <c r="C218" s="16" t="str">
        <f t="array" ref="C218">IF($A218="","",IFERROR(INDEX('2. Core Log'!$R$5:$R$124,MATCH($A218,'2. Core Log'!$A$5:$A$124,0)),""))</f>
        <v/>
      </c>
      <c r="D218" s="23" t="str">
        <f t="shared" si="1"/>
        <v/>
      </c>
      <c r="E218" s="16" t="str">
        <f>IF($A218="","",IF(SUMPRODUCT(('4. Chronology'!$A$5:$A$204=$A218)*'4. Chronology'!$J$5:$J$204*'4. Chronology'!$B$5:$B$204)=0,"",SUMPRODUCT(MAX(('4. Chronology'!$A$5:$A$204=$A218)*'4. Chronology'!$J$5:$J$204*'4. Chronology'!$B$5:$B$204))))</f>
        <v/>
      </c>
      <c r="F218" s="16" t="str">
        <f>IF(NOT(ISNUMBER($E218)),"",SUMIFS('4. Chronology'!$C$5:$C$204,'4. Chronology'!$A$5:$A$204,$A218,'4. Chronology'!$B$5:$B$204,$E218))</f>
        <v/>
      </c>
      <c r="G218" s="16" t="str">
        <f>IF(NOT(ISNUMBER($E218)),"",SUMIFS('4. Chronology'!$F$5:$F$204,'4. Chronology'!$A$5:$A$204,$A218,'4. Chronology'!$B$5:$B$204,$E218))</f>
        <v/>
      </c>
      <c r="H218" s="23" t="str">
        <f t="shared" si="2"/>
        <v/>
      </c>
      <c r="I218" s="16" t="str">
        <f t="shared" si="3"/>
        <v/>
      </c>
      <c r="J218" s="16" t="str">
        <f t="array" ref="J218">IF($A218="","",IF(NOT(ISNUMBER($B218)),"No dated horizons for this core — LORCA cannot be calculated. ","")&amp;IF(AND(ISNUMBER($B218),NOT(ISNUMBER($E218))),"No Pb-210 or Cs-137 horizon — RERCA cannot be calculated. ","")&amp;IF(IFERROR(INDEX('2. Core Log'!$L$5:$L$124,MATCH($A218,'2. Core Log'!$A$5:$A$124,0)),"")="No","Core did not reach the mineral contact, so LORCA is based on a partial profile and is a MINIMUM. ","")&amp;IF(AND(ISNUMBER($I218),$I218&gt;1.2),"RERCA is "&amp;TEXT($I218,"0.0")&amp;"x LORCA. This is EXPECTED, not a finding: near-surface peat has not finished decomposing, so recent rates always look higher. Do not report it as accelerating sequestration. ","")&amp;IF(AND(ISNUMBER($D218),OR($D218&lt;LORCA_MIN,$D218&gt;LORCA_MAX)),"LORCA outside the published range of "&amp;LORCA_MIN&amp;"-"&amp;LORCA_MAX&amp;" g C/m2/yr — check the basal age and the profile carbon. ",""))</f>
        <v/>
      </c>
      <c r="K218" s="14"/>
    </row>
    <row r="219" spans="1:11" ht="15.75" customHeight="1">
      <c r="A219" s="16" t="str">
        <f t="array" ref="A219">IF(INDEX('2. Core Log'!$A$5:$A$124,ROW()-209)="","",INDEX('2. Core Log'!$A$5:$A$124,ROW()-209))</f>
        <v/>
      </c>
      <c r="B219" s="16" t="str">
        <f>IF($A219="","",IF(SUMPRODUCT(('4. Chronology'!$A$5:$A$204=$A219)*'4. Chronology'!$C$5:$C$204)=0,"",SUMPRODUCT(MAX(('4. Chronology'!$A$5:$A$204=$A219)*'4. Chronology'!$C$5:$C$204))))</f>
        <v/>
      </c>
      <c r="C219" s="16" t="str">
        <f t="array" ref="C219">IF($A219="","",IFERROR(INDEX('2. Core Log'!$R$5:$R$124,MATCH($A219,'2. Core Log'!$A$5:$A$124,0)),""))</f>
        <v/>
      </c>
      <c r="D219" s="23" t="str">
        <f t="shared" si="1"/>
        <v/>
      </c>
      <c r="E219" s="16" t="str">
        <f>IF($A219="","",IF(SUMPRODUCT(('4. Chronology'!$A$5:$A$204=$A219)*'4. Chronology'!$J$5:$J$204*'4. Chronology'!$B$5:$B$204)=0,"",SUMPRODUCT(MAX(('4. Chronology'!$A$5:$A$204=$A219)*'4. Chronology'!$J$5:$J$204*'4. Chronology'!$B$5:$B$204))))</f>
        <v/>
      </c>
      <c r="F219" s="16" t="str">
        <f>IF(NOT(ISNUMBER($E219)),"",SUMIFS('4. Chronology'!$C$5:$C$204,'4. Chronology'!$A$5:$A$204,$A219,'4. Chronology'!$B$5:$B$204,$E219))</f>
        <v/>
      </c>
      <c r="G219" s="16" t="str">
        <f>IF(NOT(ISNUMBER($E219)),"",SUMIFS('4. Chronology'!$F$5:$F$204,'4. Chronology'!$A$5:$A$204,$A219,'4. Chronology'!$B$5:$B$204,$E219))</f>
        <v/>
      </c>
      <c r="H219" s="23" t="str">
        <f t="shared" si="2"/>
        <v/>
      </c>
      <c r="I219" s="16" t="str">
        <f t="shared" si="3"/>
        <v/>
      </c>
      <c r="J219" s="16" t="str">
        <f t="array" ref="J219">IF($A219="","",IF(NOT(ISNUMBER($B219)),"No dated horizons for this core — LORCA cannot be calculated. ","")&amp;IF(AND(ISNUMBER($B219),NOT(ISNUMBER($E219))),"No Pb-210 or Cs-137 horizon — RERCA cannot be calculated. ","")&amp;IF(IFERROR(INDEX('2. Core Log'!$L$5:$L$124,MATCH($A219,'2. Core Log'!$A$5:$A$124,0)),"")="No","Core did not reach the mineral contact, so LORCA is based on a partial profile and is a MINIMUM. ","")&amp;IF(AND(ISNUMBER($I219),$I219&gt;1.2),"RERCA is "&amp;TEXT($I219,"0.0")&amp;"x LORCA. This is EXPECTED, not a finding: near-surface peat has not finished decomposing, so recent rates always look higher. Do not report it as accelerating sequestration. ","")&amp;IF(AND(ISNUMBER($D219),OR($D219&lt;LORCA_MIN,$D219&gt;LORCA_MAX)),"LORCA outside the published range of "&amp;LORCA_MIN&amp;"-"&amp;LORCA_MAX&amp;" g C/m2/yr — check the basal age and the profile carbon. ",""))</f>
        <v/>
      </c>
      <c r="K219" s="14"/>
    </row>
    <row r="220" spans="1:11" ht="15.75" customHeight="1">
      <c r="A220" s="16" t="str">
        <f t="array" ref="A220">IF(INDEX('2. Core Log'!$A$5:$A$124,ROW()-209)="","",INDEX('2. Core Log'!$A$5:$A$124,ROW()-209))</f>
        <v/>
      </c>
      <c r="B220" s="16" t="str">
        <f>IF($A220="","",IF(SUMPRODUCT(('4. Chronology'!$A$5:$A$204=$A220)*'4. Chronology'!$C$5:$C$204)=0,"",SUMPRODUCT(MAX(('4. Chronology'!$A$5:$A$204=$A220)*'4. Chronology'!$C$5:$C$204))))</f>
        <v/>
      </c>
      <c r="C220" s="16" t="str">
        <f t="array" ref="C220">IF($A220="","",IFERROR(INDEX('2. Core Log'!$R$5:$R$124,MATCH($A220,'2. Core Log'!$A$5:$A$124,0)),""))</f>
        <v/>
      </c>
      <c r="D220" s="23" t="str">
        <f t="shared" si="1"/>
        <v/>
      </c>
      <c r="E220" s="16" t="str">
        <f>IF($A220="","",IF(SUMPRODUCT(('4. Chronology'!$A$5:$A$204=$A220)*'4. Chronology'!$J$5:$J$204*'4. Chronology'!$B$5:$B$204)=0,"",SUMPRODUCT(MAX(('4. Chronology'!$A$5:$A$204=$A220)*'4. Chronology'!$J$5:$J$204*'4. Chronology'!$B$5:$B$204))))</f>
        <v/>
      </c>
      <c r="F220" s="16" t="str">
        <f>IF(NOT(ISNUMBER($E220)),"",SUMIFS('4. Chronology'!$C$5:$C$204,'4. Chronology'!$A$5:$A$204,$A220,'4. Chronology'!$B$5:$B$204,$E220))</f>
        <v/>
      </c>
      <c r="G220" s="16" t="str">
        <f>IF(NOT(ISNUMBER($E220)),"",SUMIFS('4. Chronology'!$F$5:$F$204,'4. Chronology'!$A$5:$A$204,$A220,'4. Chronology'!$B$5:$B$204,$E220))</f>
        <v/>
      </c>
      <c r="H220" s="23" t="str">
        <f t="shared" si="2"/>
        <v/>
      </c>
      <c r="I220" s="16" t="str">
        <f t="shared" si="3"/>
        <v/>
      </c>
      <c r="J220" s="16" t="str">
        <f t="array" ref="J220">IF($A220="","",IF(NOT(ISNUMBER($B220)),"No dated horizons for this core — LORCA cannot be calculated. ","")&amp;IF(AND(ISNUMBER($B220),NOT(ISNUMBER($E220))),"No Pb-210 or Cs-137 horizon — RERCA cannot be calculated. ","")&amp;IF(IFERROR(INDEX('2. Core Log'!$L$5:$L$124,MATCH($A220,'2. Core Log'!$A$5:$A$124,0)),"")="No","Core did not reach the mineral contact, so LORCA is based on a partial profile and is a MINIMUM. ","")&amp;IF(AND(ISNUMBER($I220),$I220&gt;1.2),"RERCA is "&amp;TEXT($I220,"0.0")&amp;"x LORCA. This is EXPECTED, not a finding: near-surface peat has not finished decomposing, so recent rates always look higher. Do not report it as accelerating sequestration. ","")&amp;IF(AND(ISNUMBER($D220),OR($D220&lt;LORCA_MIN,$D220&gt;LORCA_MAX)),"LORCA outside the published range of "&amp;LORCA_MIN&amp;"-"&amp;LORCA_MAX&amp;" g C/m2/yr — check the basal age and the profile carbon. ",""))</f>
        <v/>
      </c>
      <c r="K220" s="14"/>
    </row>
    <row r="221" spans="1:11" ht="15.75" customHeight="1">
      <c r="A221" s="16" t="str">
        <f t="array" ref="A221">IF(INDEX('2. Core Log'!$A$5:$A$124,ROW()-209)="","",INDEX('2. Core Log'!$A$5:$A$124,ROW()-209))</f>
        <v/>
      </c>
      <c r="B221" s="16" t="str">
        <f>IF($A221="","",IF(SUMPRODUCT(('4. Chronology'!$A$5:$A$204=$A221)*'4. Chronology'!$C$5:$C$204)=0,"",SUMPRODUCT(MAX(('4. Chronology'!$A$5:$A$204=$A221)*'4. Chronology'!$C$5:$C$204))))</f>
        <v/>
      </c>
      <c r="C221" s="16" t="str">
        <f t="array" ref="C221">IF($A221="","",IFERROR(INDEX('2. Core Log'!$R$5:$R$124,MATCH($A221,'2. Core Log'!$A$5:$A$124,0)),""))</f>
        <v/>
      </c>
      <c r="D221" s="23" t="str">
        <f t="shared" si="1"/>
        <v/>
      </c>
      <c r="E221" s="16" t="str">
        <f>IF($A221="","",IF(SUMPRODUCT(('4. Chronology'!$A$5:$A$204=$A221)*'4. Chronology'!$J$5:$J$204*'4. Chronology'!$B$5:$B$204)=0,"",SUMPRODUCT(MAX(('4. Chronology'!$A$5:$A$204=$A221)*'4. Chronology'!$J$5:$J$204*'4. Chronology'!$B$5:$B$204))))</f>
        <v/>
      </c>
      <c r="F221" s="16" t="str">
        <f>IF(NOT(ISNUMBER($E221)),"",SUMIFS('4. Chronology'!$C$5:$C$204,'4. Chronology'!$A$5:$A$204,$A221,'4. Chronology'!$B$5:$B$204,$E221))</f>
        <v/>
      </c>
      <c r="G221" s="16" t="str">
        <f>IF(NOT(ISNUMBER($E221)),"",SUMIFS('4. Chronology'!$F$5:$F$204,'4. Chronology'!$A$5:$A$204,$A221,'4. Chronology'!$B$5:$B$204,$E221))</f>
        <v/>
      </c>
      <c r="H221" s="23" t="str">
        <f t="shared" si="2"/>
        <v/>
      </c>
      <c r="I221" s="16" t="str">
        <f t="shared" si="3"/>
        <v/>
      </c>
      <c r="J221" s="16" t="str">
        <f t="array" ref="J221">IF($A221="","",IF(NOT(ISNUMBER($B221)),"No dated horizons for this core — LORCA cannot be calculated. ","")&amp;IF(AND(ISNUMBER($B221),NOT(ISNUMBER($E221))),"No Pb-210 or Cs-137 horizon — RERCA cannot be calculated. ","")&amp;IF(IFERROR(INDEX('2. Core Log'!$L$5:$L$124,MATCH($A221,'2. Core Log'!$A$5:$A$124,0)),"")="No","Core did not reach the mineral contact, so LORCA is based on a partial profile and is a MINIMUM. ","")&amp;IF(AND(ISNUMBER($I221),$I221&gt;1.2),"RERCA is "&amp;TEXT($I221,"0.0")&amp;"x LORCA. This is EXPECTED, not a finding: near-surface peat has not finished decomposing, so recent rates always look higher. Do not report it as accelerating sequestration. ","")&amp;IF(AND(ISNUMBER($D221),OR($D221&lt;LORCA_MIN,$D221&gt;LORCA_MAX)),"LORCA outside the published range of "&amp;LORCA_MIN&amp;"-"&amp;LORCA_MAX&amp;" g C/m2/yr — check the basal age and the profile carbon. ",""))</f>
        <v/>
      </c>
      <c r="K221" s="14"/>
    </row>
    <row r="222" spans="1:11" ht="15.75" customHeight="1">
      <c r="A222" s="16" t="str">
        <f t="array" ref="A222">IF(INDEX('2. Core Log'!$A$5:$A$124,ROW()-209)="","",INDEX('2. Core Log'!$A$5:$A$124,ROW()-209))</f>
        <v/>
      </c>
      <c r="B222" s="16" t="str">
        <f>IF($A222="","",IF(SUMPRODUCT(('4. Chronology'!$A$5:$A$204=$A222)*'4. Chronology'!$C$5:$C$204)=0,"",SUMPRODUCT(MAX(('4. Chronology'!$A$5:$A$204=$A222)*'4. Chronology'!$C$5:$C$204))))</f>
        <v/>
      </c>
      <c r="C222" s="16" t="str">
        <f t="array" ref="C222">IF($A222="","",IFERROR(INDEX('2. Core Log'!$R$5:$R$124,MATCH($A222,'2. Core Log'!$A$5:$A$124,0)),""))</f>
        <v/>
      </c>
      <c r="D222" s="23" t="str">
        <f t="shared" si="1"/>
        <v/>
      </c>
      <c r="E222" s="16" t="str">
        <f>IF($A222="","",IF(SUMPRODUCT(('4. Chronology'!$A$5:$A$204=$A222)*'4. Chronology'!$J$5:$J$204*'4. Chronology'!$B$5:$B$204)=0,"",SUMPRODUCT(MAX(('4. Chronology'!$A$5:$A$204=$A222)*'4. Chronology'!$J$5:$J$204*'4. Chronology'!$B$5:$B$204))))</f>
        <v/>
      </c>
      <c r="F222" s="16" t="str">
        <f>IF(NOT(ISNUMBER($E222)),"",SUMIFS('4. Chronology'!$C$5:$C$204,'4. Chronology'!$A$5:$A$204,$A222,'4. Chronology'!$B$5:$B$204,$E222))</f>
        <v/>
      </c>
      <c r="G222" s="16" t="str">
        <f>IF(NOT(ISNUMBER($E222)),"",SUMIFS('4. Chronology'!$F$5:$F$204,'4. Chronology'!$A$5:$A$204,$A222,'4. Chronology'!$B$5:$B$204,$E222))</f>
        <v/>
      </c>
      <c r="H222" s="23" t="str">
        <f t="shared" si="2"/>
        <v/>
      </c>
      <c r="I222" s="16" t="str">
        <f t="shared" si="3"/>
        <v/>
      </c>
      <c r="J222" s="16" t="str">
        <f t="array" ref="J222">IF($A222="","",IF(NOT(ISNUMBER($B222)),"No dated horizons for this core — LORCA cannot be calculated. ","")&amp;IF(AND(ISNUMBER($B222),NOT(ISNUMBER($E222))),"No Pb-210 or Cs-137 horizon — RERCA cannot be calculated. ","")&amp;IF(IFERROR(INDEX('2. Core Log'!$L$5:$L$124,MATCH($A222,'2. Core Log'!$A$5:$A$124,0)),"")="No","Core did not reach the mineral contact, so LORCA is based on a partial profile and is a MINIMUM. ","")&amp;IF(AND(ISNUMBER($I222),$I222&gt;1.2),"RERCA is "&amp;TEXT($I222,"0.0")&amp;"x LORCA. This is EXPECTED, not a finding: near-surface peat has not finished decomposing, so recent rates always look higher. Do not report it as accelerating sequestration. ","")&amp;IF(AND(ISNUMBER($D222),OR($D222&lt;LORCA_MIN,$D222&gt;LORCA_MAX)),"LORCA outside the published range of "&amp;LORCA_MIN&amp;"-"&amp;LORCA_MAX&amp;" g C/m2/yr — check the basal age and the profile carbon. ",""))</f>
        <v/>
      </c>
      <c r="K222" s="14"/>
    </row>
    <row r="223" spans="1:11" ht="15.75" customHeight="1">
      <c r="A223" s="16" t="str">
        <f t="array" ref="A223">IF(INDEX('2. Core Log'!$A$5:$A$124,ROW()-209)="","",INDEX('2. Core Log'!$A$5:$A$124,ROW()-209))</f>
        <v/>
      </c>
      <c r="B223" s="16" t="str">
        <f>IF($A223="","",IF(SUMPRODUCT(('4. Chronology'!$A$5:$A$204=$A223)*'4. Chronology'!$C$5:$C$204)=0,"",SUMPRODUCT(MAX(('4. Chronology'!$A$5:$A$204=$A223)*'4. Chronology'!$C$5:$C$204))))</f>
        <v/>
      </c>
      <c r="C223" s="16" t="str">
        <f t="array" ref="C223">IF($A223="","",IFERROR(INDEX('2. Core Log'!$R$5:$R$124,MATCH($A223,'2. Core Log'!$A$5:$A$124,0)),""))</f>
        <v/>
      </c>
      <c r="D223" s="23" t="str">
        <f t="shared" si="1"/>
        <v/>
      </c>
      <c r="E223" s="16" t="str">
        <f>IF($A223="","",IF(SUMPRODUCT(('4. Chronology'!$A$5:$A$204=$A223)*'4. Chronology'!$J$5:$J$204*'4. Chronology'!$B$5:$B$204)=0,"",SUMPRODUCT(MAX(('4. Chronology'!$A$5:$A$204=$A223)*'4. Chronology'!$J$5:$J$204*'4. Chronology'!$B$5:$B$204))))</f>
        <v/>
      </c>
      <c r="F223" s="16" t="str">
        <f>IF(NOT(ISNUMBER($E223)),"",SUMIFS('4. Chronology'!$C$5:$C$204,'4. Chronology'!$A$5:$A$204,$A223,'4. Chronology'!$B$5:$B$204,$E223))</f>
        <v/>
      </c>
      <c r="G223" s="16" t="str">
        <f>IF(NOT(ISNUMBER($E223)),"",SUMIFS('4. Chronology'!$F$5:$F$204,'4. Chronology'!$A$5:$A$204,$A223,'4. Chronology'!$B$5:$B$204,$E223))</f>
        <v/>
      </c>
      <c r="H223" s="23" t="str">
        <f t="shared" si="2"/>
        <v/>
      </c>
      <c r="I223" s="16" t="str">
        <f t="shared" si="3"/>
        <v/>
      </c>
      <c r="J223" s="16" t="str">
        <f t="array" ref="J223">IF($A223="","",IF(NOT(ISNUMBER($B223)),"No dated horizons for this core — LORCA cannot be calculated. ","")&amp;IF(AND(ISNUMBER($B223),NOT(ISNUMBER($E223))),"No Pb-210 or Cs-137 horizon — RERCA cannot be calculated. ","")&amp;IF(IFERROR(INDEX('2. Core Log'!$L$5:$L$124,MATCH($A223,'2. Core Log'!$A$5:$A$124,0)),"")="No","Core did not reach the mineral contact, so LORCA is based on a partial profile and is a MINIMUM. ","")&amp;IF(AND(ISNUMBER($I223),$I223&gt;1.2),"RERCA is "&amp;TEXT($I223,"0.0")&amp;"x LORCA. This is EXPECTED, not a finding: near-surface peat has not finished decomposing, so recent rates always look higher. Do not report it as accelerating sequestration. ","")&amp;IF(AND(ISNUMBER($D223),OR($D223&lt;LORCA_MIN,$D223&gt;LORCA_MAX)),"LORCA outside the published range of "&amp;LORCA_MIN&amp;"-"&amp;LORCA_MAX&amp;" g C/m2/yr — check the basal age and the profile carbon. ",""))</f>
        <v/>
      </c>
      <c r="K223" s="14"/>
    </row>
    <row r="224" spans="1:11" ht="15.75" customHeight="1">
      <c r="A224" s="16" t="str">
        <f t="array" ref="A224">IF(INDEX('2. Core Log'!$A$5:$A$124,ROW()-209)="","",INDEX('2. Core Log'!$A$5:$A$124,ROW()-209))</f>
        <v/>
      </c>
      <c r="B224" s="16" t="str">
        <f>IF($A224="","",IF(SUMPRODUCT(('4. Chronology'!$A$5:$A$204=$A224)*'4. Chronology'!$C$5:$C$204)=0,"",SUMPRODUCT(MAX(('4. Chronology'!$A$5:$A$204=$A224)*'4. Chronology'!$C$5:$C$204))))</f>
        <v/>
      </c>
      <c r="C224" s="16" t="str">
        <f t="array" ref="C224">IF($A224="","",IFERROR(INDEX('2. Core Log'!$R$5:$R$124,MATCH($A224,'2. Core Log'!$A$5:$A$124,0)),""))</f>
        <v/>
      </c>
      <c r="D224" s="23" t="str">
        <f t="shared" si="1"/>
        <v/>
      </c>
      <c r="E224" s="16" t="str">
        <f>IF($A224="","",IF(SUMPRODUCT(('4. Chronology'!$A$5:$A$204=$A224)*'4. Chronology'!$J$5:$J$204*'4. Chronology'!$B$5:$B$204)=0,"",SUMPRODUCT(MAX(('4. Chronology'!$A$5:$A$204=$A224)*'4. Chronology'!$J$5:$J$204*'4. Chronology'!$B$5:$B$204))))</f>
        <v/>
      </c>
      <c r="F224" s="16" t="str">
        <f>IF(NOT(ISNUMBER($E224)),"",SUMIFS('4. Chronology'!$C$5:$C$204,'4. Chronology'!$A$5:$A$204,$A224,'4. Chronology'!$B$5:$B$204,$E224))</f>
        <v/>
      </c>
      <c r="G224" s="16" t="str">
        <f>IF(NOT(ISNUMBER($E224)),"",SUMIFS('4. Chronology'!$F$5:$F$204,'4. Chronology'!$A$5:$A$204,$A224,'4. Chronology'!$B$5:$B$204,$E224))</f>
        <v/>
      </c>
      <c r="H224" s="23" t="str">
        <f t="shared" si="2"/>
        <v/>
      </c>
      <c r="I224" s="16" t="str">
        <f t="shared" si="3"/>
        <v/>
      </c>
      <c r="J224" s="16" t="str">
        <f t="array" ref="J224">IF($A224="","",IF(NOT(ISNUMBER($B224)),"No dated horizons for this core — LORCA cannot be calculated. ","")&amp;IF(AND(ISNUMBER($B224),NOT(ISNUMBER($E224))),"No Pb-210 or Cs-137 horizon — RERCA cannot be calculated. ","")&amp;IF(IFERROR(INDEX('2. Core Log'!$L$5:$L$124,MATCH($A224,'2. Core Log'!$A$5:$A$124,0)),"")="No","Core did not reach the mineral contact, so LORCA is based on a partial profile and is a MINIMUM. ","")&amp;IF(AND(ISNUMBER($I224),$I224&gt;1.2),"RERCA is "&amp;TEXT($I224,"0.0")&amp;"x LORCA. This is EXPECTED, not a finding: near-surface peat has not finished decomposing, so recent rates always look higher. Do not report it as accelerating sequestration. ","")&amp;IF(AND(ISNUMBER($D224),OR($D224&lt;LORCA_MIN,$D224&gt;LORCA_MAX)),"LORCA outside the published range of "&amp;LORCA_MIN&amp;"-"&amp;LORCA_MAX&amp;" g C/m2/yr — check the basal age and the profile carbon. ",""))</f>
        <v/>
      </c>
      <c r="K224" s="14"/>
    </row>
    <row r="225" spans="1:11" ht="15.75" customHeight="1">
      <c r="A225" s="16" t="str">
        <f t="array" ref="A225">IF(INDEX('2. Core Log'!$A$5:$A$124,ROW()-209)="","",INDEX('2. Core Log'!$A$5:$A$124,ROW()-209))</f>
        <v/>
      </c>
      <c r="B225" s="16" t="str">
        <f>IF($A225="","",IF(SUMPRODUCT(('4. Chronology'!$A$5:$A$204=$A225)*'4. Chronology'!$C$5:$C$204)=0,"",SUMPRODUCT(MAX(('4. Chronology'!$A$5:$A$204=$A225)*'4. Chronology'!$C$5:$C$204))))</f>
        <v/>
      </c>
      <c r="C225" s="16" t="str">
        <f t="array" ref="C225">IF($A225="","",IFERROR(INDEX('2. Core Log'!$R$5:$R$124,MATCH($A225,'2. Core Log'!$A$5:$A$124,0)),""))</f>
        <v/>
      </c>
      <c r="D225" s="23" t="str">
        <f t="shared" si="1"/>
        <v/>
      </c>
      <c r="E225" s="16" t="str">
        <f>IF($A225="","",IF(SUMPRODUCT(('4. Chronology'!$A$5:$A$204=$A225)*'4. Chronology'!$J$5:$J$204*'4. Chronology'!$B$5:$B$204)=0,"",SUMPRODUCT(MAX(('4. Chronology'!$A$5:$A$204=$A225)*'4. Chronology'!$J$5:$J$204*'4. Chronology'!$B$5:$B$204))))</f>
        <v/>
      </c>
      <c r="F225" s="16" t="str">
        <f>IF(NOT(ISNUMBER($E225)),"",SUMIFS('4. Chronology'!$C$5:$C$204,'4. Chronology'!$A$5:$A$204,$A225,'4. Chronology'!$B$5:$B$204,$E225))</f>
        <v/>
      </c>
      <c r="G225" s="16" t="str">
        <f>IF(NOT(ISNUMBER($E225)),"",SUMIFS('4. Chronology'!$F$5:$F$204,'4. Chronology'!$A$5:$A$204,$A225,'4. Chronology'!$B$5:$B$204,$E225))</f>
        <v/>
      </c>
      <c r="H225" s="23" t="str">
        <f t="shared" si="2"/>
        <v/>
      </c>
      <c r="I225" s="16" t="str">
        <f t="shared" si="3"/>
        <v/>
      </c>
      <c r="J225" s="16" t="str">
        <f t="array" ref="J225">IF($A225="","",IF(NOT(ISNUMBER($B225)),"No dated horizons for this core — LORCA cannot be calculated. ","")&amp;IF(AND(ISNUMBER($B225),NOT(ISNUMBER($E225))),"No Pb-210 or Cs-137 horizon — RERCA cannot be calculated. ","")&amp;IF(IFERROR(INDEX('2. Core Log'!$L$5:$L$124,MATCH($A225,'2. Core Log'!$A$5:$A$124,0)),"")="No","Core did not reach the mineral contact, so LORCA is based on a partial profile and is a MINIMUM. ","")&amp;IF(AND(ISNUMBER($I225),$I225&gt;1.2),"RERCA is "&amp;TEXT($I225,"0.0")&amp;"x LORCA. This is EXPECTED, not a finding: near-surface peat has not finished decomposing, so recent rates always look higher. Do not report it as accelerating sequestration. ","")&amp;IF(AND(ISNUMBER($D225),OR($D225&lt;LORCA_MIN,$D225&gt;LORCA_MAX)),"LORCA outside the published range of "&amp;LORCA_MIN&amp;"-"&amp;LORCA_MAX&amp;" g C/m2/yr — check the basal age and the profile carbon. ",""))</f>
        <v/>
      </c>
      <c r="K225" s="14"/>
    </row>
    <row r="226" spans="1:11" ht="15.75" customHeight="1">
      <c r="A226" s="16" t="str">
        <f t="array" ref="A226">IF(INDEX('2. Core Log'!$A$5:$A$124,ROW()-209)="","",INDEX('2. Core Log'!$A$5:$A$124,ROW()-209))</f>
        <v/>
      </c>
      <c r="B226" s="16" t="str">
        <f>IF($A226="","",IF(SUMPRODUCT(('4. Chronology'!$A$5:$A$204=$A226)*'4. Chronology'!$C$5:$C$204)=0,"",SUMPRODUCT(MAX(('4. Chronology'!$A$5:$A$204=$A226)*'4. Chronology'!$C$5:$C$204))))</f>
        <v/>
      </c>
      <c r="C226" s="16" t="str">
        <f t="array" ref="C226">IF($A226="","",IFERROR(INDEX('2. Core Log'!$R$5:$R$124,MATCH($A226,'2. Core Log'!$A$5:$A$124,0)),""))</f>
        <v/>
      </c>
      <c r="D226" s="23" t="str">
        <f t="shared" si="1"/>
        <v/>
      </c>
      <c r="E226" s="16" t="str">
        <f>IF($A226="","",IF(SUMPRODUCT(('4. Chronology'!$A$5:$A$204=$A226)*'4. Chronology'!$J$5:$J$204*'4. Chronology'!$B$5:$B$204)=0,"",SUMPRODUCT(MAX(('4. Chronology'!$A$5:$A$204=$A226)*'4. Chronology'!$J$5:$J$204*'4. Chronology'!$B$5:$B$204))))</f>
        <v/>
      </c>
      <c r="F226" s="16" t="str">
        <f>IF(NOT(ISNUMBER($E226)),"",SUMIFS('4. Chronology'!$C$5:$C$204,'4. Chronology'!$A$5:$A$204,$A226,'4. Chronology'!$B$5:$B$204,$E226))</f>
        <v/>
      </c>
      <c r="G226" s="16" t="str">
        <f>IF(NOT(ISNUMBER($E226)),"",SUMIFS('4. Chronology'!$F$5:$F$204,'4. Chronology'!$A$5:$A$204,$A226,'4. Chronology'!$B$5:$B$204,$E226))</f>
        <v/>
      </c>
      <c r="H226" s="23" t="str">
        <f t="shared" si="2"/>
        <v/>
      </c>
      <c r="I226" s="16" t="str">
        <f t="shared" si="3"/>
        <v/>
      </c>
      <c r="J226" s="16" t="str">
        <f t="array" ref="J226">IF($A226="","",IF(NOT(ISNUMBER($B226)),"No dated horizons for this core — LORCA cannot be calculated. ","")&amp;IF(AND(ISNUMBER($B226),NOT(ISNUMBER($E226))),"No Pb-210 or Cs-137 horizon — RERCA cannot be calculated. ","")&amp;IF(IFERROR(INDEX('2. Core Log'!$L$5:$L$124,MATCH($A226,'2. Core Log'!$A$5:$A$124,0)),"")="No","Core did not reach the mineral contact, so LORCA is based on a partial profile and is a MINIMUM. ","")&amp;IF(AND(ISNUMBER($I226),$I226&gt;1.2),"RERCA is "&amp;TEXT($I226,"0.0")&amp;"x LORCA. This is EXPECTED, not a finding: near-surface peat has not finished decomposing, so recent rates always look higher. Do not report it as accelerating sequestration. ","")&amp;IF(AND(ISNUMBER($D226),OR($D226&lt;LORCA_MIN,$D226&gt;LORCA_MAX)),"LORCA outside the published range of "&amp;LORCA_MIN&amp;"-"&amp;LORCA_MAX&amp;" g C/m2/yr — check the basal age and the profile carbon. ",""))</f>
        <v/>
      </c>
      <c r="K226" s="14"/>
    </row>
    <row r="227" spans="1:11" ht="15.75" customHeight="1">
      <c r="A227" s="16" t="str">
        <f t="array" ref="A227">IF(INDEX('2. Core Log'!$A$5:$A$124,ROW()-209)="","",INDEX('2. Core Log'!$A$5:$A$124,ROW()-209))</f>
        <v/>
      </c>
      <c r="B227" s="16" t="str">
        <f>IF($A227="","",IF(SUMPRODUCT(('4. Chronology'!$A$5:$A$204=$A227)*'4. Chronology'!$C$5:$C$204)=0,"",SUMPRODUCT(MAX(('4. Chronology'!$A$5:$A$204=$A227)*'4. Chronology'!$C$5:$C$204))))</f>
        <v/>
      </c>
      <c r="C227" s="16" t="str">
        <f t="array" ref="C227">IF($A227="","",IFERROR(INDEX('2. Core Log'!$R$5:$R$124,MATCH($A227,'2. Core Log'!$A$5:$A$124,0)),""))</f>
        <v/>
      </c>
      <c r="D227" s="23" t="str">
        <f t="shared" si="1"/>
        <v/>
      </c>
      <c r="E227" s="16" t="str">
        <f>IF($A227="","",IF(SUMPRODUCT(('4. Chronology'!$A$5:$A$204=$A227)*'4. Chronology'!$J$5:$J$204*'4. Chronology'!$B$5:$B$204)=0,"",SUMPRODUCT(MAX(('4. Chronology'!$A$5:$A$204=$A227)*'4. Chronology'!$J$5:$J$204*'4. Chronology'!$B$5:$B$204))))</f>
        <v/>
      </c>
      <c r="F227" s="16" t="str">
        <f>IF(NOT(ISNUMBER($E227)),"",SUMIFS('4. Chronology'!$C$5:$C$204,'4. Chronology'!$A$5:$A$204,$A227,'4. Chronology'!$B$5:$B$204,$E227))</f>
        <v/>
      </c>
      <c r="G227" s="16" t="str">
        <f>IF(NOT(ISNUMBER($E227)),"",SUMIFS('4. Chronology'!$F$5:$F$204,'4. Chronology'!$A$5:$A$204,$A227,'4. Chronology'!$B$5:$B$204,$E227))</f>
        <v/>
      </c>
      <c r="H227" s="23" t="str">
        <f t="shared" si="2"/>
        <v/>
      </c>
      <c r="I227" s="16" t="str">
        <f t="shared" si="3"/>
        <v/>
      </c>
      <c r="J227" s="16" t="str">
        <f t="array" ref="J227">IF($A227="","",IF(NOT(ISNUMBER($B227)),"No dated horizons for this core — LORCA cannot be calculated. ","")&amp;IF(AND(ISNUMBER($B227),NOT(ISNUMBER($E227))),"No Pb-210 or Cs-137 horizon — RERCA cannot be calculated. ","")&amp;IF(IFERROR(INDEX('2. Core Log'!$L$5:$L$124,MATCH($A227,'2. Core Log'!$A$5:$A$124,0)),"")="No","Core did not reach the mineral contact, so LORCA is based on a partial profile and is a MINIMUM. ","")&amp;IF(AND(ISNUMBER($I227),$I227&gt;1.2),"RERCA is "&amp;TEXT($I227,"0.0")&amp;"x LORCA. This is EXPECTED, not a finding: near-surface peat has not finished decomposing, so recent rates always look higher. Do not report it as accelerating sequestration. ","")&amp;IF(AND(ISNUMBER($D227),OR($D227&lt;LORCA_MIN,$D227&gt;LORCA_MAX)),"LORCA outside the published range of "&amp;LORCA_MIN&amp;"-"&amp;LORCA_MAX&amp;" g C/m2/yr — check the basal age and the profile carbon. ",""))</f>
        <v/>
      </c>
      <c r="K227" s="14"/>
    </row>
    <row r="228" spans="1:11" ht="15.75" customHeight="1">
      <c r="A228" s="16" t="str">
        <f t="array" ref="A228">IF(INDEX('2. Core Log'!$A$5:$A$124,ROW()-209)="","",INDEX('2. Core Log'!$A$5:$A$124,ROW()-209))</f>
        <v/>
      </c>
      <c r="B228" s="16" t="str">
        <f>IF($A228="","",IF(SUMPRODUCT(('4. Chronology'!$A$5:$A$204=$A228)*'4. Chronology'!$C$5:$C$204)=0,"",SUMPRODUCT(MAX(('4. Chronology'!$A$5:$A$204=$A228)*'4. Chronology'!$C$5:$C$204))))</f>
        <v/>
      </c>
      <c r="C228" s="16" t="str">
        <f t="array" ref="C228">IF($A228="","",IFERROR(INDEX('2. Core Log'!$R$5:$R$124,MATCH($A228,'2. Core Log'!$A$5:$A$124,0)),""))</f>
        <v/>
      </c>
      <c r="D228" s="23" t="str">
        <f t="shared" si="1"/>
        <v/>
      </c>
      <c r="E228" s="16" t="str">
        <f>IF($A228="","",IF(SUMPRODUCT(('4. Chronology'!$A$5:$A$204=$A228)*'4. Chronology'!$J$5:$J$204*'4. Chronology'!$B$5:$B$204)=0,"",SUMPRODUCT(MAX(('4. Chronology'!$A$5:$A$204=$A228)*'4. Chronology'!$J$5:$J$204*'4. Chronology'!$B$5:$B$204))))</f>
        <v/>
      </c>
      <c r="F228" s="16" t="str">
        <f>IF(NOT(ISNUMBER($E228)),"",SUMIFS('4. Chronology'!$C$5:$C$204,'4. Chronology'!$A$5:$A$204,$A228,'4. Chronology'!$B$5:$B$204,$E228))</f>
        <v/>
      </c>
      <c r="G228" s="16" t="str">
        <f>IF(NOT(ISNUMBER($E228)),"",SUMIFS('4. Chronology'!$F$5:$F$204,'4. Chronology'!$A$5:$A$204,$A228,'4. Chronology'!$B$5:$B$204,$E228))</f>
        <v/>
      </c>
      <c r="H228" s="23" t="str">
        <f t="shared" si="2"/>
        <v/>
      </c>
      <c r="I228" s="16" t="str">
        <f t="shared" si="3"/>
        <v/>
      </c>
      <c r="J228" s="16" t="str">
        <f t="array" ref="J228">IF($A228="","",IF(NOT(ISNUMBER($B228)),"No dated horizons for this core — LORCA cannot be calculated. ","")&amp;IF(AND(ISNUMBER($B228),NOT(ISNUMBER($E228))),"No Pb-210 or Cs-137 horizon — RERCA cannot be calculated. ","")&amp;IF(IFERROR(INDEX('2. Core Log'!$L$5:$L$124,MATCH($A228,'2. Core Log'!$A$5:$A$124,0)),"")="No","Core did not reach the mineral contact, so LORCA is based on a partial profile and is a MINIMUM. ","")&amp;IF(AND(ISNUMBER($I228),$I228&gt;1.2),"RERCA is "&amp;TEXT($I228,"0.0")&amp;"x LORCA. This is EXPECTED, not a finding: near-surface peat has not finished decomposing, so recent rates always look higher. Do not report it as accelerating sequestration. ","")&amp;IF(AND(ISNUMBER($D228),OR($D228&lt;LORCA_MIN,$D228&gt;LORCA_MAX)),"LORCA outside the published range of "&amp;LORCA_MIN&amp;"-"&amp;LORCA_MAX&amp;" g C/m2/yr — check the basal age and the profile carbon. ",""))</f>
        <v/>
      </c>
      <c r="K228" s="14"/>
    </row>
    <row r="229" spans="1:11" ht="15.75" customHeight="1">
      <c r="A229" s="16" t="str">
        <f t="array" ref="A229">IF(INDEX('2. Core Log'!$A$5:$A$124,ROW()-209)="","",INDEX('2. Core Log'!$A$5:$A$124,ROW()-209))</f>
        <v/>
      </c>
      <c r="B229" s="16" t="str">
        <f>IF($A229="","",IF(SUMPRODUCT(('4. Chronology'!$A$5:$A$204=$A229)*'4. Chronology'!$C$5:$C$204)=0,"",SUMPRODUCT(MAX(('4. Chronology'!$A$5:$A$204=$A229)*'4. Chronology'!$C$5:$C$204))))</f>
        <v/>
      </c>
      <c r="C229" s="16" t="str">
        <f t="array" ref="C229">IF($A229="","",IFERROR(INDEX('2. Core Log'!$R$5:$R$124,MATCH($A229,'2. Core Log'!$A$5:$A$124,0)),""))</f>
        <v/>
      </c>
      <c r="D229" s="23" t="str">
        <f t="shared" si="1"/>
        <v/>
      </c>
      <c r="E229" s="16" t="str">
        <f>IF($A229="","",IF(SUMPRODUCT(('4. Chronology'!$A$5:$A$204=$A229)*'4. Chronology'!$J$5:$J$204*'4. Chronology'!$B$5:$B$204)=0,"",SUMPRODUCT(MAX(('4. Chronology'!$A$5:$A$204=$A229)*'4. Chronology'!$J$5:$J$204*'4. Chronology'!$B$5:$B$204))))</f>
        <v/>
      </c>
      <c r="F229" s="16" t="str">
        <f>IF(NOT(ISNUMBER($E229)),"",SUMIFS('4. Chronology'!$C$5:$C$204,'4. Chronology'!$A$5:$A$204,$A229,'4. Chronology'!$B$5:$B$204,$E229))</f>
        <v/>
      </c>
      <c r="G229" s="16" t="str">
        <f>IF(NOT(ISNUMBER($E229)),"",SUMIFS('4. Chronology'!$F$5:$F$204,'4. Chronology'!$A$5:$A$204,$A229,'4. Chronology'!$B$5:$B$204,$E229))</f>
        <v/>
      </c>
      <c r="H229" s="23" t="str">
        <f t="shared" si="2"/>
        <v/>
      </c>
      <c r="I229" s="16" t="str">
        <f t="shared" si="3"/>
        <v/>
      </c>
      <c r="J229" s="16" t="str">
        <f t="array" ref="J229">IF($A229="","",IF(NOT(ISNUMBER($B229)),"No dated horizons for this core — LORCA cannot be calculated. ","")&amp;IF(AND(ISNUMBER($B229),NOT(ISNUMBER($E229))),"No Pb-210 or Cs-137 horizon — RERCA cannot be calculated. ","")&amp;IF(IFERROR(INDEX('2. Core Log'!$L$5:$L$124,MATCH($A229,'2. Core Log'!$A$5:$A$124,0)),"")="No","Core did not reach the mineral contact, so LORCA is based on a partial profile and is a MINIMUM. ","")&amp;IF(AND(ISNUMBER($I229),$I229&gt;1.2),"RERCA is "&amp;TEXT($I229,"0.0")&amp;"x LORCA. This is EXPECTED, not a finding: near-surface peat has not finished decomposing, so recent rates always look higher. Do not report it as accelerating sequestration. ","")&amp;IF(AND(ISNUMBER($D229),OR($D229&lt;LORCA_MIN,$D229&gt;LORCA_MAX)),"LORCA outside the published range of "&amp;LORCA_MIN&amp;"-"&amp;LORCA_MAX&amp;" g C/m2/yr — check the basal age and the profile carbon. ",""))</f>
        <v/>
      </c>
      <c r="K229" s="14"/>
    </row>
    <row r="230" spans="1:11" ht="15.75" customHeight="1">
      <c r="A230" s="16" t="str">
        <f t="array" ref="A230">IF(INDEX('2. Core Log'!$A$5:$A$124,ROW()-209)="","",INDEX('2. Core Log'!$A$5:$A$124,ROW()-209))</f>
        <v/>
      </c>
      <c r="B230" s="16" t="str">
        <f>IF($A230="","",IF(SUMPRODUCT(('4. Chronology'!$A$5:$A$204=$A230)*'4. Chronology'!$C$5:$C$204)=0,"",SUMPRODUCT(MAX(('4. Chronology'!$A$5:$A$204=$A230)*'4. Chronology'!$C$5:$C$204))))</f>
        <v/>
      </c>
      <c r="C230" s="16" t="str">
        <f t="array" ref="C230">IF($A230="","",IFERROR(INDEX('2. Core Log'!$R$5:$R$124,MATCH($A230,'2. Core Log'!$A$5:$A$124,0)),""))</f>
        <v/>
      </c>
      <c r="D230" s="23" t="str">
        <f t="shared" si="1"/>
        <v/>
      </c>
      <c r="E230" s="16" t="str">
        <f>IF($A230="","",IF(SUMPRODUCT(('4. Chronology'!$A$5:$A$204=$A230)*'4. Chronology'!$J$5:$J$204*'4. Chronology'!$B$5:$B$204)=0,"",SUMPRODUCT(MAX(('4. Chronology'!$A$5:$A$204=$A230)*'4. Chronology'!$J$5:$J$204*'4. Chronology'!$B$5:$B$204))))</f>
        <v/>
      </c>
      <c r="F230" s="16" t="str">
        <f>IF(NOT(ISNUMBER($E230)),"",SUMIFS('4. Chronology'!$C$5:$C$204,'4. Chronology'!$A$5:$A$204,$A230,'4. Chronology'!$B$5:$B$204,$E230))</f>
        <v/>
      </c>
      <c r="G230" s="16" t="str">
        <f>IF(NOT(ISNUMBER($E230)),"",SUMIFS('4. Chronology'!$F$5:$F$204,'4. Chronology'!$A$5:$A$204,$A230,'4. Chronology'!$B$5:$B$204,$E230))</f>
        <v/>
      </c>
      <c r="H230" s="23" t="str">
        <f t="shared" si="2"/>
        <v/>
      </c>
      <c r="I230" s="16" t="str">
        <f t="shared" si="3"/>
        <v/>
      </c>
      <c r="J230" s="16" t="str">
        <f t="array" ref="J230">IF($A230="","",IF(NOT(ISNUMBER($B230)),"No dated horizons for this core — LORCA cannot be calculated. ","")&amp;IF(AND(ISNUMBER($B230),NOT(ISNUMBER($E230))),"No Pb-210 or Cs-137 horizon — RERCA cannot be calculated. ","")&amp;IF(IFERROR(INDEX('2. Core Log'!$L$5:$L$124,MATCH($A230,'2. Core Log'!$A$5:$A$124,0)),"")="No","Core did not reach the mineral contact, so LORCA is based on a partial profile and is a MINIMUM. ","")&amp;IF(AND(ISNUMBER($I230),$I230&gt;1.2),"RERCA is "&amp;TEXT($I230,"0.0")&amp;"x LORCA. This is EXPECTED, not a finding: near-surface peat has not finished decomposing, so recent rates always look higher. Do not report it as accelerating sequestration. ","")&amp;IF(AND(ISNUMBER($D230),OR($D230&lt;LORCA_MIN,$D230&gt;LORCA_MAX)),"LORCA outside the published range of "&amp;LORCA_MIN&amp;"-"&amp;LORCA_MAX&amp;" g C/m2/yr — check the basal age and the profile carbon. ",""))</f>
        <v/>
      </c>
      <c r="K230" s="14"/>
    </row>
    <row r="231" spans="1:11" ht="15.75" customHeight="1">
      <c r="A231" s="16" t="str">
        <f t="array" ref="A231">IF(INDEX('2. Core Log'!$A$5:$A$124,ROW()-209)="","",INDEX('2. Core Log'!$A$5:$A$124,ROW()-209))</f>
        <v/>
      </c>
      <c r="B231" s="16" t="str">
        <f>IF($A231="","",IF(SUMPRODUCT(('4. Chronology'!$A$5:$A$204=$A231)*'4. Chronology'!$C$5:$C$204)=0,"",SUMPRODUCT(MAX(('4. Chronology'!$A$5:$A$204=$A231)*'4. Chronology'!$C$5:$C$204))))</f>
        <v/>
      </c>
      <c r="C231" s="16" t="str">
        <f t="array" ref="C231">IF($A231="","",IFERROR(INDEX('2. Core Log'!$R$5:$R$124,MATCH($A231,'2. Core Log'!$A$5:$A$124,0)),""))</f>
        <v/>
      </c>
      <c r="D231" s="23" t="str">
        <f t="shared" si="1"/>
        <v/>
      </c>
      <c r="E231" s="16" t="str">
        <f>IF($A231="","",IF(SUMPRODUCT(('4. Chronology'!$A$5:$A$204=$A231)*'4. Chronology'!$J$5:$J$204*'4. Chronology'!$B$5:$B$204)=0,"",SUMPRODUCT(MAX(('4. Chronology'!$A$5:$A$204=$A231)*'4. Chronology'!$J$5:$J$204*'4. Chronology'!$B$5:$B$204))))</f>
        <v/>
      </c>
      <c r="F231" s="16" t="str">
        <f>IF(NOT(ISNUMBER($E231)),"",SUMIFS('4. Chronology'!$C$5:$C$204,'4. Chronology'!$A$5:$A$204,$A231,'4. Chronology'!$B$5:$B$204,$E231))</f>
        <v/>
      </c>
      <c r="G231" s="16" t="str">
        <f>IF(NOT(ISNUMBER($E231)),"",SUMIFS('4. Chronology'!$F$5:$F$204,'4. Chronology'!$A$5:$A$204,$A231,'4. Chronology'!$B$5:$B$204,$E231))</f>
        <v/>
      </c>
      <c r="H231" s="23" t="str">
        <f t="shared" si="2"/>
        <v/>
      </c>
      <c r="I231" s="16" t="str">
        <f t="shared" si="3"/>
        <v/>
      </c>
      <c r="J231" s="16" t="str">
        <f t="array" ref="J231">IF($A231="","",IF(NOT(ISNUMBER($B231)),"No dated horizons for this core — LORCA cannot be calculated. ","")&amp;IF(AND(ISNUMBER($B231),NOT(ISNUMBER($E231))),"No Pb-210 or Cs-137 horizon — RERCA cannot be calculated. ","")&amp;IF(IFERROR(INDEX('2. Core Log'!$L$5:$L$124,MATCH($A231,'2. Core Log'!$A$5:$A$124,0)),"")="No","Core did not reach the mineral contact, so LORCA is based on a partial profile and is a MINIMUM. ","")&amp;IF(AND(ISNUMBER($I231),$I231&gt;1.2),"RERCA is "&amp;TEXT($I231,"0.0")&amp;"x LORCA. This is EXPECTED, not a finding: near-surface peat has not finished decomposing, so recent rates always look higher. Do not report it as accelerating sequestration. ","")&amp;IF(AND(ISNUMBER($D231),OR($D231&lt;LORCA_MIN,$D231&gt;LORCA_MAX)),"LORCA outside the published range of "&amp;LORCA_MIN&amp;"-"&amp;LORCA_MAX&amp;" g C/m2/yr — check the basal age and the profile carbon. ",""))</f>
        <v/>
      </c>
      <c r="K231" s="14"/>
    </row>
    <row r="232" spans="1:11" ht="15.75" customHeight="1">
      <c r="A232" s="16" t="str">
        <f t="array" ref="A232">IF(INDEX('2. Core Log'!$A$5:$A$124,ROW()-209)="","",INDEX('2. Core Log'!$A$5:$A$124,ROW()-209))</f>
        <v/>
      </c>
      <c r="B232" s="16" t="str">
        <f>IF($A232="","",IF(SUMPRODUCT(('4. Chronology'!$A$5:$A$204=$A232)*'4. Chronology'!$C$5:$C$204)=0,"",SUMPRODUCT(MAX(('4. Chronology'!$A$5:$A$204=$A232)*'4. Chronology'!$C$5:$C$204))))</f>
        <v/>
      </c>
      <c r="C232" s="16" t="str">
        <f t="array" ref="C232">IF($A232="","",IFERROR(INDEX('2. Core Log'!$R$5:$R$124,MATCH($A232,'2. Core Log'!$A$5:$A$124,0)),""))</f>
        <v/>
      </c>
      <c r="D232" s="23" t="str">
        <f t="shared" si="1"/>
        <v/>
      </c>
      <c r="E232" s="16" t="str">
        <f>IF($A232="","",IF(SUMPRODUCT(('4. Chronology'!$A$5:$A$204=$A232)*'4. Chronology'!$J$5:$J$204*'4. Chronology'!$B$5:$B$204)=0,"",SUMPRODUCT(MAX(('4. Chronology'!$A$5:$A$204=$A232)*'4. Chronology'!$J$5:$J$204*'4. Chronology'!$B$5:$B$204))))</f>
        <v/>
      </c>
      <c r="F232" s="16" t="str">
        <f>IF(NOT(ISNUMBER($E232)),"",SUMIFS('4. Chronology'!$C$5:$C$204,'4. Chronology'!$A$5:$A$204,$A232,'4. Chronology'!$B$5:$B$204,$E232))</f>
        <v/>
      </c>
      <c r="G232" s="16" t="str">
        <f>IF(NOT(ISNUMBER($E232)),"",SUMIFS('4. Chronology'!$F$5:$F$204,'4. Chronology'!$A$5:$A$204,$A232,'4. Chronology'!$B$5:$B$204,$E232))</f>
        <v/>
      </c>
      <c r="H232" s="23" t="str">
        <f t="shared" si="2"/>
        <v/>
      </c>
      <c r="I232" s="16" t="str">
        <f t="shared" si="3"/>
        <v/>
      </c>
      <c r="J232" s="16" t="str">
        <f t="array" ref="J232">IF($A232="","",IF(NOT(ISNUMBER($B232)),"No dated horizons for this core — LORCA cannot be calculated. ","")&amp;IF(AND(ISNUMBER($B232),NOT(ISNUMBER($E232))),"No Pb-210 or Cs-137 horizon — RERCA cannot be calculated. ","")&amp;IF(IFERROR(INDEX('2. Core Log'!$L$5:$L$124,MATCH($A232,'2. Core Log'!$A$5:$A$124,0)),"")="No","Core did not reach the mineral contact, so LORCA is based on a partial profile and is a MINIMUM. ","")&amp;IF(AND(ISNUMBER($I232),$I232&gt;1.2),"RERCA is "&amp;TEXT($I232,"0.0")&amp;"x LORCA. This is EXPECTED, not a finding: near-surface peat has not finished decomposing, so recent rates always look higher. Do not report it as accelerating sequestration. ","")&amp;IF(AND(ISNUMBER($D232),OR($D232&lt;LORCA_MIN,$D232&gt;LORCA_MAX)),"LORCA outside the published range of "&amp;LORCA_MIN&amp;"-"&amp;LORCA_MAX&amp;" g C/m2/yr — check the basal age and the profile carbon. ",""))</f>
        <v/>
      </c>
      <c r="K232" s="14"/>
    </row>
    <row r="233" spans="1:11" ht="15.75" customHeight="1">
      <c r="A233" s="16" t="str">
        <f t="array" ref="A233">IF(INDEX('2. Core Log'!$A$5:$A$124,ROW()-209)="","",INDEX('2. Core Log'!$A$5:$A$124,ROW()-209))</f>
        <v/>
      </c>
      <c r="B233" s="16" t="str">
        <f>IF($A233="","",IF(SUMPRODUCT(('4. Chronology'!$A$5:$A$204=$A233)*'4. Chronology'!$C$5:$C$204)=0,"",SUMPRODUCT(MAX(('4. Chronology'!$A$5:$A$204=$A233)*'4. Chronology'!$C$5:$C$204))))</f>
        <v/>
      </c>
      <c r="C233" s="16" t="str">
        <f t="array" ref="C233">IF($A233="","",IFERROR(INDEX('2. Core Log'!$R$5:$R$124,MATCH($A233,'2. Core Log'!$A$5:$A$124,0)),""))</f>
        <v/>
      </c>
      <c r="D233" s="23" t="str">
        <f t="shared" si="1"/>
        <v/>
      </c>
      <c r="E233" s="16" t="str">
        <f>IF($A233="","",IF(SUMPRODUCT(('4. Chronology'!$A$5:$A$204=$A233)*'4. Chronology'!$J$5:$J$204*'4. Chronology'!$B$5:$B$204)=0,"",SUMPRODUCT(MAX(('4. Chronology'!$A$5:$A$204=$A233)*'4. Chronology'!$J$5:$J$204*'4. Chronology'!$B$5:$B$204))))</f>
        <v/>
      </c>
      <c r="F233" s="16" t="str">
        <f>IF(NOT(ISNUMBER($E233)),"",SUMIFS('4. Chronology'!$C$5:$C$204,'4. Chronology'!$A$5:$A$204,$A233,'4. Chronology'!$B$5:$B$204,$E233))</f>
        <v/>
      </c>
      <c r="G233" s="16" t="str">
        <f>IF(NOT(ISNUMBER($E233)),"",SUMIFS('4. Chronology'!$F$5:$F$204,'4. Chronology'!$A$5:$A$204,$A233,'4. Chronology'!$B$5:$B$204,$E233))</f>
        <v/>
      </c>
      <c r="H233" s="23" t="str">
        <f t="shared" si="2"/>
        <v/>
      </c>
      <c r="I233" s="16" t="str">
        <f t="shared" si="3"/>
        <v/>
      </c>
      <c r="J233" s="16" t="str">
        <f t="array" ref="J233">IF($A233="","",IF(NOT(ISNUMBER($B233)),"No dated horizons for this core — LORCA cannot be calculated. ","")&amp;IF(AND(ISNUMBER($B233),NOT(ISNUMBER($E233))),"No Pb-210 or Cs-137 horizon — RERCA cannot be calculated. ","")&amp;IF(IFERROR(INDEX('2. Core Log'!$L$5:$L$124,MATCH($A233,'2. Core Log'!$A$5:$A$124,0)),"")="No","Core did not reach the mineral contact, so LORCA is based on a partial profile and is a MINIMUM. ","")&amp;IF(AND(ISNUMBER($I233),$I233&gt;1.2),"RERCA is "&amp;TEXT($I233,"0.0")&amp;"x LORCA. This is EXPECTED, not a finding: near-surface peat has not finished decomposing, so recent rates always look higher. Do not report it as accelerating sequestration. ","")&amp;IF(AND(ISNUMBER($D233),OR($D233&lt;LORCA_MIN,$D233&gt;LORCA_MAX)),"LORCA outside the published range of "&amp;LORCA_MIN&amp;"-"&amp;LORCA_MAX&amp;" g C/m2/yr — check the basal age and the profile carbon. ",""))</f>
        <v/>
      </c>
      <c r="K233" s="14"/>
    </row>
    <row r="234" spans="1:11" ht="15.75" customHeight="1">
      <c r="A234" s="16" t="str">
        <f t="array" ref="A234">IF(INDEX('2. Core Log'!$A$5:$A$124,ROW()-209)="","",INDEX('2. Core Log'!$A$5:$A$124,ROW()-209))</f>
        <v/>
      </c>
      <c r="B234" s="16" t="str">
        <f>IF($A234="","",IF(SUMPRODUCT(('4. Chronology'!$A$5:$A$204=$A234)*'4. Chronology'!$C$5:$C$204)=0,"",SUMPRODUCT(MAX(('4. Chronology'!$A$5:$A$204=$A234)*'4. Chronology'!$C$5:$C$204))))</f>
        <v/>
      </c>
      <c r="C234" s="16" t="str">
        <f t="array" ref="C234">IF($A234="","",IFERROR(INDEX('2. Core Log'!$R$5:$R$124,MATCH($A234,'2. Core Log'!$A$5:$A$124,0)),""))</f>
        <v/>
      </c>
      <c r="D234" s="23" t="str">
        <f t="shared" si="1"/>
        <v/>
      </c>
      <c r="E234" s="16" t="str">
        <f>IF($A234="","",IF(SUMPRODUCT(('4. Chronology'!$A$5:$A$204=$A234)*'4. Chronology'!$J$5:$J$204*'4. Chronology'!$B$5:$B$204)=0,"",SUMPRODUCT(MAX(('4. Chronology'!$A$5:$A$204=$A234)*'4. Chronology'!$J$5:$J$204*'4. Chronology'!$B$5:$B$204))))</f>
        <v/>
      </c>
      <c r="F234" s="16" t="str">
        <f>IF(NOT(ISNUMBER($E234)),"",SUMIFS('4. Chronology'!$C$5:$C$204,'4. Chronology'!$A$5:$A$204,$A234,'4. Chronology'!$B$5:$B$204,$E234))</f>
        <v/>
      </c>
      <c r="G234" s="16" t="str">
        <f>IF(NOT(ISNUMBER($E234)),"",SUMIFS('4. Chronology'!$F$5:$F$204,'4. Chronology'!$A$5:$A$204,$A234,'4. Chronology'!$B$5:$B$204,$E234))</f>
        <v/>
      </c>
      <c r="H234" s="23" t="str">
        <f t="shared" si="2"/>
        <v/>
      </c>
      <c r="I234" s="16" t="str">
        <f t="shared" si="3"/>
        <v/>
      </c>
      <c r="J234" s="16" t="str">
        <f t="array" ref="J234">IF($A234="","",IF(NOT(ISNUMBER($B234)),"No dated horizons for this core — LORCA cannot be calculated. ","")&amp;IF(AND(ISNUMBER($B234),NOT(ISNUMBER($E234))),"No Pb-210 or Cs-137 horizon — RERCA cannot be calculated. ","")&amp;IF(IFERROR(INDEX('2. Core Log'!$L$5:$L$124,MATCH($A234,'2. Core Log'!$A$5:$A$124,0)),"")="No","Core did not reach the mineral contact, so LORCA is based on a partial profile and is a MINIMUM. ","")&amp;IF(AND(ISNUMBER($I234),$I234&gt;1.2),"RERCA is "&amp;TEXT($I234,"0.0")&amp;"x LORCA. This is EXPECTED, not a finding: near-surface peat has not finished decomposing, so recent rates always look higher. Do not report it as accelerating sequestration. ","")&amp;IF(AND(ISNUMBER($D234),OR($D234&lt;LORCA_MIN,$D234&gt;LORCA_MAX)),"LORCA outside the published range of "&amp;LORCA_MIN&amp;"-"&amp;LORCA_MAX&amp;" g C/m2/yr — check the basal age and the profile carbon. ",""))</f>
        <v/>
      </c>
      <c r="K234" s="14"/>
    </row>
    <row r="235" spans="1:11" ht="15.75" customHeight="1">
      <c r="A235" s="16" t="str">
        <f t="array" ref="A235">IF(INDEX('2. Core Log'!$A$5:$A$124,ROW()-209)="","",INDEX('2. Core Log'!$A$5:$A$124,ROW()-209))</f>
        <v/>
      </c>
      <c r="B235" s="16" t="str">
        <f>IF($A235="","",IF(SUMPRODUCT(('4. Chronology'!$A$5:$A$204=$A235)*'4. Chronology'!$C$5:$C$204)=0,"",SUMPRODUCT(MAX(('4. Chronology'!$A$5:$A$204=$A235)*'4. Chronology'!$C$5:$C$204))))</f>
        <v/>
      </c>
      <c r="C235" s="16" t="str">
        <f t="array" ref="C235">IF($A235="","",IFERROR(INDEX('2. Core Log'!$R$5:$R$124,MATCH($A235,'2. Core Log'!$A$5:$A$124,0)),""))</f>
        <v/>
      </c>
      <c r="D235" s="23" t="str">
        <f t="shared" si="1"/>
        <v/>
      </c>
      <c r="E235" s="16" t="str">
        <f>IF($A235="","",IF(SUMPRODUCT(('4. Chronology'!$A$5:$A$204=$A235)*'4. Chronology'!$J$5:$J$204*'4. Chronology'!$B$5:$B$204)=0,"",SUMPRODUCT(MAX(('4. Chronology'!$A$5:$A$204=$A235)*'4. Chronology'!$J$5:$J$204*'4. Chronology'!$B$5:$B$204))))</f>
        <v/>
      </c>
      <c r="F235" s="16" t="str">
        <f>IF(NOT(ISNUMBER($E235)),"",SUMIFS('4. Chronology'!$C$5:$C$204,'4. Chronology'!$A$5:$A$204,$A235,'4. Chronology'!$B$5:$B$204,$E235))</f>
        <v/>
      </c>
      <c r="G235" s="16" t="str">
        <f>IF(NOT(ISNUMBER($E235)),"",SUMIFS('4. Chronology'!$F$5:$F$204,'4. Chronology'!$A$5:$A$204,$A235,'4. Chronology'!$B$5:$B$204,$E235))</f>
        <v/>
      </c>
      <c r="H235" s="23" t="str">
        <f t="shared" si="2"/>
        <v/>
      </c>
      <c r="I235" s="16" t="str">
        <f t="shared" si="3"/>
        <v/>
      </c>
      <c r="J235" s="16" t="str">
        <f t="array" ref="J235">IF($A235="","",IF(NOT(ISNUMBER($B235)),"No dated horizons for this core — LORCA cannot be calculated. ","")&amp;IF(AND(ISNUMBER($B235),NOT(ISNUMBER($E235))),"No Pb-210 or Cs-137 horizon — RERCA cannot be calculated. ","")&amp;IF(IFERROR(INDEX('2. Core Log'!$L$5:$L$124,MATCH($A235,'2. Core Log'!$A$5:$A$124,0)),"")="No","Core did not reach the mineral contact, so LORCA is based on a partial profile and is a MINIMUM. ","")&amp;IF(AND(ISNUMBER($I235),$I235&gt;1.2),"RERCA is "&amp;TEXT($I235,"0.0")&amp;"x LORCA. This is EXPECTED, not a finding: near-surface peat has not finished decomposing, so recent rates always look higher. Do not report it as accelerating sequestration. ","")&amp;IF(AND(ISNUMBER($D235),OR($D235&lt;LORCA_MIN,$D235&gt;LORCA_MAX)),"LORCA outside the published range of "&amp;LORCA_MIN&amp;"-"&amp;LORCA_MAX&amp;" g C/m2/yr — check the basal age and the profile carbon. ",""))</f>
        <v/>
      </c>
      <c r="K235" s="14"/>
    </row>
    <row r="236" spans="1:11" ht="15.75" customHeight="1">
      <c r="A236" s="16" t="str">
        <f t="array" ref="A236">IF(INDEX('2. Core Log'!$A$5:$A$124,ROW()-209)="","",INDEX('2. Core Log'!$A$5:$A$124,ROW()-209))</f>
        <v/>
      </c>
      <c r="B236" s="16" t="str">
        <f>IF($A236="","",IF(SUMPRODUCT(('4. Chronology'!$A$5:$A$204=$A236)*'4. Chronology'!$C$5:$C$204)=0,"",SUMPRODUCT(MAX(('4. Chronology'!$A$5:$A$204=$A236)*'4. Chronology'!$C$5:$C$204))))</f>
        <v/>
      </c>
      <c r="C236" s="16" t="str">
        <f t="array" ref="C236">IF($A236="","",IFERROR(INDEX('2. Core Log'!$R$5:$R$124,MATCH($A236,'2. Core Log'!$A$5:$A$124,0)),""))</f>
        <v/>
      </c>
      <c r="D236" s="23" t="str">
        <f t="shared" si="1"/>
        <v/>
      </c>
      <c r="E236" s="16" t="str">
        <f>IF($A236="","",IF(SUMPRODUCT(('4. Chronology'!$A$5:$A$204=$A236)*'4. Chronology'!$J$5:$J$204*'4. Chronology'!$B$5:$B$204)=0,"",SUMPRODUCT(MAX(('4. Chronology'!$A$5:$A$204=$A236)*'4. Chronology'!$J$5:$J$204*'4. Chronology'!$B$5:$B$204))))</f>
        <v/>
      </c>
      <c r="F236" s="16" t="str">
        <f>IF(NOT(ISNUMBER($E236)),"",SUMIFS('4. Chronology'!$C$5:$C$204,'4. Chronology'!$A$5:$A$204,$A236,'4. Chronology'!$B$5:$B$204,$E236))</f>
        <v/>
      </c>
      <c r="G236" s="16" t="str">
        <f>IF(NOT(ISNUMBER($E236)),"",SUMIFS('4. Chronology'!$F$5:$F$204,'4. Chronology'!$A$5:$A$204,$A236,'4. Chronology'!$B$5:$B$204,$E236))</f>
        <v/>
      </c>
      <c r="H236" s="23" t="str">
        <f t="shared" si="2"/>
        <v/>
      </c>
      <c r="I236" s="16" t="str">
        <f t="shared" si="3"/>
        <v/>
      </c>
      <c r="J236" s="16" t="str">
        <f t="array" ref="J236">IF($A236="","",IF(NOT(ISNUMBER($B236)),"No dated horizons for this core — LORCA cannot be calculated. ","")&amp;IF(AND(ISNUMBER($B236),NOT(ISNUMBER($E236))),"No Pb-210 or Cs-137 horizon — RERCA cannot be calculated. ","")&amp;IF(IFERROR(INDEX('2. Core Log'!$L$5:$L$124,MATCH($A236,'2. Core Log'!$A$5:$A$124,0)),"")="No","Core did not reach the mineral contact, so LORCA is based on a partial profile and is a MINIMUM. ","")&amp;IF(AND(ISNUMBER($I236),$I236&gt;1.2),"RERCA is "&amp;TEXT($I236,"0.0")&amp;"x LORCA. This is EXPECTED, not a finding: near-surface peat has not finished decomposing, so recent rates always look higher. Do not report it as accelerating sequestration. ","")&amp;IF(AND(ISNUMBER($D236),OR($D236&lt;LORCA_MIN,$D236&gt;LORCA_MAX)),"LORCA outside the published range of "&amp;LORCA_MIN&amp;"-"&amp;LORCA_MAX&amp;" g C/m2/yr — check the basal age and the profile carbon. ",""))</f>
        <v/>
      </c>
      <c r="K236" s="14"/>
    </row>
    <row r="237" spans="1:11" ht="15.75" customHeight="1">
      <c r="A237" s="16" t="str">
        <f t="array" ref="A237">IF(INDEX('2. Core Log'!$A$5:$A$124,ROW()-209)="","",INDEX('2. Core Log'!$A$5:$A$124,ROW()-209))</f>
        <v/>
      </c>
      <c r="B237" s="16" t="str">
        <f>IF($A237="","",IF(SUMPRODUCT(('4. Chronology'!$A$5:$A$204=$A237)*'4. Chronology'!$C$5:$C$204)=0,"",SUMPRODUCT(MAX(('4. Chronology'!$A$5:$A$204=$A237)*'4. Chronology'!$C$5:$C$204))))</f>
        <v/>
      </c>
      <c r="C237" s="16" t="str">
        <f t="array" ref="C237">IF($A237="","",IFERROR(INDEX('2. Core Log'!$R$5:$R$124,MATCH($A237,'2. Core Log'!$A$5:$A$124,0)),""))</f>
        <v/>
      </c>
      <c r="D237" s="23" t="str">
        <f t="shared" si="1"/>
        <v/>
      </c>
      <c r="E237" s="16" t="str">
        <f>IF($A237="","",IF(SUMPRODUCT(('4. Chronology'!$A$5:$A$204=$A237)*'4. Chronology'!$J$5:$J$204*'4. Chronology'!$B$5:$B$204)=0,"",SUMPRODUCT(MAX(('4. Chronology'!$A$5:$A$204=$A237)*'4. Chronology'!$J$5:$J$204*'4. Chronology'!$B$5:$B$204))))</f>
        <v/>
      </c>
      <c r="F237" s="16" t="str">
        <f>IF(NOT(ISNUMBER($E237)),"",SUMIFS('4. Chronology'!$C$5:$C$204,'4. Chronology'!$A$5:$A$204,$A237,'4. Chronology'!$B$5:$B$204,$E237))</f>
        <v/>
      </c>
      <c r="G237" s="16" t="str">
        <f>IF(NOT(ISNUMBER($E237)),"",SUMIFS('4. Chronology'!$F$5:$F$204,'4. Chronology'!$A$5:$A$204,$A237,'4. Chronology'!$B$5:$B$204,$E237))</f>
        <v/>
      </c>
      <c r="H237" s="23" t="str">
        <f t="shared" si="2"/>
        <v/>
      </c>
      <c r="I237" s="16" t="str">
        <f t="shared" si="3"/>
        <v/>
      </c>
      <c r="J237" s="16" t="str">
        <f t="array" ref="J237">IF($A237="","",IF(NOT(ISNUMBER($B237)),"No dated horizons for this core — LORCA cannot be calculated. ","")&amp;IF(AND(ISNUMBER($B237),NOT(ISNUMBER($E237))),"No Pb-210 or Cs-137 horizon — RERCA cannot be calculated. ","")&amp;IF(IFERROR(INDEX('2. Core Log'!$L$5:$L$124,MATCH($A237,'2. Core Log'!$A$5:$A$124,0)),"")="No","Core did not reach the mineral contact, so LORCA is based on a partial profile and is a MINIMUM. ","")&amp;IF(AND(ISNUMBER($I237),$I237&gt;1.2),"RERCA is "&amp;TEXT($I237,"0.0")&amp;"x LORCA. This is EXPECTED, not a finding: near-surface peat has not finished decomposing, so recent rates always look higher. Do not report it as accelerating sequestration. ","")&amp;IF(AND(ISNUMBER($D237),OR($D237&lt;LORCA_MIN,$D237&gt;LORCA_MAX)),"LORCA outside the published range of "&amp;LORCA_MIN&amp;"-"&amp;LORCA_MAX&amp;" g C/m2/yr — check the basal age and the profile carbon. ",""))</f>
        <v/>
      </c>
      <c r="K237" s="14"/>
    </row>
    <row r="238" spans="1:11" ht="15.75" customHeight="1">
      <c r="A238" s="16" t="str">
        <f t="array" ref="A238">IF(INDEX('2. Core Log'!$A$5:$A$124,ROW()-209)="","",INDEX('2. Core Log'!$A$5:$A$124,ROW()-209))</f>
        <v/>
      </c>
      <c r="B238" s="16" t="str">
        <f>IF($A238="","",IF(SUMPRODUCT(('4. Chronology'!$A$5:$A$204=$A238)*'4. Chronology'!$C$5:$C$204)=0,"",SUMPRODUCT(MAX(('4. Chronology'!$A$5:$A$204=$A238)*'4. Chronology'!$C$5:$C$204))))</f>
        <v/>
      </c>
      <c r="C238" s="16" t="str">
        <f t="array" ref="C238">IF($A238="","",IFERROR(INDEX('2. Core Log'!$R$5:$R$124,MATCH($A238,'2. Core Log'!$A$5:$A$124,0)),""))</f>
        <v/>
      </c>
      <c r="D238" s="23" t="str">
        <f t="shared" si="1"/>
        <v/>
      </c>
      <c r="E238" s="16" t="str">
        <f>IF($A238="","",IF(SUMPRODUCT(('4. Chronology'!$A$5:$A$204=$A238)*'4. Chronology'!$J$5:$J$204*'4. Chronology'!$B$5:$B$204)=0,"",SUMPRODUCT(MAX(('4. Chronology'!$A$5:$A$204=$A238)*'4. Chronology'!$J$5:$J$204*'4. Chronology'!$B$5:$B$204))))</f>
        <v/>
      </c>
      <c r="F238" s="16" t="str">
        <f>IF(NOT(ISNUMBER($E238)),"",SUMIFS('4. Chronology'!$C$5:$C$204,'4. Chronology'!$A$5:$A$204,$A238,'4. Chronology'!$B$5:$B$204,$E238))</f>
        <v/>
      </c>
      <c r="G238" s="16" t="str">
        <f>IF(NOT(ISNUMBER($E238)),"",SUMIFS('4. Chronology'!$F$5:$F$204,'4. Chronology'!$A$5:$A$204,$A238,'4. Chronology'!$B$5:$B$204,$E238))</f>
        <v/>
      </c>
      <c r="H238" s="23" t="str">
        <f t="shared" si="2"/>
        <v/>
      </c>
      <c r="I238" s="16" t="str">
        <f t="shared" si="3"/>
        <v/>
      </c>
      <c r="J238" s="16" t="str">
        <f t="array" ref="J238">IF($A238="","",IF(NOT(ISNUMBER($B238)),"No dated horizons for this core — LORCA cannot be calculated. ","")&amp;IF(AND(ISNUMBER($B238),NOT(ISNUMBER($E238))),"No Pb-210 or Cs-137 horizon — RERCA cannot be calculated. ","")&amp;IF(IFERROR(INDEX('2. Core Log'!$L$5:$L$124,MATCH($A238,'2. Core Log'!$A$5:$A$124,0)),"")="No","Core did not reach the mineral contact, so LORCA is based on a partial profile and is a MINIMUM. ","")&amp;IF(AND(ISNUMBER($I238),$I238&gt;1.2),"RERCA is "&amp;TEXT($I238,"0.0")&amp;"x LORCA. This is EXPECTED, not a finding: near-surface peat has not finished decomposing, so recent rates always look higher. Do not report it as accelerating sequestration. ","")&amp;IF(AND(ISNUMBER($D238),OR($D238&lt;LORCA_MIN,$D238&gt;LORCA_MAX)),"LORCA outside the published range of "&amp;LORCA_MIN&amp;"-"&amp;LORCA_MAX&amp;" g C/m2/yr — check the basal age and the profile carbon. ",""))</f>
        <v/>
      </c>
      <c r="K238" s="14"/>
    </row>
    <row r="239" spans="1:11" ht="15.75" customHeight="1">
      <c r="A239" s="16" t="str">
        <f t="array" ref="A239">IF(INDEX('2. Core Log'!$A$5:$A$124,ROW()-209)="","",INDEX('2. Core Log'!$A$5:$A$124,ROW()-209))</f>
        <v/>
      </c>
      <c r="B239" s="16" t="str">
        <f>IF($A239="","",IF(SUMPRODUCT(('4. Chronology'!$A$5:$A$204=$A239)*'4. Chronology'!$C$5:$C$204)=0,"",SUMPRODUCT(MAX(('4. Chronology'!$A$5:$A$204=$A239)*'4. Chronology'!$C$5:$C$204))))</f>
        <v/>
      </c>
      <c r="C239" s="16" t="str">
        <f t="array" ref="C239">IF($A239="","",IFERROR(INDEX('2. Core Log'!$R$5:$R$124,MATCH($A239,'2. Core Log'!$A$5:$A$124,0)),""))</f>
        <v/>
      </c>
      <c r="D239" s="23" t="str">
        <f t="shared" si="1"/>
        <v/>
      </c>
      <c r="E239" s="16" t="str">
        <f>IF($A239="","",IF(SUMPRODUCT(('4. Chronology'!$A$5:$A$204=$A239)*'4. Chronology'!$J$5:$J$204*'4. Chronology'!$B$5:$B$204)=0,"",SUMPRODUCT(MAX(('4. Chronology'!$A$5:$A$204=$A239)*'4. Chronology'!$J$5:$J$204*'4. Chronology'!$B$5:$B$204))))</f>
        <v/>
      </c>
      <c r="F239" s="16" t="str">
        <f>IF(NOT(ISNUMBER($E239)),"",SUMIFS('4. Chronology'!$C$5:$C$204,'4. Chronology'!$A$5:$A$204,$A239,'4. Chronology'!$B$5:$B$204,$E239))</f>
        <v/>
      </c>
      <c r="G239" s="16" t="str">
        <f>IF(NOT(ISNUMBER($E239)),"",SUMIFS('4. Chronology'!$F$5:$F$204,'4. Chronology'!$A$5:$A$204,$A239,'4. Chronology'!$B$5:$B$204,$E239))</f>
        <v/>
      </c>
      <c r="H239" s="23" t="str">
        <f t="shared" si="2"/>
        <v/>
      </c>
      <c r="I239" s="16" t="str">
        <f t="shared" si="3"/>
        <v/>
      </c>
      <c r="J239" s="16" t="str">
        <f t="array" ref="J239">IF($A239="","",IF(NOT(ISNUMBER($B239)),"No dated horizons for this core — LORCA cannot be calculated. ","")&amp;IF(AND(ISNUMBER($B239),NOT(ISNUMBER($E239))),"No Pb-210 or Cs-137 horizon — RERCA cannot be calculated. ","")&amp;IF(IFERROR(INDEX('2. Core Log'!$L$5:$L$124,MATCH($A239,'2. Core Log'!$A$5:$A$124,0)),"")="No","Core did not reach the mineral contact, so LORCA is based on a partial profile and is a MINIMUM. ","")&amp;IF(AND(ISNUMBER($I239),$I239&gt;1.2),"RERCA is "&amp;TEXT($I239,"0.0")&amp;"x LORCA. This is EXPECTED, not a finding: near-surface peat has not finished decomposing, so recent rates always look higher. Do not report it as accelerating sequestration. ","")&amp;IF(AND(ISNUMBER($D239),OR($D239&lt;LORCA_MIN,$D239&gt;LORCA_MAX)),"LORCA outside the published range of "&amp;LORCA_MIN&amp;"-"&amp;LORCA_MAX&amp;" g C/m2/yr — check the basal age and the profile carbon. ",""))</f>
        <v/>
      </c>
      <c r="K239" s="14"/>
    </row>
    <row r="240" spans="1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K2"/>
    <mergeCell ref="A207:K207"/>
    <mergeCell ref="A208:K208"/>
  </mergeCells>
  <dataValidations count="1">
    <dataValidation type="list" allowBlank="1" sqref="E5:E204" xr:uid="{00000000-0002-0000-0400-000000000000}">
      <formula1>"Pb-210 CRS,Pb-210 Plum,Pb-210 CFCS,Cs-137 (1963 peak),Cs-137 (1954 onset),C-14 calibrated,Stratigraphic marker,Other"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tabSelected="1"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5" sqref="B5:B12"/>
    </sheetView>
  </sheetViews>
  <sheetFormatPr defaultColWidth="14.453125" defaultRowHeight="15" customHeight="1"/>
  <cols>
    <col min="1" max="1" width="13" customWidth="1"/>
    <col min="2" max="2" width="24" customWidth="1"/>
    <col min="3" max="3" width="11" customWidth="1"/>
    <col min="4" max="4" width="16" customWidth="1"/>
    <col min="5" max="5" width="17" customWidth="1"/>
    <col min="6" max="6" width="15" customWidth="1"/>
    <col min="7" max="7" width="17" customWidth="1"/>
    <col min="8" max="8" width="46" customWidth="1"/>
    <col min="9" max="9" width="9" hidden="1" customWidth="1"/>
    <col min="10" max="10" width="7" hidden="1" customWidth="1"/>
    <col min="11" max="26" width="8.7265625" customWidth="1"/>
  </cols>
  <sheetData>
    <row r="1" spans="1:10" ht="18.5">
      <c r="A1" s="1" t="s">
        <v>142</v>
      </c>
    </row>
    <row r="2" spans="1:10" ht="54" customHeight="1">
      <c r="A2" s="43"/>
      <c r="B2" s="44"/>
      <c r="C2" s="44"/>
      <c r="D2" s="44"/>
      <c r="E2" s="44"/>
      <c r="F2" s="44"/>
      <c r="G2" s="44"/>
      <c r="H2" s="44"/>
      <c r="I2" s="44"/>
      <c r="J2" s="44"/>
    </row>
    <row r="4" spans="1:10" ht="42" customHeight="1">
      <c r="A4" s="5" t="s">
        <v>8</v>
      </c>
      <c r="B4" s="5" t="s">
        <v>12</v>
      </c>
      <c r="C4" s="5" t="s">
        <v>143</v>
      </c>
      <c r="D4" s="5" t="s">
        <v>144</v>
      </c>
      <c r="E4" s="5" t="s">
        <v>66</v>
      </c>
      <c r="F4" s="5" t="s">
        <v>145</v>
      </c>
      <c r="G4" s="5" t="s">
        <v>146</v>
      </c>
      <c r="H4" s="5" t="s">
        <v>70</v>
      </c>
      <c r="I4" s="5" t="s">
        <v>147</v>
      </c>
      <c r="J4" s="5" t="s">
        <v>148</v>
      </c>
    </row>
    <row r="5" spans="1:10" ht="64.5" customHeight="1">
      <c r="A5" s="7" t="s">
        <v>312</v>
      </c>
      <c r="B5" s="7" t="s">
        <v>320</v>
      </c>
      <c r="C5" s="19">
        <v>1</v>
      </c>
      <c r="D5" s="20" t="str">
        <f>IF(COUNTIFS('2. Core Log'!$B$5:$B$8,$A5,'2. Core Log'!$R$5:$R$8,"&gt;=0")&gt;0,SUMIFS('2. Core Log'!$R$5:$R$8,'2. Core Log'!$B$5:$B$8,$A5)/COUNTIFS('2. Core Log'!$B$5:$B$8,$A5,'2. Core Log'!$R$5:$R$8,"&gt;=0"),"")</f>
        <v/>
      </c>
      <c r="E5" s="20" t="str">
        <f>IF(COUNTIFS('2. Core Log'!$B$5:$B$8,$A5,'2. Core Log'!$S$5:$S$8,"&gt;=0")&gt;0,SUMIFS('2. Core Log'!$S$5:$S$8,'2. Core Log'!$B$5:$B$8,$A5)/COUNTIFS('2. Core Log'!$B$5:$B$8,$A5,'2. Core Log'!$S$5:$S$8,"&gt;=0"),"")</f>
        <v/>
      </c>
      <c r="F5" s="21"/>
      <c r="G5" s="22">
        <f t="shared" ref="G5:G64" si="0">IF($A5="","",IF(ISNUMBER($D5),$D5,0)+IF(ISNUMBER($F5),$F5,0))</f>
        <v>0</v>
      </c>
      <c r="H5" s="19" t="e">
        <f t="shared" ref="H5:H64" si="1">IF($A5="","",IF($C5=0,"No cores for this plot — it contributes nothing to the site mean. ","")&amp;IF(AND($C5&gt;0,$C5&lt;2),"Only one core in this plot. Bansal et al. recommend three or more per wetland. ","")&amp;IF(AND(ISNUMBER($D5),ISNUMBER($E5),$D5&gt;$E5*1.5),"Most of this plot's carbon lies below the reference depth — make sure your reporting says which number you are quoting. ",""))</f>
        <v>#VALUE!</v>
      </c>
      <c r="I5" s="18">
        <f t="shared" ref="I5:I64" si="2">IF(ISNUMBER($G5),$G5,0)</f>
        <v>0</v>
      </c>
      <c r="J5" s="16">
        <f t="shared" ref="J5:J64" si="3">IF(AND(ISNUMBER($G5),$A5&lt;&gt;""),1,0)</f>
        <v>1</v>
      </c>
    </row>
    <row r="6" spans="1:10" ht="64.5" customHeight="1">
      <c r="A6" s="7" t="s">
        <v>313</v>
      </c>
      <c r="B6" s="7" t="s">
        <v>321</v>
      </c>
      <c r="C6" s="19">
        <v>1</v>
      </c>
      <c r="D6" s="20" t="str">
        <f>IF(COUNTIFS('2. Core Log'!$B$5:$B$8,$A6,'2. Core Log'!$R$5:$R$8,"&gt;=0")&gt;0,SUMIFS('2. Core Log'!$R$5:$R$8,'2. Core Log'!$B$5:$B$8,$A6)/COUNTIFS('2. Core Log'!$B$5:$B$8,$A6,'2. Core Log'!$R$5:$R$8,"&gt;=0"),"")</f>
        <v/>
      </c>
      <c r="E6" s="20" t="str">
        <f>IF(COUNTIFS('2. Core Log'!$B$5:$B$8,$A6,'2. Core Log'!$S$5:$S$8,"&gt;=0")&gt;0,SUMIFS('2. Core Log'!$S$5:$S$8,'2. Core Log'!$B$5:$B$8,$A6)/COUNTIFS('2. Core Log'!$B$5:$B$8,$A6,'2. Core Log'!$S$5:$S$8,"&gt;=0"),"")</f>
        <v/>
      </c>
      <c r="F6" s="21"/>
      <c r="G6" s="22">
        <f t="shared" si="0"/>
        <v>0</v>
      </c>
      <c r="H6" s="19" t="e">
        <f t="shared" si="1"/>
        <v>#VALUE!</v>
      </c>
      <c r="I6" s="18">
        <f t="shared" si="2"/>
        <v>0</v>
      </c>
      <c r="J6" s="16">
        <f t="shared" si="3"/>
        <v>1</v>
      </c>
    </row>
    <row r="7" spans="1:10" ht="64.5" customHeight="1">
      <c r="A7" s="7" t="s">
        <v>314</v>
      </c>
      <c r="B7" s="7" t="s">
        <v>322</v>
      </c>
      <c r="C7" s="19">
        <v>1</v>
      </c>
      <c r="D7" s="20" t="str">
        <f>IF(COUNTIFS('2. Core Log'!$B$5:$B$8,$A7,'2. Core Log'!$R$5:$R$8,"&gt;=0")&gt;0,SUMIFS('2. Core Log'!$R$5:$R$8,'2. Core Log'!$B$5:$B$8,$A7)/COUNTIFS('2. Core Log'!$B$5:$B$8,$A7,'2. Core Log'!$R$5:$R$8,"&gt;=0"),"")</f>
        <v/>
      </c>
      <c r="E7" s="20" t="str">
        <f>IF(COUNTIFS('2. Core Log'!$B$5:$B$8,$A7,'2. Core Log'!$S$5:$S$8,"&gt;=0")&gt;0,SUMIFS('2. Core Log'!$S$5:$S$8,'2. Core Log'!$B$5:$B$8,$A7)/COUNTIFS('2. Core Log'!$B$5:$B$8,$A7,'2. Core Log'!$S$5:$S$8,"&gt;=0"),"")</f>
        <v/>
      </c>
      <c r="F7" s="21"/>
      <c r="G7" s="22">
        <f t="shared" si="0"/>
        <v>0</v>
      </c>
      <c r="H7" s="19"/>
      <c r="I7" s="18">
        <f t="shared" si="2"/>
        <v>0</v>
      </c>
      <c r="J7" s="16">
        <f t="shared" si="3"/>
        <v>1</v>
      </c>
    </row>
    <row r="8" spans="1:10" ht="64.5" customHeight="1">
      <c r="A8" s="7" t="s">
        <v>315</v>
      </c>
      <c r="B8" s="7" t="s">
        <v>315</v>
      </c>
      <c r="C8" s="19">
        <f>IF($A8="","",COUNTIFS('2. Core Log'!$B$5:$B$124,$A8))</f>
        <v>1</v>
      </c>
      <c r="D8" s="20">
        <f>IF(COUNTIFS('2. Core Log'!$B$5:$B$8,$A8,'2. Core Log'!$R$5:$R$8,"&gt;=0")&gt;0,SUMIFS('2. Core Log'!$R$5:$R$8,'2. Core Log'!$B$5:$B$8,$A8)/COUNTIFS('2. Core Log'!$B$5:$B$8,$A8,'2. Core Log'!$R$5:$R$8,"&gt;=0"),"")</f>
        <v>14.263004583199999</v>
      </c>
      <c r="E8" s="20">
        <f>IF(COUNTIFS('2. Core Log'!$B$5:$B$8,$A8,'2. Core Log'!$S$5:$S$8,"&gt;=0")&gt;0,SUMIFS('2. Core Log'!$S$5:$S$8,'2. Core Log'!$B$5:$B$8,$A8)/COUNTIFS('2. Core Log'!$B$5:$B$8,$A8,'2. Core Log'!$S$5:$S$8,"&gt;=0"),"")</f>
        <v>14.263004583199999</v>
      </c>
      <c r="F8" s="21"/>
      <c r="G8" s="22">
        <f t="shared" si="0"/>
        <v>14.263004583199999</v>
      </c>
      <c r="H8" s="19"/>
      <c r="I8" s="18">
        <f t="shared" si="2"/>
        <v>14.263004583199999</v>
      </c>
      <c r="J8" s="16">
        <f t="shared" si="3"/>
        <v>1</v>
      </c>
    </row>
    <row r="9" spans="1:10" ht="14.5">
      <c r="A9" s="14" t="s">
        <v>316</v>
      </c>
      <c r="B9" s="14" t="s">
        <v>316</v>
      </c>
      <c r="C9" s="16">
        <f>IF($A9="","",COUNTIFS('2. Core Log'!$B$5:$B$124,$A9))</f>
        <v>1</v>
      </c>
      <c r="D9" s="16">
        <f>IF(OR($A9="",$C9=0),"",IFERROR(AVERAGEIFS('2. Core Log'!$R$5:$R$124,'2. Core Log'!$B$5:$B$124,$A9),""))</f>
        <v>8.3815614381999985</v>
      </c>
      <c r="E9" s="16">
        <f>IF(OR($A9="",$C9=0),"",IFERROR(AVERAGEIFS('2. Core Log'!$S$5:$S$124,'2. Core Log'!$B$5:$B$124,$A9),""))</f>
        <v>8.3815614381999985</v>
      </c>
      <c r="F9" s="14"/>
      <c r="G9" s="23">
        <f t="shared" si="0"/>
        <v>8.3815614381999985</v>
      </c>
      <c r="H9" s="16"/>
      <c r="I9" s="16">
        <f t="shared" si="2"/>
        <v>8.3815614381999985</v>
      </c>
      <c r="J9" s="16">
        <f t="shared" si="3"/>
        <v>1</v>
      </c>
    </row>
    <row r="10" spans="1:10" ht="14.5">
      <c r="A10" s="14" t="s">
        <v>317</v>
      </c>
      <c r="B10" s="14" t="s">
        <v>317</v>
      </c>
      <c r="C10" s="16">
        <v>1</v>
      </c>
      <c r="D10" s="16">
        <f>IF(OR($A10="",$C10=0),"",IFERROR(AVERAGEIFS('2. Core Log'!$R$5:$R$124,'2. Core Log'!$B$5:$B$124,$A10),""))</f>
        <v>4.2223031185000002</v>
      </c>
      <c r="E10" s="16">
        <f>IF(OR($A10="",$C10=0),"",IFERROR(AVERAGEIFS('2. Core Log'!$S$5:$S$124,'2. Core Log'!$B$5:$B$124,$A10),""))</f>
        <v>4.2223031185000002</v>
      </c>
      <c r="F10" s="14"/>
      <c r="G10" s="23">
        <f t="shared" si="0"/>
        <v>4.2223031185000002</v>
      </c>
      <c r="H10" s="16"/>
      <c r="I10" s="16">
        <f t="shared" si="2"/>
        <v>4.2223031185000002</v>
      </c>
      <c r="J10" s="16">
        <f t="shared" si="3"/>
        <v>1</v>
      </c>
    </row>
    <row r="11" spans="1:10" ht="14.5">
      <c r="A11" s="14" t="s">
        <v>318</v>
      </c>
      <c r="B11" s="14" t="s">
        <v>317</v>
      </c>
      <c r="C11" s="16">
        <v>1</v>
      </c>
      <c r="D11" s="16" t="str">
        <f>IF(OR($A11="",$C11=0),"",IFERROR(AVERAGEIFS('2. Core Log'!$R$5:$R$124,'2. Core Log'!$B$5:$B$124,$A11),""))</f>
        <v/>
      </c>
      <c r="E11" s="16" t="str">
        <f>IF(OR($A11="",$C11=0),"",IFERROR(AVERAGEIFS('2. Core Log'!$S$5:$S$124,'2. Core Log'!$B$5:$B$124,$A11),""))</f>
        <v/>
      </c>
      <c r="F11" s="14"/>
      <c r="G11" s="23">
        <f t="shared" si="0"/>
        <v>0</v>
      </c>
      <c r="H11" s="16" t="e">
        <f t="shared" si="1"/>
        <v>#VALUE!</v>
      </c>
      <c r="I11" s="16">
        <f t="shared" si="2"/>
        <v>0</v>
      </c>
      <c r="J11" s="16">
        <f t="shared" si="3"/>
        <v>1</v>
      </c>
    </row>
    <row r="12" spans="1:10" ht="14.5">
      <c r="A12" s="14" t="s">
        <v>319</v>
      </c>
      <c r="B12" s="14" t="s">
        <v>319</v>
      </c>
      <c r="C12" s="16">
        <v>1</v>
      </c>
      <c r="D12" s="16" t="str">
        <f>IF(OR($A12="",$C12=0),"",IFERROR(AVERAGEIFS('2. Core Log'!$R$5:$R$124,'2. Core Log'!$B$5:$B$124,$A12),""))</f>
        <v/>
      </c>
      <c r="E12" s="16" t="str">
        <f>IF(OR($A12="",$C12=0),"",IFERROR(AVERAGEIFS('2. Core Log'!$S$5:$S$124,'2. Core Log'!$B$5:$B$124,$A12),""))</f>
        <v/>
      </c>
      <c r="F12" s="14"/>
      <c r="G12" s="23">
        <f t="shared" si="0"/>
        <v>0</v>
      </c>
      <c r="H12" s="16"/>
      <c r="I12" s="16">
        <f t="shared" si="2"/>
        <v>0</v>
      </c>
      <c r="J12" s="16">
        <f t="shared" si="3"/>
        <v>1</v>
      </c>
    </row>
    <row r="13" spans="1:10" ht="14.5">
      <c r="A13" s="16" t="str">
        <f t="array" ref="A13">IF(INDEX('1. Plot &amp; Site Log'!$A$5:$A$64,ROW()-4)="","",INDEX('1. Plot &amp; Site Log'!$A$5:$A$64,ROW()-4))</f>
        <v/>
      </c>
      <c r="B13" s="16" t="str">
        <f t="array" ref="B13">IF($A13="","",INDEX('1. Plot &amp; Site Log'!$B$5:$B$64,MATCH($A13,'1. Plot &amp; Site Log'!$A$5:$A$64,0)))</f>
        <v/>
      </c>
      <c r="C13" s="16" t="str">
        <f>IF($A13="","",COUNTIFS('2. Core Log'!$B$5:$B$124,$A13))</f>
        <v/>
      </c>
      <c r="D13" s="16" t="str">
        <f>IF(OR($A13="",$C13=0),"",IFERROR(AVERAGEIFS('2. Core Log'!$R$5:$R$124,'2. Core Log'!$B$5:$B$124,$A13),""))</f>
        <v/>
      </c>
      <c r="E13" s="16" t="str">
        <f>IF(OR($A13="",$C13=0),"",IFERROR(AVERAGEIFS('2. Core Log'!$S$5:$S$124,'2. Core Log'!$B$5:$B$124,$A13),""))</f>
        <v/>
      </c>
      <c r="F13" s="14"/>
      <c r="G13" s="23" t="str">
        <f t="shared" si="0"/>
        <v/>
      </c>
      <c r="H13" s="16" t="str">
        <f t="shared" si="1"/>
        <v/>
      </c>
      <c r="I13" s="16">
        <f t="shared" si="2"/>
        <v>0</v>
      </c>
      <c r="J13" s="16">
        <f t="shared" si="3"/>
        <v>0</v>
      </c>
    </row>
    <row r="14" spans="1:10" ht="14.5">
      <c r="A14" s="16" t="str">
        <f t="array" ref="A14">IF(INDEX('1. Plot &amp; Site Log'!$A$5:$A$64,ROW()-4)="","",INDEX('1. Plot &amp; Site Log'!$A$5:$A$64,ROW()-4))</f>
        <v/>
      </c>
      <c r="B14" s="16" t="str">
        <f t="array" ref="B14">IF($A14="","",INDEX('1. Plot &amp; Site Log'!$B$5:$B$64,MATCH($A14,'1. Plot &amp; Site Log'!$A$5:$A$64,0)))</f>
        <v/>
      </c>
      <c r="C14" s="16" t="str">
        <f>IF($A14="","",COUNTIFS('2. Core Log'!$B$5:$B$124,$A14))</f>
        <v/>
      </c>
      <c r="D14" s="16" t="str">
        <f>IF(OR($A14="",$C14=0),"",IFERROR(AVERAGEIFS('2. Core Log'!$R$5:$R$124,'2. Core Log'!$B$5:$B$124,$A14),""))</f>
        <v/>
      </c>
      <c r="E14" s="16" t="str">
        <f>IF(OR($A14="",$C14=0),"",IFERROR(AVERAGEIFS('2. Core Log'!$S$5:$S$124,'2. Core Log'!$B$5:$B$124,$A14),""))</f>
        <v/>
      </c>
      <c r="F14" s="14"/>
      <c r="G14" s="23" t="str">
        <f t="shared" si="0"/>
        <v/>
      </c>
      <c r="H14" s="16" t="str">
        <f t="shared" si="1"/>
        <v/>
      </c>
      <c r="I14" s="16">
        <f t="shared" si="2"/>
        <v>0</v>
      </c>
      <c r="J14" s="16">
        <f t="shared" si="3"/>
        <v>0</v>
      </c>
    </row>
    <row r="15" spans="1:10" ht="14.5">
      <c r="A15" s="16" t="str">
        <f t="array" ref="A15">IF(INDEX('1. Plot &amp; Site Log'!$A$5:$A$64,ROW()-4)="","",INDEX('1. Plot &amp; Site Log'!$A$5:$A$64,ROW()-4))</f>
        <v/>
      </c>
      <c r="B15" s="16" t="str">
        <f t="array" ref="B15">IF($A15="","",INDEX('1. Plot &amp; Site Log'!$B$5:$B$64,MATCH($A15,'1. Plot &amp; Site Log'!$A$5:$A$64,0)))</f>
        <v/>
      </c>
      <c r="C15" s="16" t="str">
        <f>IF($A15="","",COUNTIFS('2. Core Log'!$B$5:$B$124,$A15))</f>
        <v/>
      </c>
      <c r="D15" s="16" t="str">
        <f>IF(OR($A15="",$C15=0),"",IFERROR(AVERAGEIFS('2. Core Log'!$R$5:$R$124,'2. Core Log'!$B$5:$B$124,$A15),""))</f>
        <v/>
      </c>
      <c r="E15" s="16" t="str">
        <f>IF(OR($A15="",$C15=0),"",IFERROR(AVERAGEIFS('2. Core Log'!$S$5:$S$124,'2. Core Log'!$B$5:$B$124,$A15),""))</f>
        <v/>
      </c>
      <c r="F15" s="14"/>
      <c r="G15" s="23" t="str">
        <f t="shared" si="0"/>
        <v/>
      </c>
      <c r="H15" s="16" t="str">
        <f t="shared" si="1"/>
        <v/>
      </c>
      <c r="I15" s="16">
        <f t="shared" si="2"/>
        <v>0</v>
      </c>
      <c r="J15" s="16">
        <f t="shared" si="3"/>
        <v>0</v>
      </c>
    </row>
    <row r="16" spans="1:10" ht="14.5">
      <c r="A16" s="16" t="str">
        <f t="array" ref="A16">IF(INDEX('1. Plot &amp; Site Log'!$A$5:$A$64,ROW()-4)="","",INDEX('1. Plot &amp; Site Log'!$A$5:$A$64,ROW()-4))</f>
        <v/>
      </c>
      <c r="B16" s="16" t="str">
        <f t="array" ref="B16">IF($A16="","",INDEX('1. Plot &amp; Site Log'!$B$5:$B$64,MATCH($A16,'1. Plot &amp; Site Log'!$A$5:$A$64,0)))</f>
        <v/>
      </c>
      <c r="C16" s="16" t="str">
        <f>IF($A16="","",COUNTIFS('2. Core Log'!$B$5:$B$124,$A16))</f>
        <v/>
      </c>
      <c r="D16" s="16" t="str">
        <f>IF(OR($A16="",$C16=0),"",IFERROR(AVERAGEIFS('2. Core Log'!$R$5:$R$124,'2. Core Log'!$B$5:$B$124,$A16),""))</f>
        <v/>
      </c>
      <c r="E16" s="16" t="str">
        <f>IF(OR($A16="",$C16=0),"",IFERROR(AVERAGEIFS('2. Core Log'!$S$5:$S$124,'2. Core Log'!$B$5:$B$124,$A16),""))</f>
        <v/>
      </c>
      <c r="F16" s="14"/>
      <c r="G16" s="23" t="str">
        <f t="shared" si="0"/>
        <v/>
      </c>
      <c r="H16" s="16" t="str">
        <f t="shared" si="1"/>
        <v/>
      </c>
      <c r="I16" s="16">
        <f t="shared" si="2"/>
        <v>0</v>
      </c>
      <c r="J16" s="16">
        <f t="shared" si="3"/>
        <v>0</v>
      </c>
    </row>
    <row r="17" spans="1:10" ht="14.5">
      <c r="A17" s="16" t="str">
        <f t="array" ref="A17">IF(INDEX('1. Plot &amp; Site Log'!$A$5:$A$64,ROW()-4)="","",INDEX('1. Plot &amp; Site Log'!$A$5:$A$64,ROW()-4))</f>
        <v/>
      </c>
      <c r="B17" s="16" t="str">
        <f t="array" ref="B17">IF($A17="","",INDEX('1. Plot &amp; Site Log'!$B$5:$B$64,MATCH($A17,'1. Plot &amp; Site Log'!$A$5:$A$64,0)))</f>
        <v/>
      </c>
      <c r="C17" s="16" t="str">
        <f>IF($A17="","",COUNTIFS('2. Core Log'!$B$5:$B$124,$A17))</f>
        <v/>
      </c>
      <c r="D17" s="16" t="str">
        <f>IF(OR($A17="",$C17=0),"",IFERROR(AVERAGEIFS('2. Core Log'!$R$5:$R$124,'2. Core Log'!$B$5:$B$124,$A17),""))</f>
        <v/>
      </c>
      <c r="E17" s="16" t="str">
        <f>IF(OR($A17="",$C17=0),"",IFERROR(AVERAGEIFS('2. Core Log'!$S$5:$S$124,'2. Core Log'!$B$5:$B$124,$A17),""))</f>
        <v/>
      </c>
      <c r="F17" s="14"/>
      <c r="G17" s="23" t="str">
        <f t="shared" si="0"/>
        <v/>
      </c>
      <c r="H17" s="16" t="str">
        <f t="shared" si="1"/>
        <v/>
      </c>
      <c r="I17" s="16">
        <f t="shared" si="2"/>
        <v>0</v>
      </c>
      <c r="J17" s="16">
        <f t="shared" si="3"/>
        <v>0</v>
      </c>
    </row>
    <row r="18" spans="1:10" ht="14.5">
      <c r="A18" s="16" t="str">
        <f t="array" ref="A18">IF(INDEX('1. Plot &amp; Site Log'!$A$5:$A$64,ROW()-4)="","",INDEX('1. Plot &amp; Site Log'!$A$5:$A$64,ROW()-4))</f>
        <v/>
      </c>
      <c r="B18" s="16" t="str">
        <f t="array" ref="B18">IF($A18="","",INDEX('1. Plot &amp; Site Log'!$B$5:$B$64,MATCH($A18,'1. Plot &amp; Site Log'!$A$5:$A$64,0)))</f>
        <v/>
      </c>
      <c r="C18" s="16" t="str">
        <f>IF($A18="","",COUNTIFS('2. Core Log'!$B$5:$B$124,$A18))</f>
        <v/>
      </c>
      <c r="D18" s="16" t="str">
        <f>IF(OR($A18="",$C18=0),"",IFERROR(AVERAGEIFS('2. Core Log'!$R$5:$R$124,'2. Core Log'!$B$5:$B$124,$A18),""))</f>
        <v/>
      </c>
      <c r="E18" s="16" t="str">
        <f>IF(OR($A18="",$C18=0),"",IFERROR(AVERAGEIFS('2. Core Log'!$S$5:$S$124,'2. Core Log'!$B$5:$B$124,$A18),""))</f>
        <v/>
      </c>
      <c r="F18" s="14"/>
      <c r="G18" s="23" t="str">
        <f t="shared" si="0"/>
        <v/>
      </c>
      <c r="H18" s="16" t="str">
        <f t="shared" si="1"/>
        <v/>
      </c>
      <c r="I18" s="16">
        <f t="shared" si="2"/>
        <v>0</v>
      </c>
      <c r="J18" s="16">
        <f t="shared" si="3"/>
        <v>0</v>
      </c>
    </row>
    <row r="19" spans="1:10" ht="14.5">
      <c r="A19" s="16" t="str">
        <f t="array" ref="A19">IF(INDEX('1. Plot &amp; Site Log'!$A$5:$A$64,ROW()-4)="","",INDEX('1. Plot &amp; Site Log'!$A$5:$A$64,ROW()-4))</f>
        <v/>
      </c>
      <c r="B19" s="16" t="str">
        <f t="array" ref="B19">IF($A19="","",INDEX('1. Plot &amp; Site Log'!$B$5:$B$64,MATCH($A19,'1. Plot &amp; Site Log'!$A$5:$A$64,0)))</f>
        <v/>
      </c>
      <c r="C19" s="16" t="str">
        <f>IF($A19="","",COUNTIFS('2. Core Log'!$B$5:$B$124,$A19))</f>
        <v/>
      </c>
      <c r="D19" s="16" t="str">
        <f>IF(OR($A19="",$C19=0),"",IFERROR(AVERAGEIFS('2. Core Log'!$R$5:$R$124,'2. Core Log'!$B$5:$B$124,$A19),""))</f>
        <v/>
      </c>
      <c r="E19" s="16" t="str">
        <f>IF(OR($A19="",$C19=0),"",IFERROR(AVERAGEIFS('2. Core Log'!$S$5:$S$124,'2. Core Log'!$B$5:$B$124,$A19),""))</f>
        <v/>
      </c>
      <c r="F19" s="14"/>
      <c r="G19" s="23" t="str">
        <f t="shared" si="0"/>
        <v/>
      </c>
      <c r="H19" s="16" t="str">
        <f t="shared" si="1"/>
        <v/>
      </c>
      <c r="I19" s="16">
        <f t="shared" si="2"/>
        <v>0</v>
      </c>
      <c r="J19" s="16">
        <f t="shared" si="3"/>
        <v>0</v>
      </c>
    </row>
    <row r="20" spans="1:10" ht="14.5">
      <c r="A20" s="16" t="str">
        <f t="array" ref="A20">IF(INDEX('1. Plot &amp; Site Log'!$A$5:$A$64,ROW()-4)="","",INDEX('1. Plot &amp; Site Log'!$A$5:$A$64,ROW()-4))</f>
        <v/>
      </c>
      <c r="B20" s="16" t="str">
        <f t="array" ref="B20">IF($A20="","",INDEX('1. Plot &amp; Site Log'!$B$5:$B$64,MATCH($A20,'1. Plot &amp; Site Log'!$A$5:$A$64,0)))</f>
        <v/>
      </c>
      <c r="C20" s="16" t="str">
        <f>IF($A20="","",COUNTIFS('2. Core Log'!$B$5:$B$124,$A20))</f>
        <v/>
      </c>
      <c r="D20" s="16" t="str">
        <f>IF(OR($A20="",$C20=0),"",IFERROR(AVERAGEIFS('2. Core Log'!$R$5:$R$124,'2. Core Log'!$B$5:$B$124,$A20),""))</f>
        <v/>
      </c>
      <c r="E20" s="16" t="str">
        <f>IF(OR($A20="",$C20=0),"",IFERROR(AVERAGEIFS('2. Core Log'!$S$5:$S$124,'2. Core Log'!$B$5:$B$124,$A20),""))</f>
        <v/>
      </c>
      <c r="F20" s="14"/>
      <c r="G20" s="23" t="str">
        <f t="shared" si="0"/>
        <v/>
      </c>
      <c r="H20" s="16" t="str">
        <f t="shared" si="1"/>
        <v/>
      </c>
      <c r="I20" s="16">
        <f t="shared" si="2"/>
        <v>0</v>
      </c>
      <c r="J20" s="16">
        <f t="shared" si="3"/>
        <v>0</v>
      </c>
    </row>
    <row r="21" spans="1:10" ht="15.75" customHeight="1">
      <c r="A21" s="16" t="str">
        <f t="array" ref="A21">IF(INDEX('1. Plot &amp; Site Log'!$A$5:$A$64,ROW()-4)="","",INDEX('1. Plot &amp; Site Log'!$A$5:$A$64,ROW()-4))</f>
        <v/>
      </c>
      <c r="B21" s="16" t="str">
        <f t="array" ref="B21">IF($A21="","",INDEX('1. Plot &amp; Site Log'!$B$5:$B$64,MATCH($A21,'1. Plot &amp; Site Log'!$A$5:$A$64,0)))</f>
        <v/>
      </c>
      <c r="C21" s="16" t="str">
        <f>IF($A21="","",COUNTIFS('2. Core Log'!$B$5:$B$124,$A21))</f>
        <v/>
      </c>
      <c r="D21" s="16" t="str">
        <f>IF(OR($A21="",$C21=0),"",IFERROR(AVERAGEIFS('2. Core Log'!$R$5:$R$124,'2. Core Log'!$B$5:$B$124,$A21),""))</f>
        <v/>
      </c>
      <c r="E21" s="16" t="str">
        <f>IF(OR($A21="",$C21=0),"",IFERROR(AVERAGEIFS('2. Core Log'!$S$5:$S$124,'2. Core Log'!$B$5:$B$124,$A21),""))</f>
        <v/>
      </c>
      <c r="F21" s="14"/>
      <c r="G21" s="23" t="str">
        <f t="shared" si="0"/>
        <v/>
      </c>
      <c r="H21" s="16" t="str">
        <f t="shared" si="1"/>
        <v/>
      </c>
      <c r="I21" s="16">
        <f t="shared" si="2"/>
        <v>0</v>
      </c>
      <c r="J21" s="16">
        <f t="shared" si="3"/>
        <v>0</v>
      </c>
    </row>
    <row r="22" spans="1:10" ht="15.75" customHeight="1">
      <c r="A22" s="16" t="str">
        <f t="array" ref="A22">IF(INDEX('1. Plot &amp; Site Log'!$A$5:$A$64,ROW()-4)="","",INDEX('1. Plot &amp; Site Log'!$A$5:$A$64,ROW()-4))</f>
        <v/>
      </c>
      <c r="B22" s="16" t="str">
        <f t="array" ref="B22">IF($A22="","",INDEX('1. Plot &amp; Site Log'!$B$5:$B$64,MATCH($A22,'1. Plot &amp; Site Log'!$A$5:$A$64,0)))</f>
        <v/>
      </c>
      <c r="C22" s="16" t="str">
        <f>IF($A22="","",COUNTIFS('2. Core Log'!$B$5:$B$124,$A22))</f>
        <v/>
      </c>
      <c r="D22" s="16" t="str">
        <f>IF(OR($A22="",$C22=0),"",IFERROR(AVERAGEIFS('2. Core Log'!$R$5:$R$124,'2. Core Log'!$B$5:$B$124,$A22),""))</f>
        <v/>
      </c>
      <c r="E22" s="16" t="str">
        <f>IF(OR($A22="",$C22=0),"",IFERROR(AVERAGEIFS('2. Core Log'!$S$5:$S$124,'2. Core Log'!$B$5:$B$124,$A22),""))</f>
        <v/>
      </c>
      <c r="F22" s="14"/>
      <c r="G22" s="23" t="str">
        <f t="shared" si="0"/>
        <v/>
      </c>
      <c r="H22" s="16" t="str">
        <f t="shared" si="1"/>
        <v/>
      </c>
      <c r="I22" s="16">
        <f t="shared" si="2"/>
        <v>0</v>
      </c>
      <c r="J22" s="16">
        <f t="shared" si="3"/>
        <v>0</v>
      </c>
    </row>
    <row r="23" spans="1:10" ht="15.75" customHeight="1">
      <c r="A23" s="16" t="str">
        <f t="array" ref="A23">IF(INDEX('1. Plot &amp; Site Log'!$A$5:$A$64,ROW()-4)="","",INDEX('1. Plot &amp; Site Log'!$A$5:$A$64,ROW()-4))</f>
        <v/>
      </c>
      <c r="B23" s="16" t="str">
        <f t="array" ref="B23">IF($A23="","",INDEX('1. Plot &amp; Site Log'!$B$5:$B$64,MATCH($A23,'1. Plot &amp; Site Log'!$A$5:$A$64,0)))</f>
        <v/>
      </c>
      <c r="C23" s="16" t="str">
        <f>IF($A23="","",COUNTIFS('2. Core Log'!$B$5:$B$124,$A23))</f>
        <v/>
      </c>
      <c r="D23" s="16" t="str">
        <f>IF(OR($A23="",$C23=0),"",IFERROR(AVERAGEIFS('2. Core Log'!$R$5:$R$124,'2. Core Log'!$B$5:$B$124,$A23),""))</f>
        <v/>
      </c>
      <c r="E23" s="16" t="str">
        <f>IF(OR($A23="",$C23=0),"",IFERROR(AVERAGEIFS('2. Core Log'!$S$5:$S$124,'2. Core Log'!$B$5:$B$124,$A23),""))</f>
        <v/>
      </c>
      <c r="F23" s="14"/>
      <c r="G23" s="23" t="str">
        <f t="shared" si="0"/>
        <v/>
      </c>
      <c r="H23" s="16" t="str">
        <f t="shared" si="1"/>
        <v/>
      </c>
      <c r="I23" s="16">
        <f t="shared" si="2"/>
        <v>0</v>
      </c>
      <c r="J23" s="16">
        <f t="shared" si="3"/>
        <v>0</v>
      </c>
    </row>
    <row r="24" spans="1:10" ht="15.75" customHeight="1">
      <c r="A24" s="16" t="str">
        <f t="array" ref="A24">IF(INDEX('1. Plot &amp; Site Log'!$A$5:$A$64,ROW()-4)="","",INDEX('1. Plot &amp; Site Log'!$A$5:$A$64,ROW()-4))</f>
        <v/>
      </c>
      <c r="B24" s="16" t="str">
        <f t="array" ref="B24">IF($A24="","",INDEX('1. Plot &amp; Site Log'!$B$5:$B$64,MATCH($A24,'1. Plot &amp; Site Log'!$A$5:$A$64,0)))</f>
        <v/>
      </c>
      <c r="C24" s="16" t="str">
        <f>IF($A24="","",COUNTIFS('2. Core Log'!$B$5:$B$124,$A24))</f>
        <v/>
      </c>
      <c r="D24" s="16" t="str">
        <f>IF(OR($A24="",$C24=0),"",IFERROR(AVERAGEIFS('2. Core Log'!$R$5:$R$124,'2. Core Log'!$B$5:$B$124,$A24),""))</f>
        <v/>
      </c>
      <c r="E24" s="16" t="str">
        <f>IF(OR($A24="",$C24=0),"",IFERROR(AVERAGEIFS('2. Core Log'!$S$5:$S$124,'2. Core Log'!$B$5:$B$124,$A24),""))</f>
        <v/>
      </c>
      <c r="F24" s="14"/>
      <c r="G24" s="23" t="str">
        <f t="shared" si="0"/>
        <v/>
      </c>
      <c r="H24" s="16" t="str">
        <f t="shared" si="1"/>
        <v/>
      </c>
      <c r="I24" s="16">
        <f t="shared" si="2"/>
        <v>0</v>
      </c>
      <c r="J24" s="16">
        <f t="shared" si="3"/>
        <v>0</v>
      </c>
    </row>
    <row r="25" spans="1:10" ht="15.75" customHeight="1">
      <c r="A25" s="16" t="str">
        <f t="array" ref="A25">IF(INDEX('1. Plot &amp; Site Log'!$A$5:$A$64,ROW()-4)="","",INDEX('1. Plot &amp; Site Log'!$A$5:$A$64,ROW()-4))</f>
        <v/>
      </c>
      <c r="B25" s="16" t="str">
        <f t="array" ref="B25">IF($A25="","",INDEX('1. Plot &amp; Site Log'!$B$5:$B$64,MATCH($A25,'1. Plot &amp; Site Log'!$A$5:$A$64,0)))</f>
        <v/>
      </c>
      <c r="C25" s="16" t="str">
        <f>IF($A25="","",COUNTIFS('2. Core Log'!$B$5:$B$124,$A25))</f>
        <v/>
      </c>
      <c r="D25" s="16" t="str">
        <f>IF(OR($A25="",$C25=0),"",IFERROR(AVERAGEIFS('2. Core Log'!$R$5:$R$124,'2. Core Log'!$B$5:$B$124,$A25),""))</f>
        <v/>
      </c>
      <c r="E25" s="16" t="str">
        <f>IF(OR($A25="",$C25=0),"",IFERROR(AVERAGEIFS('2. Core Log'!$S$5:$S$124,'2. Core Log'!$B$5:$B$124,$A25),""))</f>
        <v/>
      </c>
      <c r="F25" s="14"/>
      <c r="G25" s="23" t="str">
        <f t="shared" si="0"/>
        <v/>
      </c>
      <c r="H25" s="16" t="str">
        <f t="shared" si="1"/>
        <v/>
      </c>
      <c r="I25" s="16">
        <f t="shared" si="2"/>
        <v>0</v>
      </c>
      <c r="J25" s="16">
        <f t="shared" si="3"/>
        <v>0</v>
      </c>
    </row>
    <row r="26" spans="1:10" ht="15.75" customHeight="1">
      <c r="A26" s="16" t="str">
        <f t="array" ref="A26">IF(INDEX('1. Plot &amp; Site Log'!$A$5:$A$64,ROW()-4)="","",INDEX('1. Plot &amp; Site Log'!$A$5:$A$64,ROW()-4))</f>
        <v/>
      </c>
      <c r="B26" s="16" t="str">
        <f t="array" ref="B26">IF($A26="","",INDEX('1. Plot &amp; Site Log'!$B$5:$B$64,MATCH($A26,'1. Plot &amp; Site Log'!$A$5:$A$64,0)))</f>
        <v/>
      </c>
      <c r="C26" s="16" t="str">
        <f>IF($A26="","",COUNTIFS('2. Core Log'!$B$5:$B$124,$A26))</f>
        <v/>
      </c>
      <c r="D26" s="16" t="str">
        <f>IF(OR($A26="",$C26=0),"",IFERROR(AVERAGEIFS('2. Core Log'!$R$5:$R$124,'2. Core Log'!$B$5:$B$124,$A26),""))</f>
        <v/>
      </c>
      <c r="E26" s="16" t="str">
        <f>IF(OR($A26="",$C26=0),"",IFERROR(AVERAGEIFS('2. Core Log'!$S$5:$S$124,'2. Core Log'!$B$5:$B$124,$A26),""))</f>
        <v/>
      </c>
      <c r="F26" s="14"/>
      <c r="G26" s="23" t="str">
        <f t="shared" si="0"/>
        <v/>
      </c>
      <c r="H26" s="16" t="str">
        <f t="shared" si="1"/>
        <v/>
      </c>
      <c r="I26" s="16">
        <f t="shared" si="2"/>
        <v>0</v>
      </c>
      <c r="J26" s="16">
        <f t="shared" si="3"/>
        <v>0</v>
      </c>
    </row>
    <row r="27" spans="1:10" ht="15.75" customHeight="1">
      <c r="A27" s="16" t="str">
        <f t="array" ref="A27">IF(INDEX('1. Plot &amp; Site Log'!$A$5:$A$64,ROW()-4)="","",INDEX('1. Plot &amp; Site Log'!$A$5:$A$64,ROW()-4))</f>
        <v/>
      </c>
      <c r="B27" s="16" t="str">
        <f t="array" ref="B27">IF($A27="","",INDEX('1. Plot &amp; Site Log'!$B$5:$B$64,MATCH($A27,'1. Plot &amp; Site Log'!$A$5:$A$64,0)))</f>
        <v/>
      </c>
      <c r="C27" s="16" t="str">
        <f>IF($A27="","",COUNTIFS('2. Core Log'!$B$5:$B$124,$A27))</f>
        <v/>
      </c>
      <c r="D27" s="16" t="str">
        <f>IF(OR($A27="",$C27=0),"",IFERROR(AVERAGEIFS('2. Core Log'!$R$5:$R$124,'2. Core Log'!$B$5:$B$124,$A27),""))</f>
        <v/>
      </c>
      <c r="E27" s="16" t="str">
        <f>IF(OR($A27="",$C27=0),"",IFERROR(AVERAGEIFS('2. Core Log'!$S$5:$S$124,'2. Core Log'!$B$5:$B$124,$A27),""))</f>
        <v/>
      </c>
      <c r="F27" s="14"/>
      <c r="G27" s="23" t="str">
        <f t="shared" si="0"/>
        <v/>
      </c>
      <c r="H27" s="16" t="str">
        <f t="shared" si="1"/>
        <v/>
      </c>
      <c r="I27" s="16">
        <f t="shared" si="2"/>
        <v>0</v>
      </c>
      <c r="J27" s="16">
        <f t="shared" si="3"/>
        <v>0</v>
      </c>
    </row>
    <row r="28" spans="1:10" ht="15.75" customHeight="1">
      <c r="A28" s="16" t="str">
        <f t="array" ref="A28">IF(INDEX('1. Plot &amp; Site Log'!$A$5:$A$64,ROW()-4)="","",INDEX('1. Plot &amp; Site Log'!$A$5:$A$64,ROW()-4))</f>
        <v/>
      </c>
      <c r="B28" s="16" t="str">
        <f t="array" ref="B28">IF($A28="","",INDEX('1. Plot &amp; Site Log'!$B$5:$B$64,MATCH($A28,'1. Plot &amp; Site Log'!$A$5:$A$64,0)))</f>
        <v/>
      </c>
      <c r="C28" s="16" t="str">
        <f>IF($A28="","",COUNTIFS('2. Core Log'!$B$5:$B$124,$A28))</f>
        <v/>
      </c>
      <c r="D28" s="16" t="str">
        <f>IF(OR($A28="",$C28=0),"",IFERROR(AVERAGEIFS('2. Core Log'!$R$5:$R$124,'2. Core Log'!$B$5:$B$124,$A28),""))</f>
        <v/>
      </c>
      <c r="E28" s="16" t="str">
        <f>IF(OR($A28="",$C28=0),"",IFERROR(AVERAGEIFS('2. Core Log'!$S$5:$S$124,'2. Core Log'!$B$5:$B$124,$A28),""))</f>
        <v/>
      </c>
      <c r="F28" s="14"/>
      <c r="G28" s="23" t="str">
        <f t="shared" si="0"/>
        <v/>
      </c>
      <c r="H28" s="16" t="str">
        <f t="shared" si="1"/>
        <v/>
      </c>
      <c r="I28" s="16">
        <f t="shared" si="2"/>
        <v>0</v>
      </c>
      <c r="J28" s="16">
        <f t="shared" si="3"/>
        <v>0</v>
      </c>
    </row>
    <row r="29" spans="1:10" ht="15.75" customHeight="1">
      <c r="A29" s="16" t="str">
        <f t="array" ref="A29">IF(INDEX('1. Plot &amp; Site Log'!$A$5:$A$64,ROW()-4)="","",INDEX('1. Plot &amp; Site Log'!$A$5:$A$64,ROW()-4))</f>
        <v/>
      </c>
      <c r="B29" s="16" t="str">
        <f t="array" ref="B29">IF($A29="","",INDEX('1. Plot &amp; Site Log'!$B$5:$B$64,MATCH($A29,'1. Plot &amp; Site Log'!$A$5:$A$64,0)))</f>
        <v/>
      </c>
      <c r="C29" s="16" t="str">
        <f>IF($A29="","",COUNTIFS('2. Core Log'!$B$5:$B$124,$A29))</f>
        <v/>
      </c>
      <c r="D29" s="16" t="str">
        <f>IF(OR($A29="",$C29=0),"",IFERROR(AVERAGEIFS('2. Core Log'!$R$5:$R$124,'2. Core Log'!$B$5:$B$124,$A29),""))</f>
        <v/>
      </c>
      <c r="E29" s="16" t="str">
        <f>IF(OR($A29="",$C29=0),"",IFERROR(AVERAGEIFS('2. Core Log'!$S$5:$S$124,'2. Core Log'!$B$5:$B$124,$A29),""))</f>
        <v/>
      </c>
      <c r="F29" s="14"/>
      <c r="G29" s="23" t="str">
        <f t="shared" si="0"/>
        <v/>
      </c>
      <c r="H29" s="16" t="str">
        <f t="shared" si="1"/>
        <v/>
      </c>
      <c r="I29" s="16">
        <f t="shared" si="2"/>
        <v>0</v>
      </c>
      <c r="J29" s="16">
        <f t="shared" si="3"/>
        <v>0</v>
      </c>
    </row>
    <row r="30" spans="1:10" ht="15.75" customHeight="1">
      <c r="A30" s="16" t="str">
        <f t="array" ref="A30">IF(INDEX('1. Plot &amp; Site Log'!$A$5:$A$64,ROW()-4)="","",INDEX('1. Plot &amp; Site Log'!$A$5:$A$64,ROW()-4))</f>
        <v/>
      </c>
      <c r="B30" s="16" t="str">
        <f t="array" ref="B30">IF($A30="","",INDEX('1. Plot &amp; Site Log'!$B$5:$B$64,MATCH($A30,'1. Plot &amp; Site Log'!$A$5:$A$64,0)))</f>
        <v/>
      </c>
      <c r="C30" s="16" t="str">
        <f>IF($A30="","",COUNTIFS('2. Core Log'!$B$5:$B$124,$A30))</f>
        <v/>
      </c>
      <c r="D30" s="16" t="str">
        <f>IF(OR($A30="",$C30=0),"",IFERROR(AVERAGEIFS('2. Core Log'!$R$5:$R$124,'2. Core Log'!$B$5:$B$124,$A30),""))</f>
        <v/>
      </c>
      <c r="E30" s="16" t="str">
        <f>IF(OR($A30="",$C30=0),"",IFERROR(AVERAGEIFS('2. Core Log'!$S$5:$S$124,'2. Core Log'!$B$5:$B$124,$A30),""))</f>
        <v/>
      </c>
      <c r="F30" s="14"/>
      <c r="G30" s="23" t="str">
        <f t="shared" si="0"/>
        <v/>
      </c>
      <c r="H30" s="16" t="str">
        <f t="shared" si="1"/>
        <v/>
      </c>
      <c r="I30" s="16">
        <f t="shared" si="2"/>
        <v>0</v>
      </c>
      <c r="J30" s="16">
        <f t="shared" si="3"/>
        <v>0</v>
      </c>
    </row>
    <row r="31" spans="1:10" ht="15.75" customHeight="1">
      <c r="A31" s="16" t="str">
        <f t="array" ref="A31">IF(INDEX('1. Plot &amp; Site Log'!$A$5:$A$64,ROW()-4)="","",INDEX('1. Plot &amp; Site Log'!$A$5:$A$64,ROW()-4))</f>
        <v/>
      </c>
      <c r="B31" s="16" t="str">
        <f t="array" ref="B31">IF($A31="","",INDEX('1. Plot &amp; Site Log'!$B$5:$B$64,MATCH($A31,'1. Plot &amp; Site Log'!$A$5:$A$64,0)))</f>
        <v/>
      </c>
      <c r="C31" s="16" t="str">
        <f>IF($A31="","",COUNTIFS('2. Core Log'!$B$5:$B$124,$A31))</f>
        <v/>
      </c>
      <c r="D31" s="16" t="str">
        <f>IF(OR($A31="",$C31=0),"",IFERROR(AVERAGEIFS('2. Core Log'!$R$5:$R$124,'2. Core Log'!$B$5:$B$124,$A31),""))</f>
        <v/>
      </c>
      <c r="E31" s="16" t="str">
        <f>IF(OR($A31="",$C31=0),"",IFERROR(AVERAGEIFS('2. Core Log'!$S$5:$S$124,'2. Core Log'!$B$5:$B$124,$A31),""))</f>
        <v/>
      </c>
      <c r="F31" s="14"/>
      <c r="G31" s="23" t="str">
        <f t="shared" si="0"/>
        <v/>
      </c>
      <c r="H31" s="16" t="str">
        <f t="shared" si="1"/>
        <v/>
      </c>
      <c r="I31" s="16">
        <f t="shared" si="2"/>
        <v>0</v>
      </c>
      <c r="J31" s="16">
        <f t="shared" si="3"/>
        <v>0</v>
      </c>
    </row>
    <row r="32" spans="1:10" ht="15.75" customHeight="1">
      <c r="A32" s="16" t="str">
        <f t="array" ref="A32">IF(INDEX('1. Plot &amp; Site Log'!$A$5:$A$64,ROW()-4)="","",INDEX('1. Plot &amp; Site Log'!$A$5:$A$64,ROW()-4))</f>
        <v/>
      </c>
      <c r="B32" s="16" t="str">
        <f t="array" ref="B32">IF($A32="","",INDEX('1. Plot &amp; Site Log'!$B$5:$B$64,MATCH($A32,'1. Plot &amp; Site Log'!$A$5:$A$64,0)))</f>
        <v/>
      </c>
      <c r="C32" s="16" t="str">
        <f>IF($A32="","",COUNTIFS('2. Core Log'!$B$5:$B$124,$A32))</f>
        <v/>
      </c>
      <c r="D32" s="16" t="str">
        <f>IF(OR($A32="",$C32=0),"",IFERROR(AVERAGEIFS('2. Core Log'!$R$5:$R$124,'2. Core Log'!$B$5:$B$124,$A32),""))</f>
        <v/>
      </c>
      <c r="E32" s="16" t="str">
        <f>IF(OR($A32="",$C32=0),"",IFERROR(AVERAGEIFS('2. Core Log'!$S$5:$S$124,'2. Core Log'!$B$5:$B$124,$A32),""))</f>
        <v/>
      </c>
      <c r="F32" s="14"/>
      <c r="G32" s="23" t="str">
        <f t="shared" si="0"/>
        <v/>
      </c>
      <c r="H32" s="16" t="str">
        <f t="shared" si="1"/>
        <v/>
      </c>
      <c r="I32" s="16">
        <f t="shared" si="2"/>
        <v>0</v>
      </c>
      <c r="J32" s="16">
        <f t="shared" si="3"/>
        <v>0</v>
      </c>
    </row>
    <row r="33" spans="1:10" ht="15.75" customHeight="1">
      <c r="A33" s="16" t="str">
        <f t="array" ref="A33">IF(INDEX('1. Plot &amp; Site Log'!$A$5:$A$64,ROW()-4)="","",INDEX('1. Plot &amp; Site Log'!$A$5:$A$64,ROW()-4))</f>
        <v/>
      </c>
      <c r="B33" s="16" t="str">
        <f t="array" ref="B33">IF($A33="","",INDEX('1. Plot &amp; Site Log'!$B$5:$B$64,MATCH($A33,'1. Plot &amp; Site Log'!$A$5:$A$64,0)))</f>
        <v/>
      </c>
      <c r="C33" s="16" t="str">
        <f>IF($A33="","",COUNTIFS('2. Core Log'!$B$5:$B$124,$A33))</f>
        <v/>
      </c>
      <c r="D33" s="16" t="str">
        <f>IF(OR($A33="",$C33=0),"",IFERROR(AVERAGEIFS('2. Core Log'!$R$5:$R$124,'2. Core Log'!$B$5:$B$124,$A33),""))</f>
        <v/>
      </c>
      <c r="E33" s="16" t="str">
        <f>IF(OR($A33="",$C33=0),"",IFERROR(AVERAGEIFS('2. Core Log'!$S$5:$S$124,'2. Core Log'!$B$5:$B$124,$A33),""))</f>
        <v/>
      </c>
      <c r="F33" s="14"/>
      <c r="G33" s="23" t="str">
        <f t="shared" si="0"/>
        <v/>
      </c>
      <c r="H33" s="16" t="str">
        <f t="shared" si="1"/>
        <v/>
      </c>
      <c r="I33" s="16">
        <f t="shared" si="2"/>
        <v>0</v>
      </c>
      <c r="J33" s="16">
        <f t="shared" si="3"/>
        <v>0</v>
      </c>
    </row>
    <row r="34" spans="1:10" ht="15.75" customHeight="1">
      <c r="A34" s="16" t="str">
        <f t="array" ref="A34">IF(INDEX('1. Plot &amp; Site Log'!$A$5:$A$64,ROW()-4)="","",INDEX('1. Plot &amp; Site Log'!$A$5:$A$64,ROW()-4))</f>
        <v/>
      </c>
      <c r="B34" s="16" t="str">
        <f t="array" ref="B34">IF($A34="","",INDEX('1. Plot &amp; Site Log'!$B$5:$B$64,MATCH($A34,'1. Plot &amp; Site Log'!$A$5:$A$64,0)))</f>
        <v/>
      </c>
      <c r="C34" s="16" t="str">
        <f>IF($A34="","",COUNTIFS('2. Core Log'!$B$5:$B$124,$A34))</f>
        <v/>
      </c>
      <c r="D34" s="16" t="str">
        <f>IF(OR($A34="",$C34=0),"",IFERROR(AVERAGEIFS('2. Core Log'!$R$5:$R$124,'2. Core Log'!$B$5:$B$124,$A34),""))</f>
        <v/>
      </c>
      <c r="E34" s="16" t="str">
        <f>IF(OR($A34="",$C34=0),"",IFERROR(AVERAGEIFS('2. Core Log'!$S$5:$S$124,'2. Core Log'!$B$5:$B$124,$A34),""))</f>
        <v/>
      </c>
      <c r="F34" s="14"/>
      <c r="G34" s="23" t="str">
        <f t="shared" si="0"/>
        <v/>
      </c>
      <c r="H34" s="16" t="str">
        <f t="shared" si="1"/>
        <v/>
      </c>
      <c r="I34" s="16">
        <f t="shared" si="2"/>
        <v>0</v>
      </c>
      <c r="J34" s="16">
        <f t="shared" si="3"/>
        <v>0</v>
      </c>
    </row>
    <row r="35" spans="1:10" ht="15.75" customHeight="1">
      <c r="A35" s="16" t="str">
        <f t="array" ref="A35">IF(INDEX('1. Plot &amp; Site Log'!$A$5:$A$64,ROW()-4)="","",INDEX('1. Plot &amp; Site Log'!$A$5:$A$64,ROW()-4))</f>
        <v/>
      </c>
      <c r="B35" s="16" t="str">
        <f t="array" ref="B35">IF($A35="","",INDEX('1. Plot &amp; Site Log'!$B$5:$B$64,MATCH($A35,'1. Plot &amp; Site Log'!$A$5:$A$64,0)))</f>
        <v/>
      </c>
      <c r="C35" s="16" t="str">
        <f>IF($A35="","",COUNTIFS('2. Core Log'!$B$5:$B$124,$A35))</f>
        <v/>
      </c>
      <c r="D35" s="16" t="str">
        <f>IF(OR($A35="",$C35=0),"",IFERROR(AVERAGEIFS('2. Core Log'!$R$5:$R$124,'2. Core Log'!$B$5:$B$124,$A35),""))</f>
        <v/>
      </c>
      <c r="E35" s="16" t="str">
        <f>IF(OR($A35="",$C35=0),"",IFERROR(AVERAGEIFS('2. Core Log'!$S$5:$S$124,'2. Core Log'!$B$5:$B$124,$A35),""))</f>
        <v/>
      </c>
      <c r="F35" s="14"/>
      <c r="G35" s="23" t="str">
        <f t="shared" si="0"/>
        <v/>
      </c>
      <c r="H35" s="16" t="str">
        <f t="shared" si="1"/>
        <v/>
      </c>
      <c r="I35" s="16">
        <f t="shared" si="2"/>
        <v>0</v>
      </c>
      <c r="J35" s="16">
        <f t="shared" si="3"/>
        <v>0</v>
      </c>
    </row>
    <row r="36" spans="1:10" ht="15.75" customHeight="1">
      <c r="A36" s="16" t="str">
        <f t="array" ref="A36">IF(INDEX('1. Plot &amp; Site Log'!$A$5:$A$64,ROW()-4)="","",INDEX('1. Plot &amp; Site Log'!$A$5:$A$64,ROW()-4))</f>
        <v/>
      </c>
      <c r="B36" s="16" t="str">
        <f t="array" ref="B36">IF($A36="","",INDEX('1. Plot &amp; Site Log'!$B$5:$B$64,MATCH($A36,'1. Plot &amp; Site Log'!$A$5:$A$64,0)))</f>
        <v/>
      </c>
      <c r="C36" s="16" t="str">
        <f>IF($A36="","",COUNTIFS('2. Core Log'!$B$5:$B$124,$A36))</f>
        <v/>
      </c>
      <c r="D36" s="16" t="str">
        <f>IF(OR($A36="",$C36=0),"",IFERROR(AVERAGEIFS('2. Core Log'!$R$5:$R$124,'2. Core Log'!$B$5:$B$124,$A36),""))</f>
        <v/>
      </c>
      <c r="E36" s="16" t="str">
        <f>IF(OR($A36="",$C36=0),"",IFERROR(AVERAGEIFS('2. Core Log'!$S$5:$S$124,'2. Core Log'!$B$5:$B$124,$A36),""))</f>
        <v/>
      </c>
      <c r="F36" s="14"/>
      <c r="G36" s="23" t="str">
        <f t="shared" si="0"/>
        <v/>
      </c>
      <c r="H36" s="16" t="str">
        <f t="shared" si="1"/>
        <v/>
      </c>
      <c r="I36" s="16">
        <f t="shared" si="2"/>
        <v>0</v>
      </c>
      <c r="J36" s="16">
        <f t="shared" si="3"/>
        <v>0</v>
      </c>
    </row>
    <row r="37" spans="1:10" ht="15.75" customHeight="1">
      <c r="A37" s="16" t="str">
        <f t="array" ref="A37">IF(INDEX('1. Plot &amp; Site Log'!$A$5:$A$64,ROW()-4)="","",INDEX('1. Plot &amp; Site Log'!$A$5:$A$64,ROW()-4))</f>
        <v/>
      </c>
      <c r="B37" s="16" t="str">
        <f t="array" ref="B37">IF($A37="","",INDEX('1. Plot &amp; Site Log'!$B$5:$B$64,MATCH($A37,'1. Plot &amp; Site Log'!$A$5:$A$64,0)))</f>
        <v/>
      </c>
      <c r="C37" s="16" t="str">
        <f>IF($A37="","",COUNTIFS('2. Core Log'!$B$5:$B$124,$A37))</f>
        <v/>
      </c>
      <c r="D37" s="16" t="str">
        <f>IF(OR($A37="",$C37=0),"",IFERROR(AVERAGEIFS('2. Core Log'!$R$5:$R$124,'2. Core Log'!$B$5:$B$124,$A37),""))</f>
        <v/>
      </c>
      <c r="E37" s="16" t="str">
        <f>IF(OR($A37="",$C37=0),"",IFERROR(AVERAGEIFS('2. Core Log'!$S$5:$S$124,'2. Core Log'!$B$5:$B$124,$A37),""))</f>
        <v/>
      </c>
      <c r="F37" s="14"/>
      <c r="G37" s="23" t="str">
        <f t="shared" si="0"/>
        <v/>
      </c>
      <c r="H37" s="16" t="str">
        <f t="shared" si="1"/>
        <v/>
      </c>
      <c r="I37" s="16">
        <f t="shared" si="2"/>
        <v>0</v>
      </c>
      <c r="J37" s="16">
        <f t="shared" si="3"/>
        <v>0</v>
      </c>
    </row>
    <row r="38" spans="1:10" ht="15.75" customHeight="1">
      <c r="A38" s="16" t="str">
        <f t="array" ref="A38">IF(INDEX('1. Plot &amp; Site Log'!$A$5:$A$64,ROW()-4)="","",INDEX('1. Plot &amp; Site Log'!$A$5:$A$64,ROW()-4))</f>
        <v/>
      </c>
      <c r="B38" s="16" t="str">
        <f t="array" ref="B38">IF($A38="","",INDEX('1. Plot &amp; Site Log'!$B$5:$B$64,MATCH($A38,'1. Plot &amp; Site Log'!$A$5:$A$64,0)))</f>
        <v/>
      </c>
      <c r="C38" s="16" t="str">
        <f>IF($A38="","",COUNTIFS('2. Core Log'!$B$5:$B$124,$A38))</f>
        <v/>
      </c>
      <c r="D38" s="16" t="str">
        <f>IF(OR($A38="",$C38=0),"",IFERROR(AVERAGEIFS('2. Core Log'!$R$5:$R$124,'2. Core Log'!$B$5:$B$124,$A38),""))</f>
        <v/>
      </c>
      <c r="E38" s="16" t="str">
        <f>IF(OR($A38="",$C38=0),"",IFERROR(AVERAGEIFS('2. Core Log'!$S$5:$S$124,'2. Core Log'!$B$5:$B$124,$A38),""))</f>
        <v/>
      </c>
      <c r="F38" s="14"/>
      <c r="G38" s="23" t="str">
        <f t="shared" si="0"/>
        <v/>
      </c>
      <c r="H38" s="16" t="str">
        <f t="shared" si="1"/>
        <v/>
      </c>
      <c r="I38" s="16">
        <f t="shared" si="2"/>
        <v>0</v>
      </c>
      <c r="J38" s="16">
        <f t="shared" si="3"/>
        <v>0</v>
      </c>
    </row>
    <row r="39" spans="1:10" ht="15.75" customHeight="1">
      <c r="A39" s="16" t="str">
        <f t="array" ref="A39">IF(INDEX('1. Plot &amp; Site Log'!$A$5:$A$64,ROW()-4)="","",INDEX('1. Plot &amp; Site Log'!$A$5:$A$64,ROW()-4))</f>
        <v/>
      </c>
      <c r="B39" s="16" t="str">
        <f t="array" ref="B39">IF($A39="","",INDEX('1. Plot &amp; Site Log'!$B$5:$B$64,MATCH($A39,'1. Plot &amp; Site Log'!$A$5:$A$64,0)))</f>
        <v/>
      </c>
      <c r="C39" s="16" t="str">
        <f>IF($A39="","",COUNTIFS('2. Core Log'!$B$5:$B$124,$A39))</f>
        <v/>
      </c>
      <c r="D39" s="16" t="str">
        <f>IF(OR($A39="",$C39=0),"",IFERROR(AVERAGEIFS('2. Core Log'!$R$5:$R$124,'2. Core Log'!$B$5:$B$124,$A39),""))</f>
        <v/>
      </c>
      <c r="E39" s="16" t="str">
        <f>IF(OR($A39="",$C39=0),"",IFERROR(AVERAGEIFS('2. Core Log'!$S$5:$S$124,'2. Core Log'!$B$5:$B$124,$A39),""))</f>
        <v/>
      </c>
      <c r="F39" s="14"/>
      <c r="G39" s="23" t="str">
        <f t="shared" si="0"/>
        <v/>
      </c>
      <c r="H39" s="16" t="str">
        <f t="shared" si="1"/>
        <v/>
      </c>
      <c r="I39" s="16">
        <f t="shared" si="2"/>
        <v>0</v>
      </c>
      <c r="J39" s="16">
        <f t="shared" si="3"/>
        <v>0</v>
      </c>
    </row>
    <row r="40" spans="1:10" ht="15.75" customHeight="1">
      <c r="A40" s="16" t="str">
        <f t="array" ref="A40">IF(INDEX('1. Plot &amp; Site Log'!$A$5:$A$64,ROW()-4)="","",INDEX('1. Plot &amp; Site Log'!$A$5:$A$64,ROW()-4))</f>
        <v/>
      </c>
      <c r="B40" s="16" t="str">
        <f t="array" ref="B40">IF($A40="","",INDEX('1. Plot &amp; Site Log'!$B$5:$B$64,MATCH($A40,'1. Plot &amp; Site Log'!$A$5:$A$64,0)))</f>
        <v/>
      </c>
      <c r="C40" s="16" t="str">
        <f>IF($A40="","",COUNTIFS('2. Core Log'!$B$5:$B$124,$A40))</f>
        <v/>
      </c>
      <c r="D40" s="16" t="str">
        <f>IF(OR($A40="",$C40=0),"",IFERROR(AVERAGEIFS('2. Core Log'!$R$5:$R$124,'2. Core Log'!$B$5:$B$124,$A40),""))</f>
        <v/>
      </c>
      <c r="E40" s="16" t="str">
        <f>IF(OR($A40="",$C40=0),"",IFERROR(AVERAGEIFS('2. Core Log'!$S$5:$S$124,'2. Core Log'!$B$5:$B$124,$A40),""))</f>
        <v/>
      </c>
      <c r="F40" s="14"/>
      <c r="G40" s="23" t="str">
        <f t="shared" si="0"/>
        <v/>
      </c>
      <c r="H40" s="16" t="str">
        <f t="shared" si="1"/>
        <v/>
      </c>
      <c r="I40" s="16">
        <f t="shared" si="2"/>
        <v>0</v>
      </c>
      <c r="J40" s="16">
        <f t="shared" si="3"/>
        <v>0</v>
      </c>
    </row>
    <row r="41" spans="1:10" ht="15.75" customHeight="1">
      <c r="A41" s="16" t="str">
        <f t="array" ref="A41">IF(INDEX('1. Plot &amp; Site Log'!$A$5:$A$64,ROW()-4)="","",INDEX('1. Plot &amp; Site Log'!$A$5:$A$64,ROW()-4))</f>
        <v/>
      </c>
      <c r="B41" s="16" t="str">
        <f t="array" ref="B41">IF($A41="","",INDEX('1. Plot &amp; Site Log'!$B$5:$B$64,MATCH($A41,'1. Plot &amp; Site Log'!$A$5:$A$64,0)))</f>
        <v/>
      </c>
      <c r="C41" s="16" t="str">
        <f>IF($A41="","",COUNTIFS('2. Core Log'!$B$5:$B$124,$A41))</f>
        <v/>
      </c>
      <c r="D41" s="16" t="str">
        <f>IF(OR($A41="",$C41=0),"",IFERROR(AVERAGEIFS('2. Core Log'!$R$5:$R$124,'2. Core Log'!$B$5:$B$124,$A41),""))</f>
        <v/>
      </c>
      <c r="E41" s="16" t="str">
        <f>IF(OR($A41="",$C41=0),"",IFERROR(AVERAGEIFS('2. Core Log'!$S$5:$S$124,'2. Core Log'!$B$5:$B$124,$A41),""))</f>
        <v/>
      </c>
      <c r="F41" s="14"/>
      <c r="G41" s="23" t="str">
        <f t="shared" si="0"/>
        <v/>
      </c>
      <c r="H41" s="16" t="str">
        <f t="shared" si="1"/>
        <v/>
      </c>
      <c r="I41" s="16">
        <f t="shared" si="2"/>
        <v>0</v>
      </c>
      <c r="J41" s="16">
        <f t="shared" si="3"/>
        <v>0</v>
      </c>
    </row>
    <row r="42" spans="1:10" ht="15.75" customHeight="1">
      <c r="A42" s="16" t="str">
        <f t="array" ref="A42">IF(INDEX('1. Plot &amp; Site Log'!$A$5:$A$64,ROW()-4)="","",INDEX('1. Plot &amp; Site Log'!$A$5:$A$64,ROW()-4))</f>
        <v/>
      </c>
      <c r="B42" s="16" t="str">
        <f t="array" ref="B42">IF($A42="","",INDEX('1. Plot &amp; Site Log'!$B$5:$B$64,MATCH($A42,'1. Plot &amp; Site Log'!$A$5:$A$64,0)))</f>
        <v/>
      </c>
      <c r="C42" s="16" t="str">
        <f>IF($A42="","",COUNTIFS('2. Core Log'!$B$5:$B$124,$A42))</f>
        <v/>
      </c>
      <c r="D42" s="16" t="str">
        <f>IF(OR($A42="",$C42=0),"",IFERROR(AVERAGEIFS('2. Core Log'!$R$5:$R$124,'2. Core Log'!$B$5:$B$124,$A42),""))</f>
        <v/>
      </c>
      <c r="E42" s="16" t="str">
        <f>IF(OR($A42="",$C42=0),"",IFERROR(AVERAGEIFS('2. Core Log'!$S$5:$S$124,'2. Core Log'!$B$5:$B$124,$A42),""))</f>
        <v/>
      </c>
      <c r="F42" s="14"/>
      <c r="G42" s="23" t="str">
        <f t="shared" si="0"/>
        <v/>
      </c>
      <c r="H42" s="16" t="str">
        <f t="shared" si="1"/>
        <v/>
      </c>
      <c r="I42" s="16">
        <f t="shared" si="2"/>
        <v>0</v>
      </c>
      <c r="J42" s="16">
        <f t="shared" si="3"/>
        <v>0</v>
      </c>
    </row>
    <row r="43" spans="1:10" ht="15.75" customHeight="1">
      <c r="A43" s="16" t="str">
        <f t="array" ref="A43">IF(INDEX('1. Plot &amp; Site Log'!$A$5:$A$64,ROW()-4)="","",INDEX('1. Plot &amp; Site Log'!$A$5:$A$64,ROW()-4))</f>
        <v/>
      </c>
      <c r="B43" s="16" t="str">
        <f t="array" ref="B43">IF($A43="","",INDEX('1. Plot &amp; Site Log'!$B$5:$B$64,MATCH($A43,'1. Plot &amp; Site Log'!$A$5:$A$64,0)))</f>
        <v/>
      </c>
      <c r="C43" s="16" t="str">
        <f>IF($A43="","",COUNTIFS('2. Core Log'!$B$5:$B$124,$A43))</f>
        <v/>
      </c>
      <c r="D43" s="16" t="str">
        <f>IF(OR($A43="",$C43=0),"",IFERROR(AVERAGEIFS('2. Core Log'!$R$5:$R$124,'2. Core Log'!$B$5:$B$124,$A43),""))</f>
        <v/>
      </c>
      <c r="E43" s="16" t="str">
        <f>IF(OR($A43="",$C43=0),"",IFERROR(AVERAGEIFS('2. Core Log'!$S$5:$S$124,'2. Core Log'!$B$5:$B$124,$A43),""))</f>
        <v/>
      </c>
      <c r="F43" s="14"/>
      <c r="G43" s="23" t="str">
        <f t="shared" si="0"/>
        <v/>
      </c>
      <c r="H43" s="16" t="str">
        <f t="shared" si="1"/>
        <v/>
      </c>
      <c r="I43" s="16">
        <f t="shared" si="2"/>
        <v>0</v>
      </c>
      <c r="J43" s="16">
        <f t="shared" si="3"/>
        <v>0</v>
      </c>
    </row>
    <row r="44" spans="1:10" ht="15.75" customHeight="1">
      <c r="A44" s="16" t="str">
        <f t="array" ref="A44">IF(INDEX('1. Plot &amp; Site Log'!$A$5:$A$64,ROW()-4)="","",INDEX('1. Plot &amp; Site Log'!$A$5:$A$64,ROW()-4))</f>
        <v/>
      </c>
      <c r="B44" s="16" t="str">
        <f t="array" ref="B44">IF($A44="","",INDEX('1. Plot &amp; Site Log'!$B$5:$B$64,MATCH($A44,'1. Plot &amp; Site Log'!$A$5:$A$64,0)))</f>
        <v/>
      </c>
      <c r="C44" s="16" t="str">
        <f>IF($A44="","",COUNTIFS('2. Core Log'!$B$5:$B$124,$A44))</f>
        <v/>
      </c>
      <c r="D44" s="16" t="str">
        <f>IF(OR($A44="",$C44=0),"",IFERROR(AVERAGEIFS('2. Core Log'!$R$5:$R$124,'2. Core Log'!$B$5:$B$124,$A44),""))</f>
        <v/>
      </c>
      <c r="E44" s="16" t="str">
        <f>IF(OR($A44="",$C44=0),"",IFERROR(AVERAGEIFS('2. Core Log'!$S$5:$S$124,'2. Core Log'!$B$5:$B$124,$A44),""))</f>
        <v/>
      </c>
      <c r="F44" s="14"/>
      <c r="G44" s="23" t="str">
        <f t="shared" si="0"/>
        <v/>
      </c>
      <c r="H44" s="16" t="str">
        <f t="shared" si="1"/>
        <v/>
      </c>
      <c r="I44" s="16">
        <f t="shared" si="2"/>
        <v>0</v>
      </c>
      <c r="J44" s="16">
        <f t="shared" si="3"/>
        <v>0</v>
      </c>
    </row>
    <row r="45" spans="1:10" ht="15.75" customHeight="1">
      <c r="A45" s="16" t="str">
        <f t="array" ref="A45">IF(INDEX('1. Plot &amp; Site Log'!$A$5:$A$64,ROW()-4)="","",INDEX('1. Plot &amp; Site Log'!$A$5:$A$64,ROW()-4))</f>
        <v/>
      </c>
      <c r="B45" s="16" t="str">
        <f t="array" ref="B45">IF($A45="","",INDEX('1. Plot &amp; Site Log'!$B$5:$B$64,MATCH($A45,'1. Plot &amp; Site Log'!$A$5:$A$64,0)))</f>
        <v/>
      </c>
      <c r="C45" s="16" t="str">
        <f>IF($A45="","",COUNTIFS('2. Core Log'!$B$5:$B$124,$A45))</f>
        <v/>
      </c>
      <c r="D45" s="16" t="str">
        <f>IF(OR($A45="",$C45=0),"",IFERROR(AVERAGEIFS('2. Core Log'!$R$5:$R$124,'2. Core Log'!$B$5:$B$124,$A45),""))</f>
        <v/>
      </c>
      <c r="E45" s="16" t="str">
        <f>IF(OR($A45="",$C45=0),"",IFERROR(AVERAGEIFS('2. Core Log'!$S$5:$S$124,'2. Core Log'!$B$5:$B$124,$A45),""))</f>
        <v/>
      </c>
      <c r="F45" s="14"/>
      <c r="G45" s="23" t="str">
        <f t="shared" si="0"/>
        <v/>
      </c>
      <c r="H45" s="16" t="str">
        <f t="shared" si="1"/>
        <v/>
      </c>
      <c r="I45" s="16">
        <f t="shared" si="2"/>
        <v>0</v>
      </c>
      <c r="J45" s="16">
        <f t="shared" si="3"/>
        <v>0</v>
      </c>
    </row>
    <row r="46" spans="1:10" ht="15.75" customHeight="1">
      <c r="A46" s="16" t="str">
        <f t="array" ref="A46">IF(INDEX('1. Plot &amp; Site Log'!$A$5:$A$64,ROW()-4)="","",INDEX('1. Plot &amp; Site Log'!$A$5:$A$64,ROW()-4))</f>
        <v/>
      </c>
      <c r="B46" s="16" t="str">
        <f t="array" ref="B46">IF($A46="","",INDEX('1. Plot &amp; Site Log'!$B$5:$B$64,MATCH($A46,'1. Plot &amp; Site Log'!$A$5:$A$64,0)))</f>
        <v/>
      </c>
      <c r="C46" s="16" t="str">
        <f>IF($A46="","",COUNTIFS('2. Core Log'!$B$5:$B$124,$A46))</f>
        <v/>
      </c>
      <c r="D46" s="16" t="str">
        <f>IF(OR($A46="",$C46=0),"",IFERROR(AVERAGEIFS('2. Core Log'!$R$5:$R$124,'2. Core Log'!$B$5:$B$124,$A46),""))</f>
        <v/>
      </c>
      <c r="E46" s="16" t="str">
        <f>IF(OR($A46="",$C46=0),"",IFERROR(AVERAGEIFS('2. Core Log'!$S$5:$S$124,'2. Core Log'!$B$5:$B$124,$A46),""))</f>
        <v/>
      </c>
      <c r="F46" s="14"/>
      <c r="G46" s="23" t="str">
        <f t="shared" si="0"/>
        <v/>
      </c>
      <c r="H46" s="16" t="str">
        <f t="shared" si="1"/>
        <v/>
      </c>
      <c r="I46" s="16">
        <f t="shared" si="2"/>
        <v>0</v>
      </c>
      <c r="J46" s="16">
        <f t="shared" si="3"/>
        <v>0</v>
      </c>
    </row>
    <row r="47" spans="1:10" ht="15.75" customHeight="1">
      <c r="A47" s="16" t="str">
        <f t="array" ref="A47">IF(INDEX('1. Plot &amp; Site Log'!$A$5:$A$64,ROW()-4)="","",INDEX('1. Plot &amp; Site Log'!$A$5:$A$64,ROW()-4))</f>
        <v/>
      </c>
      <c r="B47" s="16" t="str">
        <f t="array" ref="B47">IF($A47="","",INDEX('1. Plot &amp; Site Log'!$B$5:$B$64,MATCH($A47,'1. Plot &amp; Site Log'!$A$5:$A$64,0)))</f>
        <v/>
      </c>
      <c r="C47" s="16" t="str">
        <f>IF($A47="","",COUNTIFS('2. Core Log'!$B$5:$B$124,$A47))</f>
        <v/>
      </c>
      <c r="D47" s="16" t="str">
        <f>IF(OR($A47="",$C47=0),"",IFERROR(AVERAGEIFS('2. Core Log'!$R$5:$R$124,'2. Core Log'!$B$5:$B$124,$A47),""))</f>
        <v/>
      </c>
      <c r="E47" s="16" t="str">
        <f>IF(OR($A47="",$C47=0),"",IFERROR(AVERAGEIFS('2. Core Log'!$S$5:$S$124,'2. Core Log'!$B$5:$B$124,$A47),""))</f>
        <v/>
      </c>
      <c r="F47" s="14"/>
      <c r="G47" s="23" t="str">
        <f t="shared" si="0"/>
        <v/>
      </c>
      <c r="H47" s="16" t="str">
        <f t="shared" si="1"/>
        <v/>
      </c>
      <c r="I47" s="16">
        <f t="shared" si="2"/>
        <v>0</v>
      </c>
      <c r="J47" s="16">
        <f t="shared" si="3"/>
        <v>0</v>
      </c>
    </row>
    <row r="48" spans="1:10" ht="15.75" customHeight="1">
      <c r="A48" s="16" t="str">
        <f t="array" ref="A48">IF(INDEX('1. Plot &amp; Site Log'!$A$5:$A$64,ROW()-4)="","",INDEX('1. Plot &amp; Site Log'!$A$5:$A$64,ROW()-4))</f>
        <v/>
      </c>
      <c r="B48" s="16" t="str">
        <f t="array" ref="B48">IF($A48="","",INDEX('1. Plot &amp; Site Log'!$B$5:$B$64,MATCH($A48,'1. Plot &amp; Site Log'!$A$5:$A$64,0)))</f>
        <v/>
      </c>
      <c r="C48" s="16" t="str">
        <f>IF($A48="","",COUNTIFS('2. Core Log'!$B$5:$B$124,$A48))</f>
        <v/>
      </c>
      <c r="D48" s="16" t="str">
        <f>IF(OR($A48="",$C48=0),"",IFERROR(AVERAGEIFS('2. Core Log'!$R$5:$R$124,'2. Core Log'!$B$5:$B$124,$A48),""))</f>
        <v/>
      </c>
      <c r="E48" s="16" t="str">
        <f>IF(OR($A48="",$C48=0),"",IFERROR(AVERAGEIFS('2. Core Log'!$S$5:$S$124,'2. Core Log'!$B$5:$B$124,$A48),""))</f>
        <v/>
      </c>
      <c r="F48" s="14"/>
      <c r="G48" s="23" t="str">
        <f t="shared" si="0"/>
        <v/>
      </c>
      <c r="H48" s="16" t="str">
        <f t="shared" si="1"/>
        <v/>
      </c>
      <c r="I48" s="16">
        <f t="shared" si="2"/>
        <v>0</v>
      </c>
      <c r="J48" s="16">
        <f t="shared" si="3"/>
        <v>0</v>
      </c>
    </row>
    <row r="49" spans="1:10" ht="15.75" customHeight="1">
      <c r="A49" s="16" t="str">
        <f t="array" ref="A49">IF(INDEX('1. Plot &amp; Site Log'!$A$5:$A$64,ROW()-4)="","",INDEX('1. Plot &amp; Site Log'!$A$5:$A$64,ROW()-4))</f>
        <v/>
      </c>
      <c r="B49" s="16" t="str">
        <f t="array" ref="B49">IF($A49="","",INDEX('1. Plot &amp; Site Log'!$B$5:$B$64,MATCH($A49,'1. Plot &amp; Site Log'!$A$5:$A$64,0)))</f>
        <v/>
      </c>
      <c r="C49" s="16" t="str">
        <f>IF($A49="","",COUNTIFS('2. Core Log'!$B$5:$B$124,$A49))</f>
        <v/>
      </c>
      <c r="D49" s="16" t="str">
        <f>IF(OR($A49="",$C49=0),"",IFERROR(AVERAGEIFS('2. Core Log'!$R$5:$R$124,'2. Core Log'!$B$5:$B$124,$A49),""))</f>
        <v/>
      </c>
      <c r="E49" s="16" t="str">
        <f>IF(OR($A49="",$C49=0),"",IFERROR(AVERAGEIFS('2. Core Log'!$S$5:$S$124,'2. Core Log'!$B$5:$B$124,$A49),""))</f>
        <v/>
      </c>
      <c r="F49" s="14"/>
      <c r="G49" s="23" t="str">
        <f t="shared" si="0"/>
        <v/>
      </c>
      <c r="H49" s="16" t="str">
        <f t="shared" si="1"/>
        <v/>
      </c>
      <c r="I49" s="16">
        <f t="shared" si="2"/>
        <v>0</v>
      </c>
      <c r="J49" s="16">
        <f t="shared" si="3"/>
        <v>0</v>
      </c>
    </row>
    <row r="50" spans="1:10" ht="15.75" customHeight="1">
      <c r="A50" s="16" t="str">
        <f t="array" ref="A50">IF(INDEX('1. Plot &amp; Site Log'!$A$5:$A$64,ROW()-4)="","",INDEX('1. Plot &amp; Site Log'!$A$5:$A$64,ROW()-4))</f>
        <v/>
      </c>
      <c r="B50" s="16" t="str">
        <f t="array" ref="B50">IF($A50="","",INDEX('1. Plot &amp; Site Log'!$B$5:$B$64,MATCH($A50,'1. Plot &amp; Site Log'!$A$5:$A$64,0)))</f>
        <v/>
      </c>
      <c r="C50" s="16" t="str">
        <f>IF($A50="","",COUNTIFS('2. Core Log'!$B$5:$B$124,$A50))</f>
        <v/>
      </c>
      <c r="D50" s="16" t="str">
        <f>IF(OR($A50="",$C50=0),"",IFERROR(AVERAGEIFS('2. Core Log'!$R$5:$R$124,'2. Core Log'!$B$5:$B$124,$A50),""))</f>
        <v/>
      </c>
      <c r="E50" s="16" t="str">
        <f>IF(OR($A50="",$C50=0),"",IFERROR(AVERAGEIFS('2. Core Log'!$S$5:$S$124,'2. Core Log'!$B$5:$B$124,$A50),""))</f>
        <v/>
      </c>
      <c r="F50" s="14"/>
      <c r="G50" s="23" t="str">
        <f t="shared" si="0"/>
        <v/>
      </c>
      <c r="H50" s="16" t="str">
        <f t="shared" si="1"/>
        <v/>
      </c>
      <c r="I50" s="16">
        <f t="shared" si="2"/>
        <v>0</v>
      </c>
      <c r="J50" s="16">
        <f t="shared" si="3"/>
        <v>0</v>
      </c>
    </row>
    <row r="51" spans="1:10" ht="15.75" customHeight="1">
      <c r="A51" s="16" t="str">
        <f t="array" ref="A51">IF(INDEX('1. Plot &amp; Site Log'!$A$5:$A$64,ROW()-4)="","",INDEX('1. Plot &amp; Site Log'!$A$5:$A$64,ROW()-4))</f>
        <v/>
      </c>
      <c r="B51" s="16" t="str">
        <f t="array" ref="B51">IF($A51="","",INDEX('1. Plot &amp; Site Log'!$B$5:$B$64,MATCH($A51,'1. Plot &amp; Site Log'!$A$5:$A$64,0)))</f>
        <v/>
      </c>
      <c r="C51" s="16" t="str">
        <f>IF($A51="","",COUNTIFS('2. Core Log'!$B$5:$B$124,$A51))</f>
        <v/>
      </c>
      <c r="D51" s="16" t="str">
        <f>IF(OR($A51="",$C51=0),"",IFERROR(AVERAGEIFS('2. Core Log'!$R$5:$R$124,'2. Core Log'!$B$5:$B$124,$A51),""))</f>
        <v/>
      </c>
      <c r="E51" s="16" t="str">
        <f>IF(OR($A51="",$C51=0),"",IFERROR(AVERAGEIFS('2. Core Log'!$S$5:$S$124,'2. Core Log'!$B$5:$B$124,$A51),""))</f>
        <v/>
      </c>
      <c r="F51" s="14"/>
      <c r="G51" s="23" t="str">
        <f t="shared" si="0"/>
        <v/>
      </c>
      <c r="H51" s="16" t="str">
        <f t="shared" si="1"/>
        <v/>
      </c>
      <c r="I51" s="16">
        <f t="shared" si="2"/>
        <v>0</v>
      </c>
      <c r="J51" s="16">
        <f t="shared" si="3"/>
        <v>0</v>
      </c>
    </row>
    <row r="52" spans="1:10" ht="15.75" customHeight="1">
      <c r="A52" s="16" t="str">
        <f t="array" ref="A52">IF(INDEX('1. Plot &amp; Site Log'!$A$5:$A$64,ROW()-4)="","",INDEX('1. Plot &amp; Site Log'!$A$5:$A$64,ROW()-4))</f>
        <v/>
      </c>
      <c r="B52" s="16" t="str">
        <f t="array" ref="B52">IF($A52="","",INDEX('1. Plot &amp; Site Log'!$B$5:$B$64,MATCH($A52,'1. Plot &amp; Site Log'!$A$5:$A$64,0)))</f>
        <v/>
      </c>
      <c r="C52" s="16" t="str">
        <f>IF($A52="","",COUNTIFS('2. Core Log'!$B$5:$B$124,$A52))</f>
        <v/>
      </c>
      <c r="D52" s="16" t="str">
        <f>IF(OR($A52="",$C52=0),"",IFERROR(AVERAGEIFS('2. Core Log'!$R$5:$R$124,'2. Core Log'!$B$5:$B$124,$A52),""))</f>
        <v/>
      </c>
      <c r="E52" s="16" t="str">
        <f>IF(OR($A52="",$C52=0),"",IFERROR(AVERAGEIFS('2. Core Log'!$S$5:$S$124,'2. Core Log'!$B$5:$B$124,$A52),""))</f>
        <v/>
      </c>
      <c r="F52" s="14"/>
      <c r="G52" s="23" t="str">
        <f t="shared" si="0"/>
        <v/>
      </c>
      <c r="H52" s="16" t="str">
        <f t="shared" si="1"/>
        <v/>
      </c>
      <c r="I52" s="16">
        <f t="shared" si="2"/>
        <v>0</v>
      </c>
      <c r="J52" s="16">
        <f t="shared" si="3"/>
        <v>0</v>
      </c>
    </row>
    <row r="53" spans="1:10" ht="15.75" customHeight="1">
      <c r="A53" s="16" t="str">
        <f t="array" ref="A53">IF(INDEX('1. Plot &amp; Site Log'!$A$5:$A$64,ROW()-4)="","",INDEX('1. Plot &amp; Site Log'!$A$5:$A$64,ROW()-4))</f>
        <v/>
      </c>
      <c r="B53" s="16" t="str">
        <f t="array" ref="B53">IF($A53="","",INDEX('1. Plot &amp; Site Log'!$B$5:$B$64,MATCH($A53,'1. Plot &amp; Site Log'!$A$5:$A$64,0)))</f>
        <v/>
      </c>
      <c r="C53" s="16" t="str">
        <f>IF($A53="","",COUNTIFS('2. Core Log'!$B$5:$B$124,$A53))</f>
        <v/>
      </c>
      <c r="D53" s="16" t="str">
        <f>IF(OR($A53="",$C53=0),"",IFERROR(AVERAGEIFS('2. Core Log'!$R$5:$R$124,'2. Core Log'!$B$5:$B$124,$A53),""))</f>
        <v/>
      </c>
      <c r="E53" s="16" t="str">
        <f>IF(OR($A53="",$C53=0),"",IFERROR(AVERAGEIFS('2. Core Log'!$S$5:$S$124,'2. Core Log'!$B$5:$B$124,$A53),""))</f>
        <v/>
      </c>
      <c r="F53" s="14"/>
      <c r="G53" s="23" t="str">
        <f t="shared" si="0"/>
        <v/>
      </c>
      <c r="H53" s="16" t="str">
        <f t="shared" si="1"/>
        <v/>
      </c>
      <c r="I53" s="16">
        <f t="shared" si="2"/>
        <v>0</v>
      </c>
      <c r="J53" s="16">
        <f t="shared" si="3"/>
        <v>0</v>
      </c>
    </row>
    <row r="54" spans="1:10" ht="15.75" customHeight="1">
      <c r="A54" s="16" t="str">
        <f t="array" ref="A54">IF(INDEX('1. Plot &amp; Site Log'!$A$5:$A$64,ROW()-4)="","",INDEX('1. Plot &amp; Site Log'!$A$5:$A$64,ROW()-4))</f>
        <v/>
      </c>
      <c r="B54" s="16" t="str">
        <f t="array" ref="B54">IF($A54="","",INDEX('1. Plot &amp; Site Log'!$B$5:$B$64,MATCH($A54,'1. Plot &amp; Site Log'!$A$5:$A$64,0)))</f>
        <v/>
      </c>
      <c r="C54" s="16" t="str">
        <f>IF($A54="","",COUNTIFS('2. Core Log'!$B$5:$B$124,$A54))</f>
        <v/>
      </c>
      <c r="D54" s="16" t="str">
        <f>IF(OR($A54="",$C54=0),"",IFERROR(AVERAGEIFS('2. Core Log'!$R$5:$R$124,'2. Core Log'!$B$5:$B$124,$A54),""))</f>
        <v/>
      </c>
      <c r="E54" s="16" t="str">
        <f>IF(OR($A54="",$C54=0),"",IFERROR(AVERAGEIFS('2. Core Log'!$S$5:$S$124,'2. Core Log'!$B$5:$B$124,$A54),""))</f>
        <v/>
      </c>
      <c r="F54" s="14"/>
      <c r="G54" s="23" t="str">
        <f t="shared" si="0"/>
        <v/>
      </c>
      <c r="H54" s="16" t="str">
        <f t="shared" si="1"/>
        <v/>
      </c>
      <c r="I54" s="16">
        <f t="shared" si="2"/>
        <v>0</v>
      </c>
      <c r="J54" s="16">
        <f t="shared" si="3"/>
        <v>0</v>
      </c>
    </row>
    <row r="55" spans="1:10" ht="15.75" customHeight="1">
      <c r="A55" s="16" t="str">
        <f t="array" ref="A55">IF(INDEX('1. Plot &amp; Site Log'!$A$5:$A$64,ROW()-4)="","",INDEX('1. Plot &amp; Site Log'!$A$5:$A$64,ROW()-4))</f>
        <v/>
      </c>
      <c r="B55" s="16" t="str">
        <f t="array" ref="B55">IF($A55="","",INDEX('1. Plot &amp; Site Log'!$B$5:$B$64,MATCH($A55,'1. Plot &amp; Site Log'!$A$5:$A$64,0)))</f>
        <v/>
      </c>
      <c r="C55" s="16" t="str">
        <f>IF($A55="","",COUNTIFS('2. Core Log'!$B$5:$B$124,$A55))</f>
        <v/>
      </c>
      <c r="D55" s="16" t="str">
        <f>IF(OR($A55="",$C55=0),"",IFERROR(AVERAGEIFS('2. Core Log'!$R$5:$R$124,'2. Core Log'!$B$5:$B$124,$A55),""))</f>
        <v/>
      </c>
      <c r="E55" s="16" t="str">
        <f>IF(OR($A55="",$C55=0),"",IFERROR(AVERAGEIFS('2. Core Log'!$S$5:$S$124,'2. Core Log'!$B$5:$B$124,$A55),""))</f>
        <v/>
      </c>
      <c r="F55" s="14"/>
      <c r="G55" s="23" t="str">
        <f t="shared" si="0"/>
        <v/>
      </c>
      <c r="H55" s="16" t="str">
        <f t="shared" si="1"/>
        <v/>
      </c>
      <c r="I55" s="16">
        <f t="shared" si="2"/>
        <v>0</v>
      </c>
      <c r="J55" s="16">
        <f t="shared" si="3"/>
        <v>0</v>
      </c>
    </row>
    <row r="56" spans="1:10" ht="15.75" customHeight="1">
      <c r="A56" s="16" t="str">
        <f t="array" ref="A56">IF(INDEX('1. Plot &amp; Site Log'!$A$5:$A$64,ROW()-4)="","",INDEX('1. Plot &amp; Site Log'!$A$5:$A$64,ROW()-4))</f>
        <v/>
      </c>
      <c r="B56" s="16" t="str">
        <f t="array" ref="B56">IF($A56="","",INDEX('1. Plot &amp; Site Log'!$B$5:$B$64,MATCH($A56,'1. Plot &amp; Site Log'!$A$5:$A$64,0)))</f>
        <v/>
      </c>
      <c r="C56" s="16" t="str">
        <f>IF($A56="","",COUNTIFS('2. Core Log'!$B$5:$B$124,$A56))</f>
        <v/>
      </c>
      <c r="D56" s="16" t="str">
        <f>IF(OR($A56="",$C56=0),"",IFERROR(AVERAGEIFS('2. Core Log'!$R$5:$R$124,'2. Core Log'!$B$5:$B$124,$A56),""))</f>
        <v/>
      </c>
      <c r="E56" s="16" t="str">
        <f>IF(OR($A56="",$C56=0),"",IFERROR(AVERAGEIFS('2. Core Log'!$S$5:$S$124,'2. Core Log'!$B$5:$B$124,$A56),""))</f>
        <v/>
      </c>
      <c r="F56" s="14"/>
      <c r="G56" s="23" t="str">
        <f t="shared" si="0"/>
        <v/>
      </c>
      <c r="H56" s="16" t="str">
        <f t="shared" si="1"/>
        <v/>
      </c>
      <c r="I56" s="16">
        <f t="shared" si="2"/>
        <v>0</v>
      </c>
      <c r="J56" s="16">
        <f t="shared" si="3"/>
        <v>0</v>
      </c>
    </row>
    <row r="57" spans="1:10" ht="15.75" customHeight="1">
      <c r="A57" s="16" t="str">
        <f t="array" ref="A57">IF(INDEX('1. Plot &amp; Site Log'!$A$5:$A$64,ROW()-4)="","",INDEX('1. Plot &amp; Site Log'!$A$5:$A$64,ROW()-4))</f>
        <v/>
      </c>
      <c r="B57" s="16" t="str">
        <f t="array" ref="B57">IF($A57="","",INDEX('1. Plot &amp; Site Log'!$B$5:$B$64,MATCH($A57,'1. Plot &amp; Site Log'!$A$5:$A$64,0)))</f>
        <v/>
      </c>
      <c r="C57" s="16" t="str">
        <f>IF($A57="","",COUNTIFS('2. Core Log'!$B$5:$B$124,$A57))</f>
        <v/>
      </c>
      <c r="D57" s="16" t="str">
        <f>IF(OR($A57="",$C57=0),"",IFERROR(AVERAGEIFS('2. Core Log'!$R$5:$R$124,'2. Core Log'!$B$5:$B$124,$A57),""))</f>
        <v/>
      </c>
      <c r="E57" s="16" t="str">
        <f>IF(OR($A57="",$C57=0),"",IFERROR(AVERAGEIFS('2. Core Log'!$S$5:$S$124,'2. Core Log'!$B$5:$B$124,$A57),""))</f>
        <v/>
      </c>
      <c r="F57" s="14"/>
      <c r="G57" s="23" t="str">
        <f t="shared" si="0"/>
        <v/>
      </c>
      <c r="H57" s="16" t="str">
        <f t="shared" si="1"/>
        <v/>
      </c>
      <c r="I57" s="16">
        <f t="shared" si="2"/>
        <v>0</v>
      </c>
      <c r="J57" s="16">
        <f t="shared" si="3"/>
        <v>0</v>
      </c>
    </row>
    <row r="58" spans="1:10" ht="15.75" customHeight="1">
      <c r="A58" s="16" t="str">
        <f t="array" ref="A58">IF(INDEX('1. Plot &amp; Site Log'!$A$5:$A$64,ROW()-4)="","",INDEX('1. Plot &amp; Site Log'!$A$5:$A$64,ROW()-4))</f>
        <v/>
      </c>
      <c r="B58" s="16" t="str">
        <f t="array" ref="B58">IF($A58="","",INDEX('1. Plot &amp; Site Log'!$B$5:$B$64,MATCH($A58,'1. Plot &amp; Site Log'!$A$5:$A$64,0)))</f>
        <v/>
      </c>
      <c r="C58" s="16" t="str">
        <f>IF($A58="","",COUNTIFS('2. Core Log'!$B$5:$B$124,$A58))</f>
        <v/>
      </c>
      <c r="D58" s="16" t="str">
        <f>IF(OR($A58="",$C58=0),"",IFERROR(AVERAGEIFS('2. Core Log'!$R$5:$R$124,'2. Core Log'!$B$5:$B$124,$A58),""))</f>
        <v/>
      </c>
      <c r="E58" s="16" t="str">
        <f>IF(OR($A58="",$C58=0),"",IFERROR(AVERAGEIFS('2. Core Log'!$S$5:$S$124,'2. Core Log'!$B$5:$B$124,$A58),""))</f>
        <v/>
      </c>
      <c r="F58" s="14"/>
      <c r="G58" s="23" t="str">
        <f t="shared" si="0"/>
        <v/>
      </c>
      <c r="H58" s="16" t="str">
        <f t="shared" si="1"/>
        <v/>
      </c>
      <c r="I58" s="16">
        <f t="shared" si="2"/>
        <v>0</v>
      </c>
      <c r="J58" s="16">
        <f t="shared" si="3"/>
        <v>0</v>
      </c>
    </row>
    <row r="59" spans="1:10" ht="15.75" customHeight="1">
      <c r="A59" s="16" t="str">
        <f t="array" ref="A59">IF(INDEX('1. Plot &amp; Site Log'!$A$5:$A$64,ROW()-4)="","",INDEX('1. Plot &amp; Site Log'!$A$5:$A$64,ROW()-4))</f>
        <v/>
      </c>
      <c r="B59" s="16" t="str">
        <f t="array" ref="B59">IF($A59="","",INDEX('1. Plot &amp; Site Log'!$B$5:$B$64,MATCH($A59,'1. Plot &amp; Site Log'!$A$5:$A$64,0)))</f>
        <v/>
      </c>
      <c r="C59" s="16" t="str">
        <f>IF($A59="","",COUNTIFS('2. Core Log'!$B$5:$B$124,$A59))</f>
        <v/>
      </c>
      <c r="D59" s="16" t="str">
        <f>IF(OR($A59="",$C59=0),"",IFERROR(AVERAGEIFS('2. Core Log'!$R$5:$R$124,'2. Core Log'!$B$5:$B$124,$A59),""))</f>
        <v/>
      </c>
      <c r="E59" s="16" t="str">
        <f>IF(OR($A59="",$C59=0),"",IFERROR(AVERAGEIFS('2. Core Log'!$S$5:$S$124,'2. Core Log'!$B$5:$B$124,$A59),""))</f>
        <v/>
      </c>
      <c r="F59" s="14"/>
      <c r="G59" s="23" t="str">
        <f t="shared" si="0"/>
        <v/>
      </c>
      <c r="H59" s="16" t="str">
        <f t="shared" si="1"/>
        <v/>
      </c>
      <c r="I59" s="16">
        <f t="shared" si="2"/>
        <v>0</v>
      </c>
      <c r="J59" s="16">
        <f t="shared" si="3"/>
        <v>0</v>
      </c>
    </row>
    <row r="60" spans="1:10" ht="15.75" customHeight="1">
      <c r="A60" s="16" t="str">
        <f t="array" ref="A60">IF(INDEX('1. Plot &amp; Site Log'!$A$5:$A$64,ROW()-4)="","",INDEX('1. Plot &amp; Site Log'!$A$5:$A$64,ROW()-4))</f>
        <v/>
      </c>
      <c r="B60" s="16" t="str">
        <f t="array" ref="B60">IF($A60="","",INDEX('1. Plot &amp; Site Log'!$B$5:$B$64,MATCH($A60,'1. Plot &amp; Site Log'!$A$5:$A$64,0)))</f>
        <v/>
      </c>
      <c r="C60" s="16" t="str">
        <f>IF($A60="","",COUNTIFS('2. Core Log'!$B$5:$B$124,$A60))</f>
        <v/>
      </c>
      <c r="D60" s="16" t="str">
        <f>IF(OR($A60="",$C60=0),"",IFERROR(AVERAGEIFS('2. Core Log'!$R$5:$R$124,'2. Core Log'!$B$5:$B$124,$A60),""))</f>
        <v/>
      </c>
      <c r="E60" s="16" t="str">
        <f>IF(OR($A60="",$C60=0),"",IFERROR(AVERAGEIFS('2. Core Log'!$S$5:$S$124,'2. Core Log'!$B$5:$B$124,$A60),""))</f>
        <v/>
      </c>
      <c r="F60" s="14"/>
      <c r="G60" s="23" t="str">
        <f t="shared" si="0"/>
        <v/>
      </c>
      <c r="H60" s="16" t="str">
        <f t="shared" si="1"/>
        <v/>
      </c>
      <c r="I60" s="16">
        <f t="shared" si="2"/>
        <v>0</v>
      </c>
      <c r="J60" s="16">
        <f t="shared" si="3"/>
        <v>0</v>
      </c>
    </row>
    <row r="61" spans="1:10" ht="15.75" customHeight="1">
      <c r="A61" s="16" t="str">
        <f t="array" ref="A61">IF(INDEX('1. Plot &amp; Site Log'!$A$5:$A$64,ROW()-4)="","",INDEX('1. Plot &amp; Site Log'!$A$5:$A$64,ROW()-4))</f>
        <v/>
      </c>
      <c r="B61" s="16" t="str">
        <f t="array" ref="B61">IF($A61="","",INDEX('1. Plot &amp; Site Log'!$B$5:$B$64,MATCH($A61,'1. Plot &amp; Site Log'!$A$5:$A$64,0)))</f>
        <v/>
      </c>
      <c r="C61" s="16" t="str">
        <f>IF($A61="","",COUNTIFS('2. Core Log'!$B$5:$B$124,$A61))</f>
        <v/>
      </c>
      <c r="D61" s="16" t="str">
        <f>IF(OR($A61="",$C61=0),"",IFERROR(AVERAGEIFS('2. Core Log'!$R$5:$R$124,'2. Core Log'!$B$5:$B$124,$A61),""))</f>
        <v/>
      </c>
      <c r="E61" s="16" t="str">
        <f>IF(OR($A61="",$C61=0),"",IFERROR(AVERAGEIFS('2. Core Log'!$S$5:$S$124,'2. Core Log'!$B$5:$B$124,$A61),""))</f>
        <v/>
      </c>
      <c r="F61" s="14"/>
      <c r="G61" s="23" t="str">
        <f t="shared" si="0"/>
        <v/>
      </c>
      <c r="H61" s="16" t="str">
        <f t="shared" si="1"/>
        <v/>
      </c>
      <c r="I61" s="16">
        <f t="shared" si="2"/>
        <v>0</v>
      </c>
      <c r="J61" s="16">
        <f t="shared" si="3"/>
        <v>0</v>
      </c>
    </row>
    <row r="62" spans="1:10" ht="15.75" customHeight="1">
      <c r="A62" s="16" t="str">
        <f t="array" ref="A62">IF(INDEX('1. Plot &amp; Site Log'!$A$5:$A$64,ROW()-4)="","",INDEX('1. Plot &amp; Site Log'!$A$5:$A$64,ROW()-4))</f>
        <v/>
      </c>
      <c r="B62" s="16" t="str">
        <f t="array" ref="B62">IF($A62="","",INDEX('1. Plot &amp; Site Log'!$B$5:$B$64,MATCH($A62,'1. Plot &amp; Site Log'!$A$5:$A$64,0)))</f>
        <v/>
      </c>
      <c r="C62" s="16" t="str">
        <f>IF($A62="","",COUNTIFS('2. Core Log'!$B$5:$B$124,$A62))</f>
        <v/>
      </c>
      <c r="D62" s="16" t="str">
        <f>IF(OR($A62="",$C62=0),"",IFERROR(AVERAGEIFS('2. Core Log'!$R$5:$R$124,'2. Core Log'!$B$5:$B$124,$A62),""))</f>
        <v/>
      </c>
      <c r="E62" s="16" t="str">
        <f>IF(OR($A62="",$C62=0),"",IFERROR(AVERAGEIFS('2. Core Log'!$S$5:$S$124,'2. Core Log'!$B$5:$B$124,$A62),""))</f>
        <v/>
      </c>
      <c r="F62" s="14"/>
      <c r="G62" s="23" t="str">
        <f t="shared" si="0"/>
        <v/>
      </c>
      <c r="H62" s="16" t="str">
        <f t="shared" si="1"/>
        <v/>
      </c>
      <c r="I62" s="16">
        <f t="shared" si="2"/>
        <v>0</v>
      </c>
      <c r="J62" s="16">
        <f t="shared" si="3"/>
        <v>0</v>
      </c>
    </row>
    <row r="63" spans="1:10" ht="15.75" customHeight="1">
      <c r="A63" s="16" t="str">
        <f t="array" ref="A63">IF(INDEX('1. Plot &amp; Site Log'!$A$5:$A$64,ROW()-4)="","",INDEX('1. Plot &amp; Site Log'!$A$5:$A$64,ROW()-4))</f>
        <v/>
      </c>
      <c r="B63" s="16" t="str">
        <f t="array" ref="B63">IF($A63="","",INDEX('1. Plot &amp; Site Log'!$B$5:$B$64,MATCH($A63,'1. Plot &amp; Site Log'!$A$5:$A$64,0)))</f>
        <v/>
      </c>
      <c r="C63" s="16" t="str">
        <f>IF($A63="","",COUNTIFS('2. Core Log'!$B$5:$B$124,$A63))</f>
        <v/>
      </c>
      <c r="D63" s="16" t="str">
        <f>IF(OR($A63="",$C63=0),"",IFERROR(AVERAGEIFS('2. Core Log'!$R$5:$R$124,'2. Core Log'!$B$5:$B$124,$A63),""))</f>
        <v/>
      </c>
      <c r="E63" s="16" t="str">
        <f>IF(OR($A63="",$C63=0),"",IFERROR(AVERAGEIFS('2. Core Log'!$S$5:$S$124,'2. Core Log'!$B$5:$B$124,$A63),""))</f>
        <v/>
      </c>
      <c r="F63" s="14"/>
      <c r="G63" s="23" t="str">
        <f t="shared" si="0"/>
        <v/>
      </c>
      <c r="H63" s="16" t="str">
        <f t="shared" si="1"/>
        <v/>
      </c>
      <c r="I63" s="16">
        <f t="shared" si="2"/>
        <v>0</v>
      </c>
      <c r="J63" s="16">
        <f t="shared" si="3"/>
        <v>0</v>
      </c>
    </row>
    <row r="64" spans="1:10" ht="15.75" customHeight="1">
      <c r="A64" s="16" t="str">
        <f t="array" ref="A64">IF(INDEX('1. Plot &amp; Site Log'!$A$5:$A$64,ROW()-4)="","",INDEX('1. Plot &amp; Site Log'!$A$5:$A$64,ROW()-4))</f>
        <v/>
      </c>
      <c r="B64" s="16" t="str">
        <f t="array" ref="B64">IF($A64="","",INDEX('1. Plot &amp; Site Log'!$B$5:$B$64,MATCH($A64,'1. Plot &amp; Site Log'!$A$5:$A$64,0)))</f>
        <v/>
      </c>
      <c r="C64" s="16" t="str">
        <f>IF($A64="","",COUNTIFS('2. Core Log'!$B$5:$B$124,$A64))</f>
        <v/>
      </c>
      <c r="D64" s="16" t="str">
        <f>IF(OR($A64="",$C64=0),"",IFERROR(AVERAGEIFS('2. Core Log'!$R$5:$R$124,'2. Core Log'!$B$5:$B$124,$A64),""))</f>
        <v/>
      </c>
      <c r="E64" s="16" t="str">
        <f>IF(OR($A64="",$C64=0),"",IFERROR(AVERAGEIFS('2. Core Log'!$S$5:$S$124,'2. Core Log'!$B$5:$B$124,$A64),""))</f>
        <v/>
      </c>
      <c r="F64" s="14"/>
      <c r="G64" s="23" t="str">
        <f t="shared" si="0"/>
        <v/>
      </c>
      <c r="H64" s="16" t="str">
        <f t="shared" si="1"/>
        <v/>
      </c>
      <c r="I64" s="16">
        <f t="shared" si="2"/>
        <v>0</v>
      </c>
      <c r="J64" s="16">
        <f t="shared" si="3"/>
        <v>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J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4" sqref="G14"/>
    </sheetView>
  </sheetViews>
  <sheetFormatPr defaultColWidth="14.453125" defaultRowHeight="15" customHeight="1"/>
  <cols>
    <col min="1" max="1" width="13" customWidth="1"/>
    <col min="2" max="2" width="14" customWidth="1"/>
    <col min="3" max="3" width="8" customWidth="1"/>
    <col min="4" max="4" width="14" customWidth="1"/>
    <col min="5" max="5" width="11" customWidth="1"/>
    <col min="6" max="6" width="12" customWidth="1"/>
    <col min="7" max="7" width="11" customWidth="1"/>
    <col min="8" max="8" width="15" customWidth="1"/>
    <col min="9" max="9" width="13" customWidth="1"/>
    <col min="10" max="10" width="12" customWidth="1"/>
    <col min="11" max="11" width="22" customWidth="1"/>
    <col min="12" max="12" width="15" customWidth="1"/>
    <col min="13" max="13" width="14" customWidth="1"/>
    <col min="14" max="14" width="42" customWidth="1"/>
    <col min="15" max="26" width="8.7265625" customWidth="1"/>
  </cols>
  <sheetData>
    <row r="1" spans="1:14" ht="18.5">
      <c r="A1" s="1" t="s">
        <v>152</v>
      </c>
    </row>
    <row r="2" spans="1:14" ht="54" customHeight="1">
      <c r="A2" s="43" t="s">
        <v>153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4" spans="1:14" ht="42" customHeight="1">
      <c r="A4" s="5" t="s">
        <v>12</v>
      </c>
      <c r="B4" s="5" t="s">
        <v>154</v>
      </c>
      <c r="C4" s="5" t="s">
        <v>155</v>
      </c>
      <c r="D4" s="5" t="s">
        <v>156</v>
      </c>
      <c r="E4" s="5" t="s">
        <v>157</v>
      </c>
      <c r="F4" s="5" t="s">
        <v>158</v>
      </c>
      <c r="G4" s="5" t="s">
        <v>159</v>
      </c>
      <c r="H4" s="5" t="s">
        <v>160</v>
      </c>
      <c r="I4" s="5" t="s">
        <v>161</v>
      </c>
      <c r="J4" s="5" t="s">
        <v>162</v>
      </c>
      <c r="K4" s="5" t="s">
        <v>163</v>
      </c>
      <c r="L4" s="5" t="s">
        <v>164</v>
      </c>
      <c r="M4" s="5" t="s">
        <v>165</v>
      </c>
      <c r="N4" s="5" t="s">
        <v>70</v>
      </c>
    </row>
    <row r="5" spans="1:14" ht="64.5" customHeight="1">
      <c r="A5" s="7" t="s">
        <v>320</v>
      </c>
      <c r="B5" s="7"/>
      <c r="C5" s="19">
        <f>IF($A5="","",SUMIFS('5. Plot Summary'!$J$5:$J$64,'5. Plot Summary'!$B$5:$B$64,$A5))</f>
        <v>1</v>
      </c>
      <c r="D5" s="20">
        <f>IF(OR($A5="",NOT(ISNUMBER($C5)),$C5=0),"",SUMIFS('5. Plot Summary'!$I$5:$I$64,'5. Plot Summary'!$B$5:$B$64,$A5)/$C5)</f>
        <v>0</v>
      </c>
      <c r="E5" s="20" t="str">
        <f>IF(OR($A5="",NOT(ISNUMBER($C5)),$C5&lt;2),"",SQRT(SUMPRODUCT(('5. Plot Summary'!$B$5:$B$64=$A5)*'5. Plot Summary'!$J$5:$J$64*('5. Plot Summary'!$I$5:$I$64-$D5)^2)/($C5-1)))</f>
        <v/>
      </c>
      <c r="F5" s="20" t="str">
        <f t="shared" ref="F5:F18" si="0">IF(OR(NOT(ISNUMBER($E5)),NOT(ISNUMBER($C5)),$C5&lt;2),"",$E5/SQRT($C5))</f>
        <v/>
      </c>
      <c r="G5" s="20" t="str">
        <f t="shared" ref="G5:G18" si="1">IF(OR($A5="",NOT(ISNUMBER($C5)),$C5&lt;2),"",TINV(1-TARGET_CONFIDENCE,$C5-1))</f>
        <v/>
      </c>
      <c r="H5" s="20" t="str">
        <f t="shared" ref="H5:H18" si="2">IF(OR(NOT(ISNUMBER($F5)),NOT(ISNUMBER($G5))),"",$G5*$F5)</f>
        <v/>
      </c>
      <c r="I5" s="25" t="str">
        <f t="shared" ref="I5:I18" si="3">IF(OR(NOT(ISNUMBER($H5)),NOT(ISNUMBER($D5)),$D5=0),"",$H5/$D5)</f>
        <v/>
      </c>
      <c r="J5" s="25">
        <f t="shared" ref="J5:J18" si="4">IF($A5="","",TARGET_MARGIN)</f>
        <v>0.2</v>
      </c>
      <c r="K5" s="19" t="str">
        <f t="shared" ref="K5:K18" si="5">IF(NOT(ISNUMBER($I5)),IF($A5="","","Cannot be assessed — at least 2 plots are needed for an interval."),IF($I5&lt;=$J5,"MET: ±"&amp;TEXT($I5,"0%")&amp;" at "&amp;TEXT(TARGET_CONFIDENCE,"0%")&amp;" confidence","NOT MET: ±"&amp;TEXT($I5,"0%")&amp;" against a ±"&amp;TEXT($J5,"0%")&amp;" target"))</f>
        <v>Cannot be assessed — at least 2 plots are needed for an interval.</v>
      </c>
      <c r="L5" s="19" t="str">
        <f t="shared" ref="L5:L18" si="6">IF(OR($A5="",NOT(ISNUMBER($B5)),NOT(ISNUMBER($D5))),"",$D5*$B5)</f>
        <v/>
      </c>
      <c r="M5" s="19" t="str">
        <f t="shared" ref="M5:M18" si="7">IF(NOT(ISNUMBER($L5)),"",$L5*CO2E_FACTOR/1000)</f>
        <v/>
      </c>
      <c r="N5" s="19" t="str">
        <f t="shared" ref="N5:N18" si="8">IF($A5="","",IF($C5=0,"No plots carry this Site ID — check it matches the Plot &amp; Site Log. ","")&amp;IF(AND($C5&gt;0,$C5&lt;2),"Only one plot: a mean can be reported but never an uncertainty. ","")&amp;IF($B5="","No site area, so no total carbon. ","")&amp;IF(AND(ISNUMBER($I5),$I5&gt;$J5),"Wider than planned. Peatland carbon varies more than forest carbon does, largely through depth — more cores, or stratifying by microform and depth, would tighten it. ",""))</f>
        <v xml:space="preserve">Only one plot: a mean can be reported but never an uncertainty. No site area, so no total carbon. </v>
      </c>
    </row>
    <row r="6" spans="1:14" ht="64.5" customHeight="1">
      <c r="A6" s="7" t="s">
        <v>321</v>
      </c>
      <c r="B6" s="7"/>
      <c r="C6" s="19">
        <f>IF($A6="","",SUMIFS('5. Plot Summary'!$J$5:$J$64,'5. Plot Summary'!$B$5:$B$64,$A6))</f>
        <v>1</v>
      </c>
      <c r="D6" s="20">
        <f>IF(OR($A6="",NOT(ISNUMBER($C6)),$C6=0),"",SUMIFS('5. Plot Summary'!$I$5:$I$64,'5. Plot Summary'!$B$5:$B$64,$A6)/$C6)</f>
        <v>0</v>
      </c>
      <c r="E6" s="20" t="str">
        <f>IF(OR($A6="",NOT(ISNUMBER($C6)),$C6&lt;2),"",SQRT(SUMPRODUCT(('5. Plot Summary'!$B$5:$B$64=$A6)*'5. Plot Summary'!$J$5:$J$64*('5. Plot Summary'!$I$5:$I$64-$D6)^2)/($C6-1)))</f>
        <v/>
      </c>
      <c r="F6" s="20" t="str">
        <f t="shared" si="0"/>
        <v/>
      </c>
      <c r="G6" s="20" t="str">
        <f t="shared" si="1"/>
        <v/>
      </c>
      <c r="H6" s="20" t="str">
        <f t="shared" si="2"/>
        <v/>
      </c>
      <c r="I6" s="25" t="str">
        <f t="shared" si="3"/>
        <v/>
      </c>
      <c r="J6" s="25">
        <f t="shared" si="4"/>
        <v>0.2</v>
      </c>
      <c r="K6" s="19" t="str">
        <f t="shared" si="5"/>
        <v>Cannot be assessed — at least 2 plots are needed for an interval.</v>
      </c>
      <c r="L6" s="19" t="str">
        <f t="shared" si="6"/>
        <v/>
      </c>
      <c r="M6" s="19" t="str">
        <f t="shared" si="7"/>
        <v/>
      </c>
      <c r="N6" s="19" t="str">
        <f t="shared" si="8"/>
        <v xml:space="preserve">Only one plot: a mean can be reported but never an uncertainty. No site area, so no total carbon. </v>
      </c>
    </row>
    <row r="7" spans="1:14" ht="64.5" customHeight="1">
      <c r="A7" s="7" t="s">
        <v>322</v>
      </c>
      <c r="B7" s="7"/>
      <c r="C7" s="19">
        <f>IF($A7="","",SUMIFS('5. Plot Summary'!$J$5:$J$64,'5. Plot Summary'!$B$5:$B$64,$A7))</f>
        <v>1</v>
      </c>
      <c r="D7" s="20">
        <f>IF(OR($A7="",NOT(ISNUMBER($C7)),$C7=0),"",SUMIFS('5. Plot Summary'!$I$5:$I$64,'5. Plot Summary'!$B$5:$B$64,$A7)/$C7)</f>
        <v>0</v>
      </c>
      <c r="E7" s="20" t="str">
        <f>IF(OR($A7="",NOT(ISNUMBER($C7)),$C7&lt;2),"",SQRT(SUMPRODUCT(('5. Plot Summary'!$B$5:$B$64=$A7)*'5. Plot Summary'!$J$5:$J$64*('5. Plot Summary'!$I$5:$I$64-$D7)^2)/($C7-1)))</f>
        <v/>
      </c>
      <c r="F7" s="20" t="str">
        <f t="shared" si="0"/>
        <v/>
      </c>
      <c r="G7" s="20" t="str">
        <f t="shared" si="1"/>
        <v/>
      </c>
      <c r="H7" s="20" t="str">
        <f t="shared" si="2"/>
        <v/>
      </c>
      <c r="I7" s="25" t="str">
        <f t="shared" si="3"/>
        <v/>
      </c>
      <c r="J7" s="25">
        <f t="shared" si="4"/>
        <v>0.2</v>
      </c>
      <c r="K7" s="19" t="str">
        <f t="shared" si="5"/>
        <v>Cannot be assessed — at least 2 plots are needed for an interval.</v>
      </c>
      <c r="L7" s="19" t="str">
        <f t="shared" si="6"/>
        <v/>
      </c>
      <c r="M7" s="19" t="str">
        <f t="shared" si="7"/>
        <v/>
      </c>
      <c r="N7" s="19" t="str">
        <f t="shared" si="8"/>
        <v xml:space="preserve">Only one plot: a mean can be reported but never an uncertainty. No site area, so no total carbon. </v>
      </c>
    </row>
    <row r="8" spans="1:14" ht="64.5" customHeight="1">
      <c r="A8" s="7" t="s">
        <v>315</v>
      </c>
      <c r="B8" s="7"/>
      <c r="C8" s="19">
        <f>IF($A8="","",SUMIFS('5. Plot Summary'!$J$5:$J$64,'5. Plot Summary'!$B$5:$B$64,$A8))</f>
        <v>1</v>
      </c>
      <c r="D8" s="20">
        <f>IF(OR($A8="",NOT(ISNUMBER($C8)),$C8=0),"",SUMIFS('5. Plot Summary'!$I$5:$I$64,'5. Plot Summary'!$B$5:$B$64,$A8)/$C8)</f>
        <v>14.263004583199999</v>
      </c>
      <c r="E8" s="20" t="str">
        <f>IF(OR($A8="",NOT(ISNUMBER($C8)),$C8&lt;2),"",SQRT(SUMPRODUCT(('5. Plot Summary'!$B$5:$B$64=$A8)*'5. Plot Summary'!$J$5:$J$64*('5. Plot Summary'!$I$5:$I$64-$D8)^2)/($C8-1)))</f>
        <v/>
      </c>
      <c r="F8" s="20" t="str">
        <f t="shared" si="0"/>
        <v/>
      </c>
      <c r="G8" s="20" t="str">
        <f t="shared" si="1"/>
        <v/>
      </c>
      <c r="H8" s="20" t="str">
        <f t="shared" si="2"/>
        <v/>
      </c>
      <c r="I8" s="25" t="str">
        <f t="shared" si="3"/>
        <v/>
      </c>
      <c r="J8" s="25">
        <f t="shared" si="4"/>
        <v>0.2</v>
      </c>
      <c r="K8" s="19" t="str">
        <f t="shared" si="5"/>
        <v>Cannot be assessed — at least 2 plots are needed for an interval.</v>
      </c>
      <c r="L8" s="19" t="str">
        <f t="shared" si="6"/>
        <v/>
      </c>
      <c r="M8" s="19" t="str">
        <f t="shared" si="7"/>
        <v/>
      </c>
      <c r="N8" s="19" t="str">
        <f t="shared" si="8"/>
        <v xml:space="preserve">Only one plot: a mean can be reported but never an uncertainty. No site area, so no total carbon. </v>
      </c>
    </row>
    <row r="9" spans="1:14" ht="14.5">
      <c r="A9" s="14" t="s">
        <v>316</v>
      </c>
      <c r="B9" s="14"/>
      <c r="C9" s="16">
        <f>IF($A9="","",SUMIFS('5. Plot Summary'!$J$5:$J$64,'5. Plot Summary'!$B$5:$B$64,$A9))</f>
        <v>1</v>
      </c>
      <c r="D9" s="16">
        <f>IF(OR($A9="",NOT(ISNUMBER($C9)),$C9=0),"",SUMIFS('5. Plot Summary'!$I$5:$I$64,'5. Plot Summary'!$B$5:$B$64,$A9)/$C9)</f>
        <v>8.3815614381999985</v>
      </c>
      <c r="E9" s="16" t="str">
        <f>IF(OR($A9="",NOT(ISNUMBER($C9)),$C9&lt;2),"",SQRT(SUMPRODUCT(('5. Plot Summary'!$B$5:$B$64=$A9)*'5. Plot Summary'!$J$5:$J$64*('5. Plot Summary'!$I$5:$I$64-$D9)^2)/($C9-1)))</f>
        <v/>
      </c>
      <c r="F9" s="16" t="str">
        <f t="shared" si="0"/>
        <v/>
      </c>
      <c r="G9" s="16" t="str">
        <f t="shared" si="1"/>
        <v/>
      </c>
      <c r="H9" s="16" t="str">
        <f t="shared" si="2"/>
        <v/>
      </c>
      <c r="I9" s="16" t="str">
        <f t="shared" si="3"/>
        <v/>
      </c>
      <c r="J9" s="16">
        <f t="shared" si="4"/>
        <v>0.2</v>
      </c>
      <c r="K9" s="16" t="str">
        <f t="shared" si="5"/>
        <v>Cannot be assessed — at least 2 plots are needed for an interval.</v>
      </c>
      <c r="L9" s="16" t="str">
        <f t="shared" si="6"/>
        <v/>
      </c>
      <c r="M9" s="16" t="str">
        <f t="shared" si="7"/>
        <v/>
      </c>
      <c r="N9" s="16" t="str">
        <f t="shared" si="8"/>
        <v xml:space="preserve">Only one plot: a mean can be reported but never an uncertainty. No site area, so no total carbon. </v>
      </c>
    </row>
    <row r="10" spans="1:14" ht="14.5">
      <c r="A10" s="14" t="s">
        <v>317</v>
      </c>
      <c r="B10" s="14"/>
      <c r="C10" s="16">
        <f>IF($A10="","",SUMIFS('5. Plot Summary'!$J$5:$J$64,'5. Plot Summary'!$B$5:$B$64,$A10))</f>
        <v>2</v>
      </c>
      <c r="D10" s="16">
        <f>IF(OR($A10="",NOT(ISNUMBER($C10)),$C10=0),"",SUMIFS('5. Plot Summary'!$I$5:$I$64,'5. Plot Summary'!$B$5:$B$64,$A10)/$C10)</f>
        <v>2.1111515592500001</v>
      </c>
      <c r="E10" s="16">
        <f>IF(OR($A10="",NOT(ISNUMBER($C10)),$C10&lt;2),"",SQRT(SUMPRODUCT(('5. Plot Summary'!$B$5:$B$64=$A10)*'5. Plot Summary'!$J$5:$J$64*('5. Plot Summary'!$I$5:$I$64-$D10)^2)/($C10-1)))</f>
        <v>2.9856191673164569</v>
      </c>
      <c r="F10" s="16">
        <f t="shared" si="0"/>
        <v>2.1111515592500001</v>
      </c>
      <c r="G10" s="16">
        <f t="shared" si="1"/>
        <v>6.3137515146750447</v>
      </c>
      <c r="H10" s="16">
        <f t="shared" si="2"/>
        <v>13.329286354923271</v>
      </c>
      <c r="I10" s="16">
        <f t="shared" si="3"/>
        <v>6.3137515146750447</v>
      </c>
      <c r="J10" s="16">
        <f t="shared" si="4"/>
        <v>0.2</v>
      </c>
      <c r="K10" s="16" t="str">
        <f t="shared" si="5"/>
        <v>NOT MET: ±631% against a ±20% target</v>
      </c>
      <c r="L10" s="16" t="str">
        <f t="shared" si="6"/>
        <v/>
      </c>
      <c r="M10" s="16" t="str">
        <f t="shared" si="7"/>
        <v/>
      </c>
      <c r="N10" s="16" t="str">
        <f t="shared" si="8"/>
        <v xml:space="preserve">No site area, so no total carbon. Wider than planned. Peatland carbon varies more than forest carbon does, largely through depth — more cores, or stratifying by microform and depth, would tighten it. </v>
      </c>
    </row>
    <row r="11" spans="1:14" ht="14.5">
      <c r="A11" s="14" t="s">
        <v>317</v>
      </c>
      <c r="B11" s="14"/>
      <c r="C11" s="16">
        <f>IF($A11="","",SUMIFS('5. Plot Summary'!$J$5:$J$64,'5. Plot Summary'!$B$5:$B$64,$A11))</f>
        <v>2</v>
      </c>
      <c r="D11" s="16">
        <f>IF(OR($A11="",NOT(ISNUMBER($C11)),$C11=0),"",SUMIFS('5. Plot Summary'!$I$5:$I$64,'5. Plot Summary'!$B$5:$B$64,$A11)/$C11)</f>
        <v>2.1111515592500001</v>
      </c>
      <c r="E11" s="16">
        <f>IF(OR($A11="",NOT(ISNUMBER($C11)),$C11&lt;2),"",SQRT(SUMPRODUCT(('5. Plot Summary'!$B$5:$B$64=$A11)*'5. Plot Summary'!$J$5:$J$64*('5. Plot Summary'!$I$5:$I$64-$D11)^2)/($C11-1)))</f>
        <v>2.9856191673164569</v>
      </c>
      <c r="F11" s="16">
        <f t="shared" si="0"/>
        <v>2.1111515592500001</v>
      </c>
      <c r="G11" s="16">
        <f t="shared" si="1"/>
        <v>6.3137515146750447</v>
      </c>
      <c r="H11" s="16">
        <f t="shared" si="2"/>
        <v>13.329286354923271</v>
      </c>
      <c r="I11" s="16">
        <f t="shared" si="3"/>
        <v>6.3137515146750447</v>
      </c>
      <c r="J11" s="16">
        <f t="shared" si="4"/>
        <v>0.2</v>
      </c>
      <c r="K11" s="16" t="str">
        <f t="shared" si="5"/>
        <v>NOT MET: ±631% against a ±20% target</v>
      </c>
      <c r="L11" s="16" t="str">
        <f t="shared" si="6"/>
        <v/>
      </c>
      <c r="M11" s="16" t="str">
        <f t="shared" si="7"/>
        <v/>
      </c>
      <c r="N11" s="16" t="str">
        <f t="shared" si="8"/>
        <v xml:space="preserve">No site area, so no total carbon. Wider than planned. Peatland carbon varies more than forest carbon does, largely through depth — more cores, or stratifying by microform and depth, would tighten it. </v>
      </c>
    </row>
    <row r="12" spans="1:14" ht="14.5">
      <c r="A12" s="14" t="s">
        <v>319</v>
      </c>
      <c r="B12" s="14"/>
      <c r="C12" s="16">
        <f>IF($A12="","",SUMIFS('5. Plot Summary'!$J$5:$J$64,'5. Plot Summary'!$B$5:$B$64,$A12))</f>
        <v>1</v>
      </c>
      <c r="D12" s="16">
        <f>IF(OR($A12="",NOT(ISNUMBER($C12)),$C12=0),"",SUMIFS('5. Plot Summary'!$I$5:$I$64,'5. Plot Summary'!$B$5:$B$64,$A12)/$C12)</f>
        <v>0</v>
      </c>
      <c r="E12" s="16" t="str">
        <f>IF(OR($A12="",NOT(ISNUMBER($C12)),$C12&lt;2),"",SQRT(SUMPRODUCT(('5. Plot Summary'!$B$5:$B$64=$A12)*'5. Plot Summary'!$J$5:$J$64*('5. Plot Summary'!$I$5:$I$64-$D12)^2)/($C12-1)))</f>
        <v/>
      </c>
      <c r="F12" s="16" t="str">
        <f t="shared" si="0"/>
        <v/>
      </c>
      <c r="G12" s="16" t="str">
        <f t="shared" si="1"/>
        <v/>
      </c>
      <c r="H12" s="16" t="str">
        <f t="shared" si="2"/>
        <v/>
      </c>
      <c r="I12" s="16" t="str">
        <f t="shared" si="3"/>
        <v/>
      </c>
      <c r="J12" s="16">
        <f t="shared" si="4"/>
        <v>0.2</v>
      </c>
      <c r="K12" s="16" t="str">
        <f t="shared" si="5"/>
        <v>Cannot be assessed — at least 2 plots are needed for an interval.</v>
      </c>
      <c r="L12" s="16" t="str">
        <f t="shared" si="6"/>
        <v/>
      </c>
      <c r="M12" s="16" t="str">
        <f t="shared" si="7"/>
        <v/>
      </c>
      <c r="N12" s="16" t="str">
        <f t="shared" si="8"/>
        <v xml:space="preserve">Only one plot: a mean can be reported but never an uncertainty. No site area, so no total carbon. </v>
      </c>
    </row>
    <row r="13" spans="1:14" ht="14.5">
      <c r="A13" s="14"/>
      <c r="B13" s="14"/>
      <c r="C13" s="16" t="str">
        <f>IF($A13="","",SUMIFS('5. Plot Summary'!$J$5:$J$64,'5. Plot Summary'!$B$5:$B$64,$A13))</f>
        <v/>
      </c>
      <c r="D13" s="16" t="str">
        <f>IF(OR($A13="",NOT(ISNUMBER($C13)),$C13=0),"",SUMIFS('5. Plot Summary'!$I$5:$I$64,'5. Plot Summary'!$B$5:$B$64,$A13)/$C13)</f>
        <v/>
      </c>
      <c r="E13" s="16" t="str">
        <f>IF(OR($A13="",NOT(ISNUMBER($C13)),$C13&lt;2),"",SQRT(SUMPRODUCT(('5. Plot Summary'!$B$5:$B$64=$A13)*'5. Plot Summary'!$J$5:$J$64*('5. Plot Summary'!$I$5:$I$64-$D13)^2)/($C13-1)))</f>
        <v/>
      </c>
      <c r="F13" s="16" t="str">
        <f t="shared" si="0"/>
        <v/>
      </c>
      <c r="G13" s="16" t="str">
        <f t="shared" si="1"/>
        <v/>
      </c>
      <c r="H13" s="16" t="str">
        <f t="shared" si="2"/>
        <v/>
      </c>
      <c r="I13" s="16" t="str">
        <f t="shared" si="3"/>
        <v/>
      </c>
      <c r="J13" s="16" t="str">
        <f t="shared" si="4"/>
        <v/>
      </c>
      <c r="K13" s="16" t="str">
        <f t="shared" si="5"/>
        <v/>
      </c>
      <c r="L13" s="16" t="str">
        <f t="shared" si="6"/>
        <v/>
      </c>
      <c r="M13" s="16" t="str">
        <f t="shared" si="7"/>
        <v/>
      </c>
      <c r="N13" s="16" t="str">
        <f t="shared" si="8"/>
        <v/>
      </c>
    </row>
    <row r="14" spans="1:14" ht="14.5">
      <c r="A14" s="14"/>
      <c r="B14" s="14"/>
      <c r="C14" s="16" t="str">
        <f>IF($A14="","",SUMIFS('5. Plot Summary'!$J$5:$J$64,'5. Plot Summary'!$B$5:$B$64,$A14))</f>
        <v/>
      </c>
      <c r="D14" s="16" t="str">
        <f>IF(OR($A14="",NOT(ISNUMBER($C14)),$C14=0),"",SUMIFS('5. Plot Summary'!$I$5:$I$64,'5. Plot Summary'!$B$5:$B$64,$A14)/$C14)</f>
        <v/>
      </c>
      <c r="E14" s="16" t="str">
        <f>IF(OR($A14="",NOT(ISNUMBER($C14)),$C14&lt;2),"",SQRT(SUMPRODUCT(('5. Plot Summary'!$B$5:$B$64=$A14)*'5. Plot Summary'!$J$5:$J$64*('5. Plot Summary'!$I$5:$I$64-$D14)^2)/($C14-1)))</f>
        <v/>
      </c>
      <c r="F14" s="16" t="str">
        <f t="shared" si="0"/>
        <v/>
      </c>
      <c r="G14" s="16" t="str">
        <f t="shared" si="1"/>
        <v/>
      </c>
      <c r="H14" s="16" t="str">
        <f t="shared" si="2"/>
        <v/>
      </c>
      <c r="I14" s="16" t="str">
        <f t="shared" si="3"/>
        <v/>
      </c>
      <c r="J14" s="16" t="str">
        <f t="shared" si="4"/>
        <v/>
      </c>
      <c r="K14" s="16" t="str">
        <f t="shared" si="5"/>
        <v/>
      </c>
      <c r="L14" s="16" t="str">
        <f t="shared" si="6"/>
        <v/>
      </c>
      <c r="M14" s="16" t="str">
        <f t="shared" si="7"/>
        <v/>
      </c>
      <c r="N14" s="16" t="str">
        <f t="shared" si="8"/>
        <v/>
      </c>
    </row>
    <row r="15" spans="1:14" ht="14.5">
      <c r="A15" s="14"/>
      <c r="B15" s="14"/>
      <c r="C15" s="16" t="str">
        <f>IF($A15="","",SUMIFS('5. Plot Summary'!$J$5:$J$64,'5. Plot Summary'!$B$5:$B$64,$A15))</f>
        <v/>
      </c>
      <c r="D15" s="16" t="str">
        <f>IF(OR($A15="",NOT(ISNUMBER($C15)),$C15=0),"",SUMIFS('5. Plot Summary'!$I$5:$I$64,'5. Plot Summary'!$B$5:$B$64,$A15)/$C15)</f>
        <v/>
      </c>
      <c r="E15" s="16" t="str">
        <f>IF(OR($A15="",NOT(ISNUMBER($C15)),$C15&lt;2),"",SQRT(SUMPRODUCT(('5. Plot Summary'!$B$5:$B$64=$A15)*'5. Plot Summary'!$J$5:$J$64*('5. Plot Summary'!$I$5:$I$64-$D15)^2)/($C15-1)))</f>
        <v/>
      </c>
      <c r="F15" s="16" t="str">
        <f t="shared" si="0"/>
        <v/>
      </c>
      <c r="G15" s="16" t="str">
        <f t="shared" si="1"/>
        <v/>
      </c>
      <c r="H15" s="16" t="str">
        <f t="shared" si="2"/>
        <v/>
      </c>
      <c r="I15" s="16" t="str">
        <f t="shared" si="3"/>
        <v/>
      </c>
      <c r="J15" s="16" t="str">
        <f t="shared" si="4"/>
        <v/>
      </c>
      <c r="K15" s="16" t="str">
        <f t="shared" si="5"/>
        <v/>
      </c>
      <c r="L15" s="16" t="str">
        <f t="shared" si="6"/>
        <v/>
      </c>
      <c r="M15" s="16" t="str">
        <f t="shared" si="7"/>
        <v/>
      </c>
      <c r="N15" s="16" t="str">
        <f t="shared" si="8"/>
        <v/>
      </c>
    </row>
    <row r="16" spans="1:14" ht="14.5">
      <c r="A16" s="14"/>
      <c r="B16" s="14"/>
      <c r="C16" s="16" t="str">
        <f>IF($A16="","",SUMIFS('5. Plot Summary'!$J$5:$J$64,'5. Plot Summary'!$B$5:$B$64,$A16))</f>
        <v/>
      </c>
      <c r="D16" s="16" t="str">
        <f>IF(OR($A16="",NOT(ISNUMBER($C16)),$C16=0),"",SUMIFS('5. Plot Summary'!$I$5:$I$64,'5. Plot Summary'!$B$5:$B$64,$A16)/$C16)</f>
        <v/>
      </c>
      <c r="E16" s="16" t="str">
        <f>IF(OR($A16="",NOT(ISNUMBER($C16)),$C16&lt;2),"",SQRT(SUMPRODUCT(('5. Plot Summary'!$B$5:$B$64=$A16)*'5. Plot Summary'!$J$5:$J$64*('5. Plot Summary'!$I$5:$I$64-$D16)^2)/($C16-1)))</f>
        <v/>
      </c>
      <c r="F16" s="16" t="str">
        <f t="shared" si="0"/>
        <v/>
      </c>
      <c r="G16" s="16" t="str">
        <f t="shared" si="1"/>
        <v/>
      </c>
      <c r="H16" s="16" t="str">
        <f t="shared" si="2"/>
        <v/>
      </c>
      <c r="I16" s="16" t="str">
        <f t="shared" si="3"/>
        <v/>
      </c>
      <c r="J16" s="16" t="str">
        <f t="shared" si="4"/>
        <v/>
      </c>
      <c r="K16" s="16" t="str">
        <f t="shared" si="5"/>
        <v/>
      </c>
      <c r="L16" s="16" t="str">
        <f t="shared" si="6"/>
        <v/>
      </c>
      <c r="M16" s="16" t="str">
        <f t="shared" si="7"/>
        <v/>
      </c>
      <c r="N16" s="16" t="str">
        <f t="shared" si="8"/>
        <v/>
      </c>
    </row>
    <row r="17" spans="1:14" ht="14.5">
      <c r="A17" s="14"/>
      <c r="B17" s="14"/>
      <c r="C17" s="16" t="str">
        <f>IF($A17="","",SUMIFS('5. Plot Summary'!$J$5:$J$64,'5. Plot Summary'!$B$5:$B$64,$A17))</f>
        <v/>
      </c>
      <c r="D17" s="16" t="str">
        <f>IF(OR($A17="",NOT(ISNUMBER($C17)),$C17=0),"",SUMIFS('5. Plot Summary'!$I$5:$I$64,'5. Plot Summary'!$B$5:$B$64,$A17)/$C17)</f>
        <v/>
      </c>
      <c r="E17" s="16" t="str">
        <f>IF(OR($A17="",NOT(ISNUMBER($C17)),$C17&lt;2),"",SQRT(SUMPRODUCT(('5. Plot Summary'!$B$5:$B$64=$A17)*'5. Plot Summary'!$J$5:$J$64*('5. Plot Summary'!$I$5:$I$64-$D17)^2)/($C17-1)))</f>
        <v/>
      </c>
      <c r="F17" s="16" t="str">
        <f t="shared" si="0"/>
        <v/>
      </c>
      <c r="G17" s="16" t="str">
        <f t="shared" si="1"/>
        <v/>
      </c>
      <c r="H17" s="16" t="str">
        <f t="shared" si="2"/>
        <v/>
      </c>
      <c r="I17" s="16" t="str">
        <f t="shared" si="3"/>
        <v/>
      </c>
      <c r="J17" s="16" t="str">
        <f t="shared" si="4"/>
        <v/>
      </c>
      <c r="K17" s="16" t="str">
        <f t="shared" si="5"/>
        <v/>
      </c>
      <c r="L17" s="16" t="str">
        <f t="shared" si="6"/>
        <v/>
      </c>
      <c r="M17" s="16" t="str">
        <f t="shared" si="7"/>
        <v/>
      </c>
      <c r="N17" s="16" t="str">
        <f t="shared" si="8"/>
        <v/>
      </c>
    </row>
    <row r="18" spans="1:14" ht="14.5">
      <c r="A18" s="14"/>
      <c r="B18" s="14"/>
      <c r="C18" s="16" t="str">
        <f>IF($A18="","",SUMIFS('5. Plot Summary'!$J$5:$J$64,'5. Plot Summary'!$B$5:$B$64,$A18))</f>
        <v/>
      </c>
      <c r="D18" s="16" t="str">
        <f>IF(OR($A18="",NOT(ISNUMBER($C18)),$C18=0),"",SUMIFS('5. Plot Summary'!$I$5:$I$64,'5. Plot Summary'!$B$5:$B$64,$A18)/$C18)</f>
        <v/>
      </c>
      <c r="E18" s="16" t="str">
        <f>IF(OR($A18="",NOT(ISNUMBER($C18)),$C18&lt;2),"",SQRT(SUMPRODUCT(('5. Plot Summary'!$B$5:$B$64=$A18)*'5. Plot Summary'!$J$5:$J$64*('5. Plot Summary'!$I$5:$I$64-$D18)^2)/($C18-1)))</f>
        <v/>
      </c>
      <c r="F18" s="16" t="str">
        <f t="shared" si="0"/>
        <v/>
      </c>
      <c r="G18" s="16" t="str">
        <f t="shared" si="1"/>
        <v/>
      </c>
      <c r="H18" s="16" t="str">
        <f t="shared" si="2"/>
        <v/>
      </c>
      <c r="I18" s="16" t="str">
        <f t="shared" si="3"/>
        <v/>
      </c>
      <c r="J18" s="16" t="str">
        <f t="shared" si="4"/>
        <v/>
      </c>
      <c r="K18" s="16" t="str">
        <f t="shared" si="5"/>
        <v/>
      </c>
      <c r="L18" s="16" t="str">
        <f t="shared" si="6"/>
        <v/>
      </c>
      <c r="M18" s="16" t="str">
        <f t="shared" si="7"/>
        <v/>
      </c>
      <c r="N18" s="16" t="str">
        <f t="shared" si="8"/>
        <v/>
      </c>
    </row>
    <row r="21" spans="1:14" ht="19.5" customHeight="1">
      <c r="A21" s="45" t="s">
        <v>166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</row>
    <row r="22" spans="1:14" ht="15.75" customHeight="1">
      <c r="A22" s="6" t="s">
        <v>167</v>
      </c>
      <c r="B22" s="26" t="str">
        <f>IF(SUM($B$5:$B$18)=0,"",SUM($B$5:$B$18))</f>
        <v/>
      </c>
    </row>
    <row r="23" spans="1:14" ht="15.75" customHeight="1">
      <c r="A23" s="6" t="s">
        <v>164</v>
      </c>
      <c r="B23" s="26" t="str">
        <f>IF(SUM($L$5:$L$18)=0,"",SUM($L$5:$L$18))</f>
        <v/>
      </c>
    </row>
    <row r="24" spans="1:14" ht="15.75" customHeight="1">
      <c r="A24" s="6" t="s">
        <v>168</v>
      </c>
      <c r="B24" s="26" t="str">
        <f>IF(OR($B$22="",$B$23=""),"",$B$23/$B$22)</f>
        <v/>
      </c>
    </row>
    <row r="25" spans="1:14" ht="15.75" customHeight="1">
      <c r="A25" s="6" t="s">
        <v>165</v>
      </c>
      <c r="B25" s="26" t="str">
        <f>IF($B$23="","",$B$23*CO2E_FACTOR/1000)</f>
        <v/>
      </c>
    </row>
    <row r="26" spans="1:14" ht="15.75" customHeight="1"/>
    <row r="27" spans="1:14" ht="15.75" customHeight="1">
      <c r="A27" s="6" t="s">
        <v>169</v>
      </c>
    </row>
    <row r="28" spans="1:14" ht="15.75" customHeight="1">
      <c r="A28" s="6" t="s">
        <v>170</v>
      </c>
      <c r="B28" s="4" t="str">
        <f>REFERENCE_DEPTH_CM&amp;" cm"</f>
        <v>100 cm</v>
      </c>
    </row>
    <row r="29" spans="1:14" ht="30" customHeight="1">
      <c r="A29" s="43" t="s">
        <v>171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</row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N2"/>
    <mergeCell ref="A21:N21"/>
    <mergeCell ref="A29:K2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4.453125" defaultRowHeight="15" customHeight="1"/>
  <cols>
    <col min="1" max="1" width="30" customWidth="1"/>
    <col min="2" max="2" width="15" customWidth="1"/>
    <col min="3" max="3" width="88" customWidth="1"/>
    <col min="4" max="26" width="8.7265625" customWidth="1"/>
  </cols>
  <sheetData>
    <row r="1" spans="1:3" ht="18.5">
      <c r="A1" s="1" t="s">
        <v>172</v>
      </c>
    </row>
    <row r="2" spans="1:3" ht="14.5">
      <c r="A2" s="27" t="s">
        <v>173</v>
      </c>
    </row>
    <row r="4" spans="1:3" ht="14.5">
      <c r="A4" s="28" t="s">
        <v>174</v>
      </c>
      <c r="B4" s="28" t="s">
        <v>175</v>
      </c>
      <c r="C4" s="28" t="s">
        <v>176</v>
      </c>
    </row>
    <row r="5" spans="1:3" ht="31.5" customHeight="1">
      <c r="A5" s="29" t="s">
        <v>177</v>
      </c>
      <c r="B5" s="14">
        <v>0.5</v>
      </c>
      <c r="C5" s="3" t="s">
        <v>178</v>
      </c>
    </row>
    <row r="6" spans="1:3" ht="31.5" customHeight="1">
      <c r="A6" s="29" t="s">
        <v>179</v>
      </c>
      <c r="B6" s="14" t="s">
        <v>125</v>
      </c>
      <c r="C6" s="3" t="s">
        <v>180</v>
      </c>
    </row>
    <row r="7" spans="1:3" ht="31.5" customHeight="1">
      <c r="A7" s="29" t="s">
        <v>181</v>
      </c>
      <c r="B7" s="14">
        <v>3.67</v>
      </c>
      <c r="C7" s="3" t="s">
        <v>182</v>
      </c>
    </row>
    <row r="8" spans="1:3" ht="31.5" customHeight="1">
      <c r="A8" s="29" t="s">
        <v>183</v>
      </c>
      <c r="B8" s="14">
        <v>100</v>
      </c>
      <c r="C8" s="3" t="s">
        <v>184</v>
      </c>
    </row>
    <row r="9" spans="1:3" ht="31.5" customHeight="1">
      <c r="A9" s="29" t="s">
        <v>185</v>
      </c>
      <c r="B9" s="14">
        <v>30</v>
      </c>
      <c r="C9" s="3" t="s">
        <v>186</v>
      </c>
    </row>
    <row r="10" spans="1:3" ht="31.5" customHeight="1">
      <c r="A10" s="29" t="s">
        <v>187</v>
      </c>
      <c r="B10" s="14">
        <v>100</v>
      </c>
      <c r="C10" s="3" t="s">
        <v>188</v>
      </c>
    </row>
    <row r="11" spans="1:3" ht="31.5" customHeight="1">
      <c r="A11" s="29" t="s">
        <v>189</v>
      </c>
      <c r="B11" s="14">
        <v>0.2</v>
      </c>
      <c r="C11" s="3" t="s">
        <v>190</v>
      </c>
    </row>
    <row r="12" spans="1:3" ht="31.5" customHeight="1">
      <c r="A12" s="29" t="s">
        <v>191</v>
      </c>
      <c r="B12" s="14">
        <v>0.9</v>
      </c>
      <c r="C12" s="3" t="s">
        <v>192</v>
      </c>
    </row>
    <row r="13" spans="1:3" ht="31.5" customHeight="1">
      <c r="A13" s="29" t="s">
        <v>193</v>
      </c>
      <c r="B13" s="14">
        <v>0.02</v>
      </c>
      <c r="C13" s="3" t="s">
        <v>194</v>
      </c>
    </row>
    <row r="14" spans="1:3" ht="31.5" customHeight="1">
      <c r="A14" s="29" t="s">
        <v>195</v>
      </c>
      <c r="B14" s="14">
        <v>1.2</v>
      </c>
      <c r="C14" s="3" t="s">
        <v>196</v>
      </c>
    </row>
    <row r="15" spans="1:3" ht="31.5" customHeight="1">
      <c r="A15" s="29" t="s">
        <v>197</v>
      </c>
      <c r="B15" s="14">
        <v>60</v>
      </c>
      <c r="C15" s="3" t="s">
        <v>198</v>
      </c>
    </row>
    <row r="16" spans="1:3" ht="31.5" customHeight="1">
      <c r="A16" s="29" t="s">
        <v>199</v>
      </c>
      <c r="B16" s="14">
        <v>0.9</v>
      </c>
      <c r="C16" s="3" t="s">
        <v>200</v>
      </c>
    </row>
    <row r="17" spans="1:3" ht="31.5" customHeight="1">
      <c r="A17" s="29" t="s">
        <v>201</v>
      </c>
      <c r="B17" s="14">
        <v>4</v>
      </c>
      <c r="C17" s="3" t="s">
        <v>202</v>
      </c>
    </row>
    <row r="18" spans="1:3" ht="31.5" customHeight="1">
      <c r="A18" s="29" t="s">
        <v>203</v>
      </c>
      <c r="B18" s="14">
        <v>90</v>
      </c>
      <c r="C18" s="3" t="s">
        <v>204</v>
      </c>
    </row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6" customWidth="1"/>
    <col min="2" max="2" width="34" customWidth="1"/>
    <col min="3" max="3" width="84" customWidth="1"/>
    <col min="4" max="26" width="8.7265625" customWidth="1"/>
  </cols>
  <sheetData>
    <row r="1" spans="1:3" ht="18.5">
      <c r="A1" s="1" t="s">
        <v>205</v>
      </c>
    </row>
    <row r="3" spans="1:3" ht="14.5">
      <c r="A3" s="6" t="s">
        <v>206</v>
      </c>
    </row>
    <row r="4" spans="1:3" ht="27.75" customHeight="1">
      <c r="A4" s="43" t="s">
        <v>207</v>
      </c>
      <c r="B4" s="44"/>
      <c r="C4" s="44"/>
    </row>
    <row r="5" spans="1:3" ht="42" customHeight="1">
      <c r="A5" s="5" t="s">
        <v>208</v>
      </c>
      <c r="B5" s="5" t="s">
        <v>209</v>
      </c>
      <c r="C5" s="5" t="s">
        <v>210</v>
      </c>
    </row>
    <row r="6" spans="1:3" ht="14.5">
      <c r="A6" s="30" t="s">
        <v>211</v>
      </c>
      <c r="B6" s="30" t="s">
        <v>212</v>
      </c>
      <c r="C6" s="30" t="s">
        <v>213</v>
      </c>
    </row>
    <row r="7" spans="1:3" ht="14.5">
      <c r="A7" s="30" t="s">
        <v>116</v>
      </c>
      <c r="B7" s="30" t="s">
        <v>214</v>
      </c>
      <c r="C7" s="30" t="s">
        <v>215</v>
      </c>
    </row>
    <row r="8" spans="1:3" ht="14.5">
      <c r="A8" s="30" t="s">
        <v>149</v>
      </c>
      <c r="B8" s="30" t="s">
        <v>216</v>
      </c>
      <c r="C8" s="30" t="s">
        <v>217</v>
      </c>
    </row>
    <row r="9" spans="1:3" ht="14.5">
      <c r="A9" s="30" t="s">
        <v>150</v>
      </c>
      <c r="B9" s="30" t="s">
        <v>218</v>
      </c>
      <c r="C9" s="30" t="s">
        <v>219</v>
      </c>
    </row>
    <row r="10" spans="1:3" ht="14.5">
      <c r="A10" s="30" t="s">
        <v>151</v>
      </c>
      <c r="B10" s="30" t="s">
        <v>220</v>
      </c>
      <c r="C10" s="30" t="s">
        <v>221</v>
      </c>
    </row>
    <row r="11" spans="1:3" ht="14.5">
      <c r="A11" s="30" t="s">
        <v>127</v>
      </c>
      <c r="B11" s="30" t="s">
        <v>222</v>
      </c>
      <c r="C11" s="30" t="s">
        <v>223</v>
      </c>
    </row>
    <row r="12" spans="1:3" ht="14.5">
      <c r="A12" s="30" t="s">
        <v>124</v>
      </c>
      <c r="B12" s="30" t="s">
        <v>224</v>
      </c>
      <c r="C12" s="30" t="s">
        <v>225</v>
      </c>
    </row>
    <row r="13" spans="1:3" ht="14.5">
      <c r="A13" s="30" t="s">
        <v>226</v>
      </c>
      <c r="B13" s="30" t="s">
        <v>227</v>
      </c>
      <c r="C13" s="30" t="s">
        <v>228</v>
      </c>
    </row>
    <row r="14" spans="1:3" ht="14.5">
      <c r="A14" s="30" t="s">
        <v>229</v>
      </c>
      <c r="B14" s="30" t="s">
        <v>230</v>
      </c>
      <c r="C14" s="30" t="s">
        <v>231</v>
      </c>
    </row>
    <row r="15" spans="1:3" ht="14.5">
      <c r="A15" s="30" t="s">
        <v>232</v>
      </c>
      <c r="B15" s="30" t="s">
        <v>233</v>
      </c>
      <c r="C15" s="30" t="s">
        <v>234</v>
      </c>
    </row>
    <row r="16" spans="1:3" ht="25.5" customHeight="1">
      <c r="A16" s="43" t="s">
        <v>235</v>
      </c>
      <c r="B16" s="44"/>
      <c r="C16" s="44"/>
    </row>
    <row r="19" spans="1:3" ht="14.5">
      <c r="A19" s="6" t="s">
        <v>236</v>
      </c>
    </row>
    <row r="20" spans="1:3" ht="42" customHeight="1">
      <c r="A20" s="5" t="s">
        <v>237</v>
      </c>
      <c r="B20" s="5" t="s">
        <v>238</v>
      </c>
      <c r="C20" s="5" t="s">
        <v>32</v>
      </c>
    </row>
    <row r="21" spans="1:3" ht="15.75" customHeight="1">
      <c r="A21" s="30" t="s">
        <v>60</v>
      </c>
      <c r="B21" s="30" t="s">
        <v>239</v>
      </c>
      <c r="C21" s="30" t="s">
        <v>240</v>
      </c>
    </row>
    <row r="22" spans="1:3" ht="15.75" customHeight="1">
      <c r="A22" s="30" t="s">
        <v>73</v>
      </c>
      <c r="B22" s="30" t="s">
        <v>241</v>
      </c>
      <c r="C22" s="30" t="s">
        <v>242</v>
      </c>
    </row>
    <row r="23" spans="1:3" ht="15.75" customHeight="1">
      <c r="A23" s="30" t="s">
        <v>243</v>
      </c>
      <c r="B23" s="30" t="s">
        <v>244</v>
      </c>
      <c r="C23" s="30" t="s">
        <v>245</v>
      </c>
    </row>
    <row r="24" spans="1:3" ht="15.75" customHeight="1">
      <c r="A24" s="30" t="s">
        <v>246</v>
      </c>
      <c r="B24" s="30" t="s">
        <v>247</v>
      </c>
      <c r="C24" s="30" t="s">
        <v>248</v>
      </c>
    </row>
    <row r="25" spans="1:3" ht="15.75" customHeight="1">
      <c r="A25" s="30" t="s">
        <v>76</v>
      </c>
      <c r="B25" s="30" t="s">
        <v>7</v>
      </c>
      <c r="C25" s="30" t="s">
        <v>249</v>
      </c>
    </row>
    <row r="26" spans="1:3" ht="15.75" customHeight="1"/>
    <row r="27" spans="1:3" ht="15.75" customHeight="1"/>
    <row r="28" spans="1:3" ht="15.75" customHeight="1">
      <c r="A28" s="6" t="s">
        <v>250</v>
      </c>
    </row>
    <row r="29" spans="1:3" ht="39.75" customHeight="1">
      <c r="A29" s="43" t="s">
        <v>251</v>
      </c>
      <c r="B29" s="44"/>
      <c r="C29" s="44"/>
    </row>
    <row r="30" spans="1:3" ht="42" customHeight="1">
      <c r="A30" s="5" t="s">
        <v>252</v>
      </c>
      <c r="B30" s="5" t="s">
        <v>253</v>
      </c>
      <c r="C30" s="5" t="s">
        <v>254</v>
      </c>
    </row>
    <row r="31" spans="1:3" ht="15.75" customHeight="1">
      <c r="A31" s="30">
        <v>0.5</v>
      </c>
      <c r="B31" s="30" t="s">
        <v>255</v>
      </c>
      <c r="C31" s="30" t="s">
        <v>256</v>
      </c>
    </row>
    <row r="32" spans="1:3" ht="15.75" customHeight="1">
      <c r="A32" s="30">
        <v>0.57999999999999996</v>
      </c>
      <c r="B32" s="30" t="s">
        <v>257</v>
      </c>
      <c r="C32" s="30" t="s">
        <v>258</v>
      </c>
    </row>
    <row r="33" spans="1:3" ht="15.75" customHeight="1">
      <c r="A33" s="30">
        <v>0.53</v>
      </c>
      <c r="B33" s="30" t="s">
        <v>259</v>
      </c>
      <c r="C33" s="30" t="s">
        <v>260</v>
      </c>
    </row>
    <row r="34" spans="1:3" ht="15.75" customHeight="1">
      <c r="A34" s="30">
        <v>0.52</v>
      </c>
      <c r="B34" s="30" t="s">
        <v>261</v>
      </c>
      <c r="C34" s="30" t="s">
        <v>262</v>
      </c>
    </row>
    <row r="35" spans="1:3" ht="15.75" customHeight="1">
      <c r="A35" s="30">
        <v>0.47</v>
      </c>
      <c r="B35" s="30" t="s">
        <v>263</v>
      </c>
      <c r="C35" s="30" t="s">
        <v>264</v>
      </c>
    </row>
    <row r="36" spans="1:3" ht="15.75" customHeight="1">
      <c r="A36" s="30">
        <v>0.43</v>
      </c>
      <c r="B36" s="30" t="s">
        <v>265</v>
      </c>
      <c r="C36" s="30" t="s">
        <v>266</v>
      </c>
    </row>
    <row r="37" spans="1:3" ht="15.75" customHeight="1">
      <c r="A37" s="30">
        <v>0.21</v>
      </c>
      <c r="B37" s="30" t="s">
        <v>261</v>
      </c>
      <c r="C37" s="30" t="s">
        <v>267</v>
      </c>
    </row>
    <row r="38" spans="1:3" ht="15.75" customHeight="1">
      <c r="A38" s="30" t="s">
        <v>268</v>
      </c>
      <c r="B38" s="30" t="s">
        <v>269</v>
      </c>
      <c r="C38" s="30" t="s">
        <v>270</v>
      </c>
    </row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4:C4"/>
    <mergeCell ref="A16:C16"/>
    <mergeCell ref="A29:C2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000"/>
  <sheetViews>
    <sheetView showGridLines="0" workbookViewId="0"/>
  </sheetViews>
  <sheetFormatPr defaultColWidth="14.453125" defaultRowHeight="15" customHeight="1"/>
  <cols>
    <col min="1" max="1" width="23" customWidth="1"/>
    <col min="2" max="2" width="22" customWidth="1"/>
    <col min="3" max="8" width="19" customWidth="1"/>
    <col min="9" max="10" width="8.7265625" customWidth="1"/>
    <col min="11" max="17" width="18" customWidth="1"/>
    <col min="18" max="26" width="8.7265625" customWidth="1"/>
  </cols>
  <sheetData>
    <row r="1" spans="1:17" ht="22">
      <c r="A1" s="31" t="s">
        <v>271</v>
      </c>
    </row>
    <row r="2" spans="1:17" ht="48" customHeight="1">
      <c r="A2" s="32" t="s">
        <v>272</v>
      </c>
      <c r="B2" s="32" t="s">
        <v>273</v>
      </c>
      <c r="C2" s="32"/>
      <c r="D2" s="32" t="s">
        <v>274</v>
      </c>
      <c r="E2" s="32"/>
      <c r="F2" s="32" t="s">
        <v>275</v>
      </c>
      <c r="G2" s="32"/>
      <c r="H2" s="32"/>
      <c r="K2" s="33" t="s">
        <v>276</v>
      </c>
    </row>
    <row r="4" spans="1:17" ht="48" customHeight="1">
      <c r="A4" s="34" t="s">
        <v>9</v>
      </c>
      <c r="B4" s="34" t="s">
        <v>277</v>
      </c>
      <c r="C4" s="34" t="s">
        <v>278</v>
      </c>
      <c r="D4" s="34" t="s">
        <v>279</v>
      </c>
      <c r="E4" s="34" t="s">
        <v>280</v>
      </c>
      <c r="F4" s="34" t="s">
        <v>281</v>
      </c>
      <c r="G4" s="34" t="s">
        <v>282</v>
      </c>
      <c r="H4" s="34" t="s">
        <v>283</v>
      </c>
      <c r="K4" s="34" t="s">
        <v>9</v>
      </c>
      <c r="L4" s="34" t="s">
        <v>284</v>
      </c>
      <c r="M4" s="34" t="s">
        <v>285</v>
      </c>
      <c r="N4" s="34" t="s">
        <v>286</v>
      </c>
      <c r="O4" s="34" t="s">
        <v>287</v>
      </c>
      <c r="P4" s="34" t="s">
        <v>288</v>
      </c>
      <c r="Q4" s="34" t="s">
        <v>289</v>
      </c>
    </row>
    <row r="5" spans="1:17" ht="33.75" customHeight="1">
      <c r="A5" s="35" t="str">
        <f>'2. Core Log'!A7</f>
        <v>PM-03-A</v>
      </c>
      <c r="B5" s="35" t="s">
        <v>290</v>
      </c>
      <c r="C5" s="35">
        <f>'2. Core Log'!Q7</f>
        <v>30.725000000000001</v>
      </c>
      <c r="D5" s="36">
        <f>IF(ABS(SUMIFS($P$5:$P$33,$K$5:$K$33,A5)-30)&lt;0.000001,SUMIFS($Q$5:$Q$33,$K$5:$K$33,A5),"")</f>
        <v>9.9308541999999989</v>
      </c>
      <c r="E5" s="36">
        <f>IF(ISNUMBER(D5),D5*10,"")</f>
        <v>99.308541999999989</v>
      </c>
      <c r="F5" s="36">
        <f>'2. Core Log'!R7</f>
        <v>10.108268225000002</v>
      </c>
      <c r="G5" s="36"/>
      <c r="H5" s="35" t="s">
        <v>125</v>
      </c>
      <c r="K5" s="37" t="str">
        <f>community_cores_FS!B23</f>
        <v>FS-02</v>
      </c>
      <c r="L5" s="37">
        <f>community_cores_FS!E23</f>
        <v>20</v>
      </c>
      <c r="M5" s="37">
        <f>community_cores_FS!F23</f>
        <v>30</v>
      </c>
      <c r="N5" s="38">
        <f>community_cores_FS!J23</f>
        <v>1.1030484199999999</v>
      </c>
      <c r="O5" s="38">
        <f>community_cores_FS!N23</f>
        <v>1.5</v>
      </c>
      <c r="P5" s="38">
        <f t="shared" ref="P5:P33" si="0">MAX(0,MIN(M5,30)-L5)</f>
        <v>10</v>
      </c>
      <c r="Q5" s="38">
        <f t="shared" ref="Q5:Q33" si="1">N5*O5/100*P5*10</f>
        <v>1.6545726299999997</v>
      </c>
    </row>
    <row r="6" spans="1:17" ht="33.75" customHeight="1">
      <c r="A6" s="35" t="str">
        <f>'2. Core Log'!A8</f>
        <v>FS-01</v>
      </c>
      <c r="B6" s="35" t="s">
        <v>290</v>
      </c>
      <c r="C6" s="35">
        <f>'2. Core Log'!Q8</f>
        <v>30</v>
      </c>
      <c r="D6" s="36">
        <f>IF(ABS(SUMIFS($P$5:$P$33,$K$5:$K$33,A6)-30)&lt;0.000001,SUMIFS($Q$5:$Q$33,$K$5:$K$33,A6),"")</f>
        <v>14.263004583199999</v>
      </c>
      <c r="E6" s="36">
        <f>IF(ISNUMBER(D6),D6*10,"")</f>
        <v>142.63004583199998</v>
      </c>
      <c r="F6" s="36">
        <f>'2. Core Log'!R8</f>
        <v>14.263004583199999</v>
      </c>
      <c r="G6" s="36"/>
      <c r="H6" s="35" t="s">
        <v>125</v>
      </c>
      <c r="K6" s="37" t="str">
        <f>community_cores_FS!B24</f>
        <v>FS-01</v>
      </c>
      <c r="L6" s="37">
        <f>community_cores_FS!E24</f>
        <v>0</v>
      </c>
      <c r="M6" s="37">
        <f>community_cores_FS!F24</f>
        <v>10</v>
      </c>
      <c r="N6" s="38">
        <f>community_cores_FS!J24</f>
        <v>1.762904698</v>
      </c>
      <c r="O6" s="38">
        <f>community_cores_FS!N24</f>
        <v>3</v>
      </c>
      <c r="P6" s="38">
        <f t="shared" si="0"/>
        <v>10</v>
      </c>
      <c r="Q6" s="38">
        <f t="shared" si="1"/>
        <v>5.2887140939999995</v>
      </c>
    </row>
    <row r="7" spans="1:17" ht="33.75" customHeight="1">
      <c r="A7" s="35" t="str">
        <f>'2. Core Log'!A5</f>
        <v>PM-01-A</v>
      </c>
      <c r="B7" s="35" t="s">
        <v>291</v>
      </c>
      <c r="C7" s="35">
        <f>'2. Core Log'!Q5</f>
        <v>14.5</v>
      </c>
      <c r="D7" s="36" t="str">
        <f>IF(ABS(SUMIFS($P$5:$P$33,$K$5:$K$33,A7)-30)&lt;0.000001,SUMIFS($Q$5:$Q$33,$K$5:$K$33,A7),"")</f>
        <v/>
      </c>
      <c r="E7" s="36" t="str">
        <f>IF(ISNUMBER(D7),D7*10,"")</f>
        <v/>
      </c>
      <c r="F7" s="36">
        <f>'2. Core Log'!R5</f>
        <v>3.0578034999999999</v>
      </c>
      <c r="G7" s="36">
        <f>'2. Core Log'!S5</f>
        <v>3.0578034999999999</v>
      </c>
      <c r="H7" s="35" t="s">
        <v>123</v>
      </c>
      <c r="K7" s="37" t="str">
        <f>community_cores_FS!B25</f>
        <v>FS-01</v>
      </c>
      <c r="L7" s="37">
        <f>community_cores_FS!E25</f>
        <v>10</v>
      </c>
      <c r="M7" s="37">
        <f>community_cores_FS!F25</f>
        <v>20</v>
      </c>
      <c r="N7" s="38">
        <f>community_cores_FS!J25</f>
        <v>1.5938660600000001</v>
      </c>
      <c r="O7" s="38">
        <f>community_cores_FS!N25</f>
        <v>4.0999999999999996</v>
      </c>
      <c r="P7" s="38">
        <f t="shared" si="0"/>
        <v>10</v>
      </c>
      <c r="Q7" s="38">
        <f t="shared" si="1"/>
        <v>6.5348508459999994</v>
      </c>
    </row>
    <row r="8" spans="1:17" ht="33.75" customHeight="1">
      <c r="A8" s="35" t="str">
        <f>'2. Core Log'!A6</f>
        <v>PM-02-A</v>
      </c>
      <c r="B8" s="35" t="s">
        <v>291</v>
      </c>
      <c r="C8" s="35">
        <f>'2. Core Log'!Q6</f>
        <v>20.7</v>
      </c>
      <c r="D8" s="36" t="str">
        <f>IF(ABS(SUMIFS($P$5:$P$33,$K$5:$K$33,A8)-30)&lt;0.000001,SUMIFS($Q$5:$Q$33,$K$5:$K$33,A8),"")</f>
        <v/>
      </c>
      <c r="E8" s="36" t="str">
        <f>IF(ISNUMBER(D8),D8*10,"")</f>
        <v/>
      </c>
      <c r="F8" s="36">
        <f>'2. Core Log'!R6</f>
        <v>3.0833444999999995</v>
      </c>
      <c r="G8" s="36">
        <f>'2. Core Log'!S6</f>
        <v>3.0833444999999995</v>
      </c>
      <c r="H8" s="35" t="s">
        <v>123</v>
      </c>
      <c r="K8" s="37" t="str">
        <f>community_cores_FS!B26</f>
        <v>FS-01</v>
      </c>
      <c r="L8" s="37">
        <f>community_cores_FS!E26</f>
        <v>20</v>
      </c>
      <c r="M8" s="37">
        <f>community_cores_FS!F26</f>
        <v>30</v>
      </c>
      <c r="N8" s="38">
        <f>community_cores_FS!J26</f>
        <v>1.4349644960000001</v>
      </c>
      <c r="O8" s="38">
        <f>community_cores_FS!N26</f>
        <v>1.7</v>
      </c>
      <c r="P8" s="38">
        <f t="shared" si="0"/>
        <v>10</v>
      </c>
      <c r="Q8" s="38">
        <f t="shared" si="1"/>
        <v>2.4394396432000001</v>
      </c>
    </row>
    <row r="9" spans="1:17" ht="14.5">
      <c r="K9" s="37" t="e">
        <f>community_cores_FS!#REF!</f>
        <v>#REF!</v>
      </c>
      <c r="L9" s="37" t="e">
        <f>community_cores_FS!#REF!</f>
        <v>#REF!</v>
      </c>
      <c r="M9" s="37" t="e">
        <f>community_cores_FS!#REF!</f>
        <v>#REF!</v>
      </c>
      <c r="N9" s="38" t="e">
        <f>community_cores_FS!#REF!</f>
        <v>#REF!</v>
      </c>
      <c r="O9" s="38" t="e">
        <f>community_cores_FS!#REF!</f>
        <v>#REF!</v>
      </c>
      <c r="P9" s="38" t="e">
        <f t="shared" si="0"/>
        <v>#REF!</v>
      </c>
      <c r="Q9" s="38" t="e">
        <f t="shared" si="1"/>
        <v>#REF!</v>
      </c>
    </row>
    <row r="10" spans="1:17" ht="14.5">
      <c r="K10" s="37" t="e">
        <f>community_cores_FS!#REF!</f>
        <v>#REF!</v>
      </c>
      <c r="L10" s="37" t="e">
        <f>community_cores_FS!#REF!</f>
        <v>#REF!</v>
      </c>
      <c r="M10" s="37" t="e">
        <f>community_cores_FS!#REF!</f>
        <v>#REF!</v>
      </c>
      <c r="N10" s="38" t="e">
        <f>community_cores_FS!#REF!</f>
        <v>#REF!</v>
      </c>
      <c r="O10" s="38" t="e">
        <f>community_cores_FS!#REF!</f>
        <v>#REF!</v>
      </c>
      <c r="P10" s="38" t="e">
        <f t="shared" si="0"/>
        <v>#REF!</v>
      </c>
      <c r="Q10" s="38" t="e">
        <f t="shared" si="1"/>
        <v>#REF!</v>
      </c>
    </row>
    <row r="11" spans="1:17" ht="17">
      <c r="A11" s="39" t="s">
        <v>292</v>
      </c>
      <c r="K11" s="37" t="e">
        <f>community_cores_FS!#REF!</f>
        <v>#REF!</v>
      </c>
      <c r="L11" s="37" t="e">
        <f>community_cores_FS!#REF!</f>
        <v>#REF!</v>
      </c>
      <c r="M11" s="37" t="e">
        <f>community_cores_FS!#REF!</f>
        <v>#REF!</v>
      </c>
      <c r="N11" s="38" t="e">
        <f>community_cores_FS!#REF!</f>
        <v>#REF!</v>
      </c>
      <c r="O11" s="38" t="e">
        <f>community_cores_FS!#REF!</f>
        <v>#REF!</v>
      </c>
      <c r="P11" s="38" t="e">
        <f t="shared" si="0"/>
        <v>#REF!</v>
      </c>
      <c r="Q11" s="38" t="e">
        <f t="shared" si="1"/>
        <v>#REF!</v>
      </c>
    </row>
    <row r="12" spans="1:17" ht="48" customHeight="1">
      <c r="A12" s="32" t="s">
        <v>293</v>
      </c>
      <c r="B12" s="32" t="s">
        <v>294</v>
      </c>
      <c r="C12" s="32"/>
      <c r="D12" s="32" t="s">
        <v>295</v>
      </c>
      <c r="E12" s="32"/>
      <c r="F12" s="32" t="s">
        <v>296</v>
      </c>
      <c r="G12" s="32"/>
      <c r="H12" s="32"/>
      <c r="K12" s="37" t="e">
        <f>community_cores_FS!#REF!</f>
        <v>#REF!</v>
      </c>
      <c r="L12" s="37" t="e">
        <f>community_cores_FS!#REF!</f>
        <v>#REF!</v>
      </c>
      <c r="M12" s="37" t="e">
        <f>community_cores_FS!#REF!</f>
        <v>#REF!</v>
      </c>
      <c r="N12" s="38" t="e">
        <f>community_cores_FS!#REF!</f>
        <v>#REF!</v>
      </c>
      <c r="O12" s="38" t="e">
        <f>community_cores_FS!#REF!</f>
        <v>#REF!</v>
      </c>
      <c r="P12" s="38" t="e">
        <f t="shared" si="0"/>
        <v>#REF!</v>
      </c>
      <c r="Q12" s="38" t="e">
        <f t="shared" si="1"/>
        <v>#REF!</v>
      </c>
    </row>
    <row r="13" spans="1:17" ht="14.5">
      <c r="K13" s="37" t="e">
        <f>community_cores_FS!#REF!</f>
        <v>#REF!</v>
      </c>
      <c r="L13" s="37" t="e">
        <f>community_cores_FS!#REF!</f>
        <v>#REF!</v>
      </c>
      <c r="M13" s="37" t="e">
        <f>community_cores_FS!#REF!</f>
        <v>#REF!</v>
      </c>
      <c r="N13" s="38" t="e">
        <f>community_cores_FS!#REF!</f>
        <v>#REF!</v>
      </c>
      <c r="O13" s="38" t="e">
        <f>community_cores_FS!#REF!</f>
        <v>#REF!</v>
      </c>
      <c r="P13" s="38" t="e">
        <f t="shared" si="0"/>
        <v>#REF!</v>
      </c>
      <c r="Q13" s="38" t="e">
        <f t="shared" si="1"/>
        <v>#REF!</v>
      </c>
    </row>
    <row r="14" spans="1:17" ht="48" customHeight="1">
      <c r="A14" s="34" t="s">
        <v>277</v>
      </c>
      <c r="B14" s="34" t="s">
        <v>297</v>
      </c>
      <c r="C14" s="34" t="s">
        <v>298</v>
      </c>
      <c r="D14" s="34" t="s">
        <v>299</v>
      </c>
      <c r="E14" s="34" t="s">
        <v>300</v>
      </c>
      <c r="F14" s="34" t="s">
        <v>301</v>
      </c>
      <c r="K14" s="37" t="e">
        <f>community_cores_FS!#REF!</f>
        <v>#REF!</v>
      </c>
      <c r="L14" s="37" t="e">
        <f>community_cores_FS!#REF!</f>
        <v>#REF!</v>
      </c>
      <c r="M14" s="37" t="e">
        <f>community_cores_FS!#REF!</f>
        <v>#REF!</v>
      </c>
      <c r="N14" s="38" t="e">
        <f>community_cores_FS!#REF!</f>
        <v>#REF!</v>
      </c>
      <c r="O14" s="38" t="e">
        <f>community_cores_FS!#REF!</f>
        <v>#REF!</v>
      </c>
      <c r="P14" s="38" t="e">
        <f t="shared" si="0"/>
        <v>#REF!</v>
      </c>
      <c r="Q14" s="38" t="e">
        <f t="shared" si="1"/>
        <v>#REF!</v>
      </c>
    </row>
    <row r="15" spans="1:17" ht="31.5" customHeight="1">
      <c r="A15" s="37" t="s">
        <v>290</v>
      </c>
      <c r="B15" s="37">
        <f>COUNT(D5,D6)</f>
        <v>2</v>
      </c>
      <c r="C15" s="40">
        <f>IF(B15&gt;0,AVERAGE(D5,D6),"")</f>
        <v>12.0969293916</v>
      </c>
      <c r="D15" s="40">
        <f>IF(B15&gt;1,STDEV(D5,D6),"")</f>
        <v>3.0632929130806161</v>
      </c>
      <c r="E15" s="41">
        <f>IF(AND(ISNUMBER(D15),C15&lt;&gt;0),D15/C15,"")</f>
        <v>0.2532289652949235</v>
      </c>
      <c r="F15" s="40">
        <f>IF(ISNUMBER(C15),C15*10,"")</f>
        <v>120.969293916</v>
      </c>
      <c r="K15" s="37" t="e">
        <f>community_cores_FS!#REF!</f>
        <v>#REF!</v>
      </c>
      <c r="L15" s="37" t="e">
        <f>community_cores_FS!#REF!</f>
        <v>#REF!</v>
      </c>
      <c r="M15" s="37" t="e">
        <f>community_cores_FS!#REF!</f>
        <v>#REF!</v>
      </c>
      <c r="N15" s="38" t="e">
        <f>community_cores_FS!#REF!</f>
        <v>#REF!</v>
      </c>
      <c r="O15" s="38" t="e">
        <f>community_cores_FS!#REF!</f>
        <v>#REF!</v>
      </c>
      <c r="P15" s="38" t="e">
        <f t="shared" si="0"/>
        <v>#REF!</v>
      </c>
      <c r="Q15" s="38" t="e">
        <f t="shared" si="1"/>
        <v>#REF!</v>
      </c>
    </row>
    <row r="16" spans="1:17" ht="31.5" customHeight="1">
      <c r="A16" s="37" t="s">
        <v>291</v>
      </c>
      <c r="B16" s="37">
        <f>COUNT(D7,D8)</f>
        <v>0</v>
      </c>
      <c r="C16" s="40" t="str">
        <f>IF(B16&gt;0,AVERAGE(D7,D8),"")</f>
        <v/>
      </c>
      <c r="D16" s="40" t="str">
        <f>IF(B16&gt;1,STDEV(D7,D8),"")</f>
        <v/>
      </c>
      <c r="E16" s="41" t="str">
        <f>IF(AND(ISNUMBER(D16),C16&lt;&gt;0),D16/C16,"")</f>
        <v/>
      </c>
      <c r="F16" s="40" t="str">
        <f>IF(ISNUMBER(C16),C16*10,"")</f>
        <v/>
      </c>
      <c r="K16" s="37" t="str">
        <f>community_cores_FS!B5</f>
        <v>PM-01-A</v>
      </c>
      <c r="L16" s="37">
        <f>community_cores_FS!E5</f>
        <v>0</v>
      </c>
      <c r="M16" s="37">
        <f>community_cores_FS!F5</f>
        <v>14.5</v>
      </c>
      <c r="N16" s="38">
        <f>community_cores_FS!J5</f>
        <v>9.2899999999999996E-2</v>
      </c>
      <c r="O16" s="38">
        <f>community_cores_FS!N5</f>
        <v>22.7</v>
      </c>
      <c r="P16" s="38">
        <f t="shared" si="0"/>
        <v>14.5</v>
      </c>
      <c r="Q16" s="38">
        <f t="shared" si="1"/>
        <v>3.0578034999999999</v>
      </c>
    </row>
    <row r="17" spans="11:17" ht="14.5">
      <c r="K17" s="37" t="str">
        <f>community_cores_FS!B6</f>
        <v>PM-02-A</v>
      </c>
      <c r="L17" s="37">
        <f>community_cores_FS!E6</f>
        <v>0</v>
      </c>
      <c r="M17" s="37">
        <f>community_cores_FS!F6</f>
        <v>15.2</v>
      </c>
      <c r="N17" s="38">
        <f>community_cores_FS!J6</f>
        <v>8.2699999999999996E-2</v>
      </c>
      <c r="O17" s="38">
        <f>community_cores_FS!N6</f>
        <v>22.7</v>
      </c>
      <c r="P17" s="38">
        <f t="shared" si="0"/>
        <v>15.2</v>
      </c>
      <c r="Q17" s="38">
        <f t="shared" si="1"/>
        <v>2.8534807999999994</v>
      </c>
    </row>
    <row r="18" spans="11:17" ht="14.5">
      <c r="K18" s="37" t="str">
        <f>community_cores_FS!B7</f>
        <v>PM-02-A</v>
      </c>
      <c r="L18" s="37">
        <f>community_cores_FS!E7</f>
        <v>15.2</v>
      </c>
      <c r="M18" s="37">
        <f>community_cores_FS!F7</f>
        <v>20.7</v>
      </c>
      <c r="N18" s="38">
        <f>community_cores_FS!J7</f>
        <v>0.26619999999999999</v>
      </c>
      <c r="O18" s="38">
        <f>community_cores_FS!N7</f>
        <v>1.57</v>
      </c>
      <c r="P18" s="38">
        <f t="shared" si="0"/>
        <v>5.5</v>
      </c>
      <c r="Q18" s="38">
        <f t="shared" si="1"/>
        <v>0.2298637</v>
      </c>
    </row>
    <row r="19" spans="11:17" ht="14.5">
      <c r="K19" s="37" t="str">
        <f>community_cores_FS!B8</f>
        <v>PM-03-A</v>
      </c>
      <c r="L19" s="37">
        <f>community_cores_FS!E8</f>
        <v>0</v>
      </c>
      <c r="M19" s="37">
        <f>community_cores_FS!F8</f>
        <v>8.625</v>
      </c>
      <c r="N19" s="38">
        <f>community_cores_FS!J8</f>
        <v>5.0099999999999999E-2</v>
      </c>
      <c r="O19" s="38">
        <f>community_cores_FS!N8</f>
        <v>36.5</v>
      </c>
      <c r="P19" s="38">
        <f t="shared" si="0"/>
        <v>8.625</v>
      </c>
      <c r="Q19" s="38">
        <f t="shared" si="1"/>
        <v>1.5772106249999998</v>
      </c>
    </row>
    <row r="20" spans="11:17" ht="14.5">
      <c r="K20" s="37" t="str">
        <f>community_cores_FS!B9</f>
        <v>PM-03-A</v>
      </c>
      <c r="L20" s="37">
        <f>community_cores_FS!E9</f>
        <v>8.625</v>
      </c>
      <c r="M20" s="37">
        <f>community_cores_FS!F9</f>
        <v>17.725000000000001</v>
      </c>
      <c r="N20" s="38">
        <f>community_cores_FS!J9</f>
        <v>7.5899999999999995E-2</v>
      </c>
      <c r="O20" s="38">
        <f>community_cores_FS!N9</f>
        <v>42.4</v>
      </c>
      <c r="P20" s="38">
        <f t="shared" si="0"/>
        <v>9.1000000000000014</v>
      </c>
      <c r="Q20" s="38">
        <f t="shared" si="1"/>
        <v>2.9285256000000004</v>
      </c>
    </row>
    <row r="21" spans="11:17" ht="15.75" customHeight="1">
      <c r="K21" s="37" t="str">
        <f>community_cores_FS!B10</f>
        <v>PM-03-A</v>
      </c>
      <c r="L21" s="37">
        <f>community_cores_FS!E10</f>
        <v>17.725000000000001</v>
      </c>
      <c r="M21" s="37">
        <f>community_cores_FS!F10</f>
        <v>25.225000000000001</v>
      </c>
      <c r="N21" s="38">
        <f>community_cores_FS!J10</f>
        <v>0.1459</v>
      </c>
      <c r="O21" s="38">
        <f>community_cores_FS!N10</f>
        <v>38.9</v>
      </c>
      <c r="P21" s="38">
        <f t="shared" si="0"/>
        <v>7.5</v>
      </c>
      <c r="Q21" s="38">
        <f t="shared" si="1"/>
        <v>4.2566325000000003</v>
      </c>
    </row>
    <row r="22" spans="11:17" ht="15.75" customHeight="1">
      <c r="K22" s="37" t="str">
        <f>community_cores_FS!B11</f>
        <v>PM-03-A</v>
      </c>
      <c r="L22" s="37">
        <f>community_cores_FS!E11</f>
        <v>25.225000000000001</v>
      </c>
      <c r="M22" s="37">
        <f>community_cores_FS!F11</f>
        <v>30.725000000000001</v>
      </c>
      <c r="N22" s="38">
        <f>community_cores_FS!J11</f>
        <v>0.22869999999999999</v>
      </c>
      <c r="O22" s="38">
        <f>community_cores_FS!N11</f>
        <v>10.7</v>
      </c>
      <c r="P22" s="38">
        <f t="shared" si="0"/>
        <v>4.7749999999999986</v>
      </c>
      <c r="Q22" s="38">
        <f t="shared" si="1"/>
        <v>1.1684854749999996</v>
      </c>
    </row>
    <row r="23" spans="11:17" ht="15.75" customHeight="1">
      <c r="K23" s="37" t="str">
        <f>community_cores_FS!B12</f>
        <v>FS-05</v>
      </c>
      <c r="L23" s="37">
        <f>community_cores_FS!E12</f>
        <v>0</v>
      </c>
      <c r="M23" s="37">
        <f>community_cores_FS!F12</f>
        <v>10</v>
      </c>
      <c r="N23" s="38">
        <f>community_cores_FS!J12</f>
        <v>0.279483076</v>
      </c>
      <c r="O23" s="38">
        <f>community_cores_FS!N12</f>
        <v>8.6</v>
      </c>
      <c r="P23" s="38">
        <f t="shared" si="0"/>
        <v>10</v>
      </c>
      <c r="Q23" s="38">
        <f t="shared" si="1"/>
        <v>2.4035544536</v>
      </c>
    </row>
    <row r="24" spans="11:17" ht="15.75" customHeight="1">
      <c r="K24" s="37" t="str">
        <f>community_cores_FS!B13</f>
        <v>FS-05</v>
      </c>
      <c r="L24" s="37">
        <f>community_cores_FS!E13</f>
        <v>10</v>
      </c>
      <c r="M24" s="37">
        <f>community_cores_FS!F13</f>
        <v>20</v>
      </c>
      <c r="N24" s="38">
        <f>community_cores_FS!J13</f>
        <v>2.0365201069999999</v>
      </c>
      <c r="O24" s="38">
        <f>community_cores_FS!N13</f>
        <v>1.1000000000000001</v>
      </c>
      <c r="P24" s="38">
        <f t="shared" si="0"/>
        <v>10</v>
      </c>
      <c r="Q24" s="38">
        <f t="shared" si="1"/>
        <v>2.2401721177000002</v>
      </c>
    </row>
    <row r="25" spans="11:17" ht="15.75" customHeight="1">
      <c r="K25" s="37" t="str">
        <f>community_cores_FS!B14</f>
        <v>FS-05</v>
      </c>
      <c r="L25" s="37">
        <f>community_cores_FS!E14</f>
        <v>20</v>
      </c>
      <c r="M25" s="37">
        <f>community_cores_FS!F14</f>
        <v>30</v>
      </c>
      <c r="N25" s="38">
        <f>community_cores_FS!J14</f>
        <v>1.6241369029999999</v>
      </c>
      <c r="O25" s="38">
        <f>community_cores_FS!N14</f>
        <v>0.9</v>
      </c>
      <c r="P25" s="38">
        <f t="shared" si="0"/>
        <v>10</v>
      </c>
      <c r="Q25" s="38">
        <f t="shared" si="1"/>
        <v>1.4617232126999999</v>
      </c>
    </row>
    <row r="26" spans="11:17" ht="15.75" customHeight="1">
      <c r="K26" s="37" t="str">
        <f>community_cores_FS!B15</f>
        <v>FS-04</v>
      </c>
      <c r="L26" s="37">
        <f>community_cores_FS!E15</f>
        <v>0</v>
      </c>
      <c r="M26" s="37">
        <f>community_cores_FS!F15</f>
        <v>10</v>
      </c>
      <c r="N26" s="38">
        <f>community_cores_FS!J15</f>
        <v>1.974657034</v>
      </c>
      <c r="O26" s="38">
        <f>community_cores_FS!N15</f>
        <v>3.1</v>
      </c>
      <c r="P26" s="38">
        <f t="shared" si="0"/>
        <v>10</v>
      </c>
      <c r="Q26" s="38">
        <f t="shared" si="1"/>
        <v>6.1214368054000001</v>
      </c>
    </row>
    <row r="27" spans="11:17" ht="15.75" customHeight="1">
      <c r="K27" s="37" t="str">
        <f>community_cores_FS!B16</f>
        <v>FS-04</v>
      </c>
      <c r="L27" s="37">
        <f>community_cores_FS!E16</f>
        <v>10</v>
      </c>
      <c r="M27" s="37">
        <f>community_cores_FS!F16</f>
        <v>20</v>
      </c>
      <c r="N27" s="38">
        <f>community_cores_FS!J16</f>
        <v>0.99685945899999995</v>
      </c>
      <c r="O27" s="38">
        <f>community_cores_FS!N16</f>
        <v>1.8</v>
      </c>
      <c r="P27" s="38">
        <f t="shared" si="0"/>
        <v>10</v>
      </c>
      <c r="Q27" s="38">
        <f t="shared" si="1"/>
        <v>1.7943470261999996</v>
      </c>
    </row>
    <row r="28" spans="11:17" ht="15.75" customHeight="1">
      <c r="K28" s="37" t="str">
        <f>community_cores_FS!B17</f>
        <v>FS-04</v>
      </c>
      <c r="L28" s="37">
        <f>community_cores_FS!E17</f>
        <v>20</v>
      </c>
      <c r="M28" s="37">
        <f>community_cores_FS!F17</f>
        <v>30</v>
      </c>
      <c r="N28" s="38">
        <f>community_cores_FS!J17</f>
        <v>1.0537351349999999</v>
      </c>
      <c r="O28" s="38">
        <f>community_cores_FS!N17</f>
        <v>0.8</v>
      </c>
      <c r="P28" s="38">
        <f t="shared" si="0"/>
        <v>10</v>
      </c>
      <c r="Q28" s="38">
        <f t="shared" si="1"/>
        <v>0.84298810800000001</v>
      </c>
    </row>
    <row r="29" spans="11:17" ht="15.75" customHeight="1">
      <c r="K29" s="37" t="str">
        <f>community_cores_FS!B18</f>
        <v>FS-03</v>
      </c>
      <c r="L29" s="37">
        <f>community_cores_FS!E18</f>
        <v>0</v>
      </c>
      <c r="M29" s="37">
        <f>community_cores_FS!F18</f>
        <v>10</v>
      </c>
      <c r="N29" s="38">
        <f>community_cores_FS!J18</f>
        <v>2.0632819320000002</v>
      </c>
      <c r="O29" s="38">
        <f>community_cores_FS!N18</f>
        <v>1</v>
      </c>
      <c r="P29" s="38">
        <f t="shared" si="0"/>
        <v>10</v>
      </c>
      <c r="Q29" s="38">
        <f t="shared" si="1"/>
        <v>2.0632819320000002</v>
      </c>
    </row>
    <row r="30" spans="11:17" ht="15.75" customHeight="1">
      <c r="K30" s="37" t="str">
        <f>community_cores_FS!B19</f>
        <v>FS-03</v>
      </c>
      <c r="L30" s="37">
        <f>community_cores_FS!E19</f>
        <v>10</v>
      </c>
      <c r="M30" s="37">
        <f>community_cores_FS!F19</f>
        <v>20</v>
      </c>
      <c r="N30" s="38">
        <f>community_cores_FS!J19</f>
        <v>2.1814324510000001</v>
      </c>
      <c r="O30" s="38">
        <f>community_cores_FS!N19</f>
        <v>0.5</v>
      </c>
      <c r="P30" s="38">
        <f t="shared" si="0"/>
        <v>10</v>
      </c>
      <c r="Q30" s="38">
        <f t="shared" si="1"/>
        <v>1.0907162255</v>
      </c>
    </row>
    <row r="31" spans="11:17" ht="15.75" customHeight="1">
      <c r="K31" s="37" t="str">
        <f>community_cores_FS!B20</f>
        <v>FS-03</v>
      </c>
      <c r="L31" s="37">
        <f>community_cores_FS!E20</f>
        <v>20</v>
      </c>
      <c r="M31" s="37">
        <f>community_cores_FS!F20</f>
        <v>30</v>
      </c>
      <c r="N31" s="38">
        <f>community_cores_FS!J20</f>
        <v>2.1366099219999999</v>
      </c>
      <c r="O31" s="38">
        <f>community_cores_FS!N20</f>
        <v>0.5</v>
      </c>
      <c r="P31" s="38">
        <f t="shared" si="0"/>
        <v>10</v>
      </c>
      <c r="Q31" s="38">
        <f t="shared" si="1"/>
        <v>1.0683049609999999</v>
      </c>
    </row>
    <row r="32" spans="11:17" ht="15.75" customHeight="1">
      <c r="K32" s="37" t="str">
        <f>community_cores_FS!B21</f>
        <v>FS-02</v>
      </c>
      <c r="L32" s="37">
        <f>community_cores_FS!E21</f>
        <v>0</v>
      </c>
      <c r="M32" s="37">
        <f>community_cores_FS!F21</f>
        <v>10</v>
      </c>
      <c r="N32" s="38">
        <f>community_cores_FS!J21</f>
        <v>0.74666579099999997</v>
      </c>
      <c r="O32" s="38">
        <f>community_cores_FS!N21</f>
        <v>5.2</v>
      </c>
      <c r="P32" s="38">
        <f t="shared" si="0"/>
        <v>10</v>
      </c>
      <c r="Q32" s="38">
        <f t="shared" si="1"/>
        <v>3.8826621131999999</v>
      </c>
    </row>
    <row r="33" spans="11:17" ht="15.75" customHeight="1">
      <c r="K33" s="37" t="str">
        <f>community_cores_FS!B22</f>
        <v>FS-02</v>
      </c>
      <c r="L33" s="37">
        <f>community_cores_FS!E22</f>
        <v>10</v>
      </c>
      <c r="M33" s="37">
        <f>community_cores_FS!F22</f>
        <v>20</v>
      </c>
      <c r="N33" s="38">
        <f>community_cores_FS!J22</f>
        <v>1.49701405</v>
      </c>
      <c r="O33" s="38">
        <f>community_cores_FS!N22</f>
        <v>1.9</v>
      </c>
      <c r="P33" s="38">
        <f t="shared" si="0"/>
        <v>10</v>
      </c>
      <c r="Q33" s="38">
        <f t="shared" si="1"/>
        <v>2.8443266950000003</v>
      </c>
    </row>
    <row r="34" spans="11:17" ht="15.75" customHeight="1"/>
    <row r="35" spans="11:17" ht="15.75" customHeight="1"/>
    <row r="36" spans="11:17" ht="15.75" customHeight="1"/>
    <row r="37" spans="11:17" ht="15.75" customHeight="1"/>
    <row r="38" spans="11:17" ht="15.75" customHeight="1"/>
    <row r="39" spans="11:17" ht="15.75" customHeight="1"/>
    <row r="40" spans="11:17" ht="15.75" customHeight="1"/>
    <row r="41" spans="11:17" ht="15.75" customHeight="1"/>
    <row r="42" spans="11:17" ht="15.75" customHeight="1"/>
    <row r="43" spans="11:17" ht="15.75" customHeight="1"/>
    <row r="44" spans="11:17" ht="15.75" customHeight="1"/>
    <row r="45" spans="11:17" ht="15.75" customHeight="1"/>
    <row r="46" spans="11:17" ht="15.75" customHeight="1"/>
    <row r="47" spans="11:17" ht="15.75" customHeight="1"/>
    <row r="48" spans="11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0. Instructions</vt:lpstr>
      <vt:lpstr>1. Plot &amp; Site Log</vt:lpstr>
      <vt:lpstr>2. Core Log</vt:lpstr>
      <vt:lpstr>community_cores_FS</vt:lpstr>
      <vt:lpstr>4. Chronology</vt:lpstr>
      <vt:lpstr>5. Plot Summary</vt:lpstr>
      <vt:lpstr>6. Site Summary</vt:lpstr>
      <vt:lpstr>7. Settings</vt:lpstr>
      <vt:lpstr>R1. Reference</vt:lpstr>
      <vt:lpstr>8. Outputs</vt:lpstr>
      <vt:lpstr>CARBON_FRACTION_OM</vt:lpstr>
      <vt:lpstr>CO2E_FACTOR</vt:lpstr>
      <vt:lpstr>LORCA_MAX</vt:lpstr>
      <vt:lpstr>LORCA_MIN</vt:lpstr>
      <vt:lpstr>OM_FACTOR_IS_LOCAL</vt:lpstr>
      <vt:lpstr>PEATLAND_MIN_DEPTH_CM</vt:lpstr>
      <vt:lpstr>PLOT_AREA_M2</vt:lpstr>
      <vt:lpstr>QC_BD_MAX</vt:lpstr>
      <vt:lpstr>QC_BD_MIN</vt:lpstr>
      <vt:lpstr>QC_CARBON_PCT_MAX</vt:lpstr>
      <vt:lpstr>QC_RECOVERY_MIN</vt:lpstr>
      <vt:lpstr>REFERENCE_DEPTH_CM</vt:lpstr>
      <vt:lpstr>TARGET_CONFIDENCE</vt:lpstr>
      <vt:lpstr>TARGET_MARGIN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Cathal Doherty</dc:creator>
  <cp:lastModifiedBy>Cathal Doherty</cp:lastModifiedBy>
  <dcterms:created xsi:type="dcterms:W3CDTF">2026-10-27T13:37:37Z</dcterms:created>
  <dcterms:modified xsi:type="dcterms:W3CDTF">2026-10-27T14:05:40Z</dcterms:modified>
</cp:coreProperties>
</file>